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smur\OneDrive\Documentos\GitHub\Herramienta_OFR\"/>
    </mc:Choice>
  </mc:AlternateContent>
  <xr:revisionPtr revIDLastSave="0" documentId="13_ncr:1_{C3CFED23-C680-4B88-9068-628BB1D752E6}" xr6:coauthVersionLast="47" xr6:coauthVersionMax="47" xr10:uidLastSave="{00000000-0000-0000-0000-000000000000}"/>
  <bookViews>
    <workbookView xWindow="3375" yWindow="2895" windowWidth="21600" windowHeight="11385" tabRatio="792" xr2:uid="{0841E991-5486-4C7A-809D-3396CA62F6D1}"/>
  </bookViews>
  <sheets>
    <sheet name="Manual_Certificados" sheetId="138" r:id="rId1"/>
    <sheet name="Plantilla_Certificados" sheetId="137" r:id="rId2"/>
    <sheet name="MARGEN" sheetId="206" r:id="rId3"/>
    <sheet name="Calendario" sheetId="188" r:id="rId4"/>
  </sheets>
  <definedNames>
    <definedName name="_xlnm._FilterDatabase" localSheetId="0" hidden="1">Manual_Certificados!$A$1:$O$4118</definedName>
    <definedName name="_xlnm._FilterDatabase" localSheetId="1" hidden="1">Plantilla_Certificados!$B$5:$K$59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37" l="1"/>
  <c r="D58" i="137"/>
  <c r="L3" i="138"/>
  <c r="L4" i="138"/>
  <c r="L5" i="138"/>
  <c r="L6" i="138"/>
  <c r="L7" i="138"/>
  <c r="L8" i="138"/>
  <c r="L9" i="138"/>
  <c r="L10" i="138"/>
  <c r="L11" i="138"/>
  <c r="L12" i="138"/>
  <c r="L13" i="138"/>
  <c r="L14" i="138"/>
  <c r="L15" i="138"/>
  <c r="L16" i="138"/>
  <c r="L17" i="138"/>
  <c r="L18" i="138"/>
  <c r="L19" i="138"/>
  <c r="L20" i="138"/>
  <c r="L21" i="138"/>
  <c r="L22" i="138"/>
  <c r="L23" i="138"/>
  <c r="L24" i="138"/>
  <c r="L25" i="138"/>
  <c r="L26" i="138"/>
  <c r="L27" i="138"/>
  <c r="L28" i="138"/>
  <c r="L29" i="138"/>
  <c r="L30" i="138"/>
  <c r="L31" i="138"/>
  <c r="L32" i="138"/>
  <c r="L33" i="138"/>
  <c r="L34" i="138"/>
  <c r="L35" i="138"/>
  <c r="L36" i="138"/>
  <c r="L37" i="138"/>
  <c r="L38" i="138"/>
  <c r="L39" i="138"/>
  <c r="L40" i="138"/>
  <c r="L41" i="138"/>
  <c r="L42" i="138"/>
  <c r="L43" i="138"/>
  <c r="L44" i="138"/>
  <c r="L45" i="138"/>
  <c r="L46" i="138"/>
  <c r="L47" i="138"/>
  <c r="L48" i="138"/>
  <c r="L49" i="138"/>
  <c r="L50" i="138"/>
  <c r="L51" i="138"/>
  <c r="L52" i="138"/>
  <c r="L53" i="138"/>
  <c r="L54" i="138"/>
  <c r="L55" i="138"/>
  <c r="L56" i="138"/>
  <c r="L57" i="138"/>
  <c r="L58" i="138"/>
  <c r="L59" i="138"/>
  <c r="L60" i="138"/>
  <c r="L61" i="138"/>
  <c r="L62" i="138"/>
  <c r="L63" i="138"/>
  <c r="L64" i="138"/>
  <c r="L65" i="138"/>
  <c r="L66" i="138"/>
  <c r="L67" i="138"/>
  <c r="L68" i="138"/>
  <c r="L69" i="138"/>
  <c r="L70" i="138"/>
  <c r="L71" i="138"/>
  <c r="L72" i="138"/>
  <c r="L73" i="138"/>
  <c r="L74" i="138"/>
  <c r="L75" i="138"/>
  <c r="L76" i="138"/>
  <c r="L77" i="138"/>
  <c r="L78" i="138"/>
  <c r="L79" i="138"/>
  <c r="L80" i="138"/>
  <c r="L81" i="138"/>
  <c r="L82" i="138"/>
  <c r="L83" i="138"/>
  <c r="L84" i="138"/>
  <c r="L85" i="138"/>
  <c r="L86" i="138"/>
  <c r="L87" i="138"/>
  <c r="L88" i="138"/>
  <c r="L89" i="138"/>
  <c r="L90" i="138"/>
  <c r="L91" i="138"/>
  <c r="L92" i="138"/>
  <c r="L93" i="138"/>
  <c r="L94" i="138"/>
  <c r="L95" i="138"/>
  <c r="L96" i="138"/>
  <c r="L97" i="138"/>
  <c r="L98" i="138"/>
  <c r="L99" i="138"/>
  <c r="L100" i="138"/>
  <c r="L101" i="138"/>
  <c r="L102" i="138"/>
  <c r="L103" i="138"/>
  <c r="L104" i="138"/>
  <c r="L105" i="138"/>
  <c r="L106" i="138"/>
  <c r="L107" i="138"/>
  <c r="L108" i="138"/>
  <c r="L109" i="138"/>
  <c r="L110" i="138"/>
  <c r="L111" i="138"/>
  <c r="L112" i="138"/>
  <c r="L113" i="138"/>
  <c r="L114" i="138"/>
  <c r="L115" i="138"/>
  <c r="L116" i="138"/>
  <c r="L117" i="138"/>
  <c r="L118" i="138"/>
  <c r="L119" i="138"/>
  <c r="L120" i="138"/>
  <c r="L121" i="138"/>
  <c r="L122" i="138"/>
  <c r="L123" i="138"/>
  <c r="L124" i="138"/>
  <c r="L125" i="138"/>
  <c r="L126" i="138"/>
  <c r="L127" i="138"/>
  <c r="L128" i="138"/>
  <c r="L129" i="138"/>
  <c r="L130" i="138"/>
  <c r="L131" i="138"/>
  <c r="L132" i="138"/>
  <c r="L133" i="138"/>
  <c r="L134" i="138"/>
  <c r="L135" i="138"/>
  <c r="L136" i="138"/>
  <c r="L137" i="138"/>
  <c r="L138" i="138"/>
  <c r="L139" i="138"/>
  <c r="L140" i="138"/>
  <c r="L141" i="138"/>
  <c r="L142" i="138"/>
  <c r="L143" i="138"/>
  <c r="L144" i="138"/>
  <c r="L145" i="138"/>
  <c r="L146" i="138"/>
  <c r="L147" i="138"/>
  <c r="L148" i="138"/>
  <c r="L149" i="138"/>
  <c r="L150" i="138"/>
  <c r="L151" i="138"/>
  <c r="L152" i="138"/>
  <c r="L153" i="138"/>
  <c r="L154" i="138"/>
  <c r="L155" i="138"/>
  <c r="L156" i="138"/>
  <c r="L157" i="138"/>
  <c r="L158" i="138"/>
  <c r="L159" i="138"/>
  <c r="L160" i="138"/>
  <c r="L161" i="138"/>
  <c r="L162" i="138"/>
  <c r="L163" i="138"/>
  <c r="L164" i="138"/>
  <c r="L165" i="138"/>
  <c r="L166" i="138"/>
  <c r="L167" i="138"/>
  <c r="L168" i="138"/>
  <c r="L169" i="138"/>
  <c r="L170" i="138"/>
  <c r="L171" i="138"/>
  <c r="L172" i="138"/>
  <c r="L173" i="138"/>
  <c r="L174" i="138"/>
  <c r="L175" i="138"/>
  <c r="L176" i="138"/>
  <c r="L177" i="138"/>
  <c r="L178" i="138"/>
  <c r="L179" i="138"/>
  <c r="L180" i="138"/>
  <c r="L181" i="138"/>
  <c r="L182" i="138"/>
  <c r="L183" i="138"/>
  <c r="L184" i="138"/>
  <c r="L185" i="138"/>
  <c r="L186" i="138"/>
  <c r="L187" i="138"/>
  <c r="L188" i="138"/>
  <c r="L189" i="138"/>
  <c r="L190" i="138"/>
  <c r="L191" i="138"/>
  <c r="L192" i="138"/>
  <c r="L193" i="138"/>
  <c r="L194" i="138"/>
  <c r="L195" i="138"/>
  <c r="L196" i="138"/>
  <c r="L197" i="138"/>
  <c r="L198" i="138"/>
  <c r="L199" i="138"/>
  <c r="L200" i="138"/>
  <c r="L201" i="138"/>
  <c r="L202" i="138"/>
  <c r="L203" i="138"/>
  <c r="L204" i="138"/>
  <c r="L205" i="138"/>
  <c r="L206" i="138"/>
  <c r="L207" i="138"/>
  <c r="L208" i="138"/>
  <c r="L209" i="138"/>
  <c r="L210" i="138"/>
  <c r="L211" i="138"/>
  <c r="L212" i="138"/>
  <c r="L213" i="138"/>
  <c r="L214" i="138"/>
  <c r="L215" i="138"/>
  <c r="L216" i="138"/>
  <c r="L217" i="138"/>
  <c r="L218" i="138"/>
  <c r="L219" i="138"/>
  <c r="L220" i="138"/>
  <c r="L221" i="138"/>
  <c r="L222" i="138"/>
  <c r="L223" i="138"/>
  <c r="L224" i="138"/>
  <c r="L225" i="138"/>
  <c r="L226" i="138"/>
  <c r="L227" i="138"/>
  <c r="L228" i="138"/>
  <c r="L229" i="138"/>
  <c r="L230" i="138"/>
  <c r="L231" i="138"/>
  <c r="L232" i="138"/>
  <c r="L233" i="138"/>
  <c r="L234" i="138"/>
  <c r="L235" i="138"/>
  <c r="L236" i="138"/>
  <c r="L237" i="138"/>
  <c r="L238" i="138"/>
  <c r="L239" i="138"/>
  <c r="L240" i="138"/>
  <c r="L241" i="138"/>
  <c r="L242" i="138"/>
  <c r="L243" i="138"/>
  <c r="L244" i="138"/>
  <c r="L245" i="138"/>
  <c r="L246" i="138"/>
  <c r="L247" i="138"/>
  <c r="L248" i="138"/>
  <c r="L249" i="138"/>
  <c r="L250" i="138"/>
  <c r="L251" i="138"/>
  <c r="L252" i="138"/>
  <c r="L253" i="138"/>
  <c r="L254" i="138"/>
  <c r="L255" i="138"/>
  <c r="L256" i="138"/>
  <c r="L257" i="138"/>
  <c r="L258" i="138"/>
  <c r="L259" i="138"/>
  <c r="L260" i="138"/>
  <c r="L261" i="138"/>
  <c r="L262" i="138"/>
  <c r="L263" i="138"/>
  <c r="L264" i="138"/>
  <c r="L265" i="138"/>
  <c r="L266" i="138"/>
  <c r="L267" i="138"/>
  <c r="L268" i="138"/>
  <c r="L269" i="138"/>
  <c r="L270" i="138"/>
  <c r="L271" i="138"/>
  <c r="L272" i="138"/>
  <c r="L273" i="138"/>
  <c r="L274" i="138"/>
  <c r="L275" i="138"/>
  <c r="L276" i="138"/>
  <c r="L277" i="138"/>
  <c r="L278" i="138"/>
  <c r="L279" i="138"/>
  <c r="L280" i="138"/>
  <c r="L281" i="138"/>
  <c r="L282" i="138"/>
  <c r="L283" i="138"/>
  <c r="L284" i="138"/>
  <c r="L285" i="138"/>
  <c r="L286" i="138"/>
  <c r="L287" i="138"/>
  <c r="L288" i="138"/>
  <c r="L289" i="138"/>
  <c r="L290" i="138"/>
  <c r="L291" i="138"/>
  <c r="L292" i="138"/>
  <c r="L293" i="138"/>
  <c r="L294" i="138"/>
  <c r="L295" i="138"/>
  <c r="L296" i="138"/>
  <c r="L297" i="138"/>
  <c r="L298" i="138"/>
  <c r="L299" i="138"/>
  <c r="L300" i="138"/>
  <c r="L301" i="138"/>
  <c r="L302" i="138"/>
  <c r="L303" i="138"/>
  <c r="L304" i="138"/>
  <c r="L305" i="138"/>
  <c r="L306" i="138"/>
  <c r="L307" i="138"/>
  <c r="L308" i="138"/>
  <c r="L309" i="138"/>
  <c r="L310" i="138"/>
  <c r="L311" i="138"/>
  <c r="L312" i="138"/>
  <c r="L313" i="138"/>
  <c r="L314" i="138"/>
  <c r="L315" i="138"/>
  <c r="L316" i="138"/>
  <c r="L317" i="138"/>
  <c r="L318" i="138"/>
  <c r="L319" i="138"/>
  <c r="L320" i="138"/>
  <c r="L321" i="138"/>
  <c r="L322" i="138"/>
  <c r="L323" i="138"/>
  <c r="L324" i="138"/>
  <c r="L325" i="138"/>
  <c r="L326" i="138"/>
  <c r="L327" i="138"/>
  <c r="L328" i="138"/>
  <c r="L329" i="138"/>
  <c r="L330" i="138"/>
  <c r="L331" i="138"/>
  <c r="L332" i="138"/>
  <c r="L333" i="138"/>
  <c r="L334" i="138"/>
  <c r="L335" i="138"/>
  <c r="L336" i="138"/>
  <c r="L337" i="138"/>
  <c r="L338" i="138"/>
  <c r="L339" i="138"/>
  <c r="L340" i="138"/>
  <c r="L341" i="138"/>
  <c r="L342" i="138"/>
  <c r="L343" i="138"/>
  <c r="L344" i="138"/>
  <c r="L345" i="138"/>
  <c r="L346" i="138"/>
  <c r="L347" i="138"/>
  <c r="L348" i="138"/>
  <c r="L349" i="138"/>
  <c r="L350" i="138"/>
  <c r="L351" i="138"/>
  <c r="L352" i="138"/>
  <c r="L353" i="138"/>
  <c r="L354" i="138"/>
  <c r="L355" i="138"/>
  <c r="L356" i="138"/>
  <c r="L357" i="138"/>
  <c r="L358" i="138"/>
  <c r="L359" i="138"/>
  <c r="L360" i="138"/>
  <c r="L361" i="138"/>
  <c r="L362" i="138"/>
  <c r="L363" i="138"/>
  <c r="L364" i="138"/>
  <c r="L365" i="138"/>
  <c r="L366" i="138"/>
  <c r="L367" i="138"/>
  <c r="L368" i="138"/>
  <c r="L369" i="138"/>
  <c r="L370" i="138"/>
  <c r="L371" i="138"/>
  <c r="L372" i="138"/>
  <c r="L373" i="138"/>
  <c r="L374" i="138"/>
  <c r="L375" i="138"/>
  <c r="L376" i="138"/>
  <c r="L377" i="138"/>
  <c r="L378" i="138"/>
  <c r="L379" i="138"/>
  <c r="L380" i="138"/>
  <c r="L381" i="138"/>
  <c r="L382" i="138"/>
  <c r="L383" i="138"/>
  <c r="L384" i="138"/>
  <c r="L385" i="138"/>
  <c r="L386" i="138"/>
  <c r="L387" i="138"/>
  <c r="L388" i="138"/>
  <c r="L389" i="138"/>
  <c r="L390" i="138"/>
  <c r="L391" i="138"/>
  <c r="L392" i="138"/>
  <c r="L393" i="138"/>
  <c r="L394" i="138"/>
  <c r="L395" i="138"/>
  <c r="L396" i="138"/>
  <c r="L397" i="138"/>
  <c r="L398" i="138"/>
  <c r="L399" i="138"/>
  <c r="L400" i="138"/>
  <c r="L401" i="138"/>
  <c r="L402" i="138"/>
  <c r="L403" i="138"/>
  <c r="L404" i="138"/>
  <c r="L405" i="138"/>
  <c r="L406" i="138"/>
  <c r="L407" i="138"/>
  <c r="L408" i="138"/>
  <c r="L409" i="138"/>
  <c r="L410" i="138"/>
  <c r="L411" i="138"/>
  <c r="L412" i="138"/>
  <c r="L413" i="138"/>
  <c r="L414" i="138"/>
  <c r="L415" i="138"/>
  <c r="L416" i="138"/>
  <c r="L417" i="138"/>
  <c r="L418" i="138"/>
  <c r="L419" i="138"/>
  <c r="L420" i="138"/>
  <c r="L421" i="138"/>
  <c r="L422" i="138"/>
  <c r="L423" i="138"/>
  <c r="L424" i="138"/>
  <c r="L425" i="138"/>
  <c r="L426" i="138"/>
  <c r="L427" i="138"/>
  <c r="L428" i="138"/>
  <c r="L429" i="138"/>
  <c r="L430" i="138"/>
  <c r="L431" i="138"/>
  <c r="L432" i="138"/>
  <c r="L433" i="138"/>
  <c r="L434" i="138"/>
  <c r="L435" i="138"/>
  <c r="L436" i="138"/>
  <c r="L437" i="138"/>
  <c r="L438" i="138"/>
  <c r="L439" i="138"/>
  <c r="L440" i="138"/>
  <c r="L441" i="138"/>
  <c r="L442" i="138"/>
  <c r="L443" i="138"/>
  <c r="L444" i="138"/>
  <c r="L445" i="138"/>
  <c r="L446" i="138"/>
  <c r="L447" i="138"/>
  <c r="L448" i="138"/>
  <c r="L449" i="138"/>
  <c r="L450" i="138"/>
  <c r="L451" i="138"/>
  <c r="L452" i="138"/>
  <c r="L453" i="138"/>
  <c r="L454" i="138"/>
  <c r="L455" i="138"/>
  <c r="L456" i="138"/>
  <c r="L457" i="138"/>
  <c r="L458" i="138"/>
  <c r="L459" i="138"/>
  <c r="L460" i="138"/>
  <c r="L461" i="138"/>
  <c r="L462" i="138"/>
  <c r="L463" i="138"/>
  <c r="L464" i="138"/>
  <c r="L465" i="138"/>
  <c r="L466" i="138"/>
  <c r="L467" i="138"/>
  <c r="L468" i="138"/>
  <c r="L469" i="138"/>
  <c r="L470" i="138"/>
  <c r="L471" i="138"/>
  <c r="L472" i="138"/>
  <c r="L473" i="138"/>
  <c r="L474" i="138"/>
  <c r="L475" i="138"/>
  <c r="L476" i="138"/>
  <c r="L477" i="138"/>
  <c r="L478" i="138"/>
  <c r="L479" i="138"/>
  <c r="L480" i="138"/>
  <c r="L481" i="138"/>
  <c r="L482" i="138"/>
  <c r="L483" i="138"/>
  <c r="L484" i="138"/>
  <c r="L485" i="138"/>
  <c r="L486" i="138"/>
  <c r="L487" i="138"/>
  <c r="L488" i="138"/>
  <c r="L489" i="138"/>
  <c r="L490" i="138"/>
  <c r="L491" i="138"/>
  <c r="L492" i="138"/>
  <c r="L493" i="138"/>
  <c r="L494" i="138"/>
  <c r="L495" i="138"/>
  <c r="L496" i="138"/>
  <c r="L497" i="138"/>
  <c r="L498" i="138"/>
  <c r="L499" i="138"/>
  <c r="L500" i="138"/>
  <c r="L501" i="138"/>
  <c r="L502" i="138"/>
  <c r="L503" i="138"/>
  <c r="L504" i="138"/>
  <c r="L505" i="138"/>
  <c r="L506" i="138"/>
  <c r="L507" i="138"/>
  <c r="L508" i="138"/>
  <c r="L509" i="138"/>
  <c r="L510" i="138"/>
  <c r="L511" i="138"/>
  <c r="L512" i="138"/>
  <c r="L513" i="138"/>
  <c r="L514" i="138"/>
  <c r="L515" i="138"/>
  <c r="L516" i="138"/>
  <c r="L517" i="138"/>
  <c r="L518" i="138"/>
  <c r="L519" i="138"/>
  <c r="L520" i="138"/>
  <c r="L521" i="138"/>
  <c r="L522" i="138"/>
  <c r="L523" i="138"/>
  <c r="L524" i="138"/>
  <c r="L525" i="138"/>
  <c r="L526" i="138"/>
  <c r="L527" i="138"/>
  <c r="L528" i="138"/>
  <c r="L529" i="138"/>
  <c r="L530" i="138"/>
  <c r="L531" i="138"/>
  <c r="L532" i="138"/>
  <c r="L533" i="138"/>
  <c r="L534" i="138"/>
  <c r="L535" i="138"/>
  <c r="L536" i="138"/>
  <c r="L537" i="138"/>
  <c r="L538" i="138"/>
  <c r="L539" i="138"/>
  <c r="L540" i="138"/>
  <c r="L541" i="138"/>
  <c r="L542" i="138"/>
  <c r="L543" i="138"/>
  <c r="L544" i="138"/>
  <c r="L545" i="138"/>
  <c r="L546" i="138"/>
  <c r="L547" i="138"/>
  <c r="L548" i="138"/>
  <c r="L549" i="138"/>
  <c r="L550" i="138"/>
  <c r="L551" i="138"/>
  <c r="L552" i="138"/>
  <c r="L553" i="138"/>
  <c r="L554" i="138"/>
  <c r="L555" i="138"/>
  <c r="L556" i="138"/>
  <c r="L557" i="138"/>
  <c r="L558" i="138"/>
  <c r="L559" i="138"/>
  <c r="L560" i="138"/>
  <c r="L561" i="138"/>
  <c r="L562" i="138"/>
  <c r="L563" i="138"/>
  <c r="L564" i="138"/>
  <c r="L565" i="138"/>
  <c r="L566" i="138"/>
  <c r="L567" i="138"/>
  <c r="L568" i="138"/>
  <c r="L569" i="138"/>
  <c r="L570" i="138"/>
  <c r="L571" i="138"/>
  <c r="L572" i="138"/>
  <c r="L573" i="138"/>
  <c r="L574" i="138"/>
  <c r="L575" i="138"/>
  <c r="L576" i="138"/>
  <c r="L577" i="138"/>
  <c r="L578" i="138"/>
  <c r="L579" i="138"/>
  <c r="L580" i="138"/>
  <c r="L581" i="138"/>
  <c r="L582" i="138"/>
  <c r="L583" i="138"/>
  <c r="L584" i="138"/>
  <c r="L585" i="138"/>
  <c r="L586" i="138"/>
  <c r="L587" i="138"/>
  <c r="L588" i="138"/>
  <c r="L589" i="138"/>
  <c r="L590" i="138"/>
  <c r="L591" i="138"/>
  <c r="L592" i="138"/>
  <c r="L593" i="138"/>
  <c r="L594" i="138"/>
  <c r="L595" i="138"/>
  <c r="L596" i="138"/>
  <c r="L597" i="138"/>
  <c r="L598" i="138"/>
  <c r="L599" i="138"/>
  <c r="L600" i="138"/>
  <c r="L601" i="138"/>
  <c r="L602" i="138"/>
  <c r="L603" i="138"/>
  <c r="L604" i="138"/>
  <c r="L605" i="138"/>
  <c r="L606" i="138"/>
  <c r="L607" i="138"/>
  <c r="L608" i="138"/>
  <c r="L609" i="138"/>
  <c r="L610" i="138"/>
  <c r="L611" i="138"/>
  <c r="L612" i="138"/>
  <c r="L613" i="138"/>
  <c r="L614" i="138"/>
  <c r="L615" i="138"/>
  <c r="L616" i="138"/>
  <c r="L617" i="138"/>
  <c r="L618" i="138"/>
  <c r="L619" i="138"/>
  <c r="L620" i="138"/>
  <c r="L621" i="138"/>
  <c r="L622" i="138"/>
  <c r="L623" i="138"/>
  <c r="L624" i="138"/>
  <c r="L625" i="138"/>
  <c r="L626" i="138"/>
  <c r="L627" i="138"/>
  <c r="L628" i="138"/>
  <c r="L629" i="138"/>
  <c r="L630" i="138"/>
  <c r="L631" i="138"/>
  <c r="L632" i="138"/>
  <c r="L633" i="138"/>
  <c r="L634" i="138"/>
  <c r="L635" i="138"/>
  <c r="L636" i="138"/>
  <c r="L637" i="138"/>
  <c r="L638" i="138"/>
  <c r="L639" i="138"/>
  <c r="L640" i="138"/>
  <c r="L641" i="138"/>
  <c r="L642" i="138"/>
  <c r="L643" i="138"/>
  <c r="L644" i="138"/>
  <c r="L645" i="138"/>
  <c r="L646" i="138"/>
  <c r="L647" i="138"/>
  <c r="L648" i="138"/>
  <c r="L649" i="138"/>
  <c r="L650" i="138"/>
  <c r="L651" i="138"/>
  <c r="L652" i="138"/>
  <c r="L653" i="138"/>
  <c r="L654" i="138"/>
  <c r="L655" i="138"/>
  <c r="L656" i="138"/>
  <c r="L657" i="138"/>
  <c r="L658" i="138"/>
  <c r="L659" i="138"/>
  <c r="L660" i="138"/>
  <c r="L661" i="138"/>
  <c r="L662" i="138"/>
  <c r="L663" i="138"/>
  <c r="L664" i="138"/>
  <c r="L665" i="138"/>
  <c r="L666" i="138"/>
  <c r="L667" i="138"/>
  <c r="L668" i="138"/>
  <c r="L669" i="138"/>
  <c r="L670" i="138"/>
  <c r="L671" i="138"/>
  <c r="L672" i="138"/>
  <c r="L673" i="138"/>
  <c r="L674" i="138"/>
  <c r="L675" i="138"/>
  <c r="L676" i="138"/>
  <c r="L677" i="138"/>
  <c r="L678" i="138"/>
  <c r="L679" i="138"/>
  <c r="L680" i="138"/>
  <c r="L681" i="138"/>
  <c r="L682" i="138"/>
  <c r="L683" i="138"/>
  <c r="L684" i="138"/>
  <c r="L685" i="138"/>
  <c r="L686" i="138"/>
  <c r="L687" i="138"/>
  <c r="L688" i="138"/>
  <c r="L689" i="138"/>
  <c r="L690" i="138"/>
  <c r="L691" i="138"/>
  <c r="L692" i="138"/>
  <c r="L693" i="138"/>
  <c r="L694" i="138"/>
  <c r="L695" i="138"/>
  <c r="L696" i="138"/>
  <c r="L697" i="138"/>
  <c r="L698" i="138"/>
  <c r="L699" i="138"/>
  <c r="L700" i="138"/>
  <c r="L701" i="138"/>
  <c r="L702" i="138"/>
  <c r="L703" i="138"/>
  <c r="L704" i="138"/>
  <c r="L705" i="138"/>
  <c r="L706" i="138"/>
  <c r="L707" i="138"/>
  <c r="L708" i="138"/>
  <c r="L709" i="138"/>
  <c r="L710" i="138"/>
  <c r="L711" i="138"/>
  <c r="L712" i="138"/>
  <c r="L713" i="138"/>
  <c r="L714" i="138"/>
  <c r="L715" i="138"/>
  <c r="L716" i="138"/>
  <c r="L717" i="138"/>
  <c r="L718" i="138"/>
  <c r="L719" i="138"/>
  <c r="L720" i="138"/>
  <c r="L721" i="138"/>
  <c r="L722" i="138"/>
  <c r="L723" i="138"/>
  <c r="L724" i="138"/>
  <c r="L725" i="138"/>
  <c r="L726" i="138"/>
  <c r="L727" i="138"/>
  <c r="L728" i="138"/>
  <c r="L729" i="138"/>
  <c r="L730" i="138"/>
  <c r="L731" i="138"/>
  <c r="L732" i="138"/>
  <c r="L733" i="138"/>
  <c r="L734" i="138"/>
  <c r="L735" i="138"/>
  <c r="L736" i="138"/>
  <c r="L737" i="138"/>
  <c r="L738" i="138"/>
  <c r="L739" i="138"/>
  <c r="L740" i="138"/>
  <c r="L741" i="138"/>
  <c r="L742" i="138"/>
  <c r="L743" i="138"/>
  <c r="L744" i="138"/>
  <c r="L745" i="138"/>
  <c r="L746" i="138"/>
  <c r="L747" i="138"/>
  <c r="L748" i="138"/>
  <c r="L749" i="138"/>
  <c r="L750" i="138"/>
  <c r="L751" i="138"/>
  <c r="L752" i="138"/>
  <c r="L753" i="138"/>
  <c r="L754" i="138"/>
  <c r="L755" i="138"/>
  <c r="L756" i="138"/>
  <c r="L757" i="138"/>
  <c r="L758" i="138"/>
  <c r="L759" i="138"/>
  <c r="L760" i="138"/>
  <c r="L761" i="138"/>
  <c r="L762" i="138"/>
  <c r="L763" i="138"/>
  <c r="L764" i="138"/>
  <c r="L765" i="138"/>
  <c r="L766" i="138"/>
  <c r="L767" i="138"/>
  <c r="L768" i="138"/>
  <c r="L769" i="138"/>
  <c r="L770" i="138"/>
  <c r="L771" i="138"/>
  <c r="L772" i="138"/>
  <c r="L773" i="138"/>
  <c r="L774" i="138"/>
  <c r="L775" i="138"/>
  <c r="L776" i="138"/>
  <c r="L777" i="138"/>
  <c r="L778" i="138"/>
  <c r="L779" i="138"/>
  <c r="L780" i="138"/>
  <c r="L781" i="138"/>
  <c r="L782" i="138"/>
  <c r="L783" i="138"/>
  <c r="L784" i="138"/>
  <c r="L785" i="138"/>
  <c r="L786" i="138"/>
  <c r="L787" i="138"/>
  <c r="L788" i="138"/>
  <c r="L789" i="138"/>
  <c r="L790" i="138"/>
  <c r="L791" i="138"/>
  <c r="L792" i="138"/>
  <c r="L793" i="138"/>
  <c r="L794" i="138"/>
  <c r="L795" i="138"/>
  <c r="L796" i="138"/>
  <c r="L797" i="138"/>
  <c r="L798" i="138"/>
  <c r="L799" i="138"/>
  <c r="L800" i="138"/>
  <c r="L801" i="138"/>
  <c r="L802" i="138"/>
  <c r="L803" i="138"/>
  <c r="L804" i="138"/>
  <c r="L805" i="138"/>
  <c r="L806" i="138"/>
  <c r="L807" i="138"/>
  <c r="L808" i="138"/>
  <c r="L809" i="138"/>
  <c r="L810" i="138"/>
  <c r="L811" i="138"/>
  <c r="L812" i="138"/>
  <c r="L813" i="138"/>
  <c r="L814" i="138"/>
  <c r="L815" i="138"/>
  <c r="L816" i="138"/>
  <c r="L817" i="138"/>
  <c r="L818" i="138"/>
  <c r="L819" i="138"/>
  <c r="L820" i="138"/>
  <c r="L821" i="138"/>
  <c r="L822" i="138"/>
  <c r="L823" i="138"/>
  <c r="L824" i="138"/>
  <c r="L825" i="138"/>
  <c r="L826" i="138"/>
  <c r="L827" i="138"/>
  <c r="L828" i="138"/>
  <c r="L829" i="138"/>
  <c r="L830" i="138"/>
  <c r="L831" i="138"/>
  <c r="L832" i="138"/>
  <c r="L833" i="138"/>
  <c r="L834" i="138"/>
  <c r="L835" i="138"/>
  <c r="L836" i="138"/>
  <c r="L837" i="138"/>
  <c r="L838" i="138"/>
  <c r="L839" i="138"/>
  <c r="L840" i="138"/>
  <c r="L841" i="138"/>
  <c r="L842" i="138"/>
  <c r="L843" i="138"/>
  <c r="L844" i="138"/>
  <c r="L845" i="138"/>
  <c r="L846" i="138"/>
  <c r="L847" i="138"/>
  <c r="L848" i="138"/>
  <c r="L849" i="138"/>
  <c r="L850" i="138"/>
  <c r="L851" i="138"/>
  <c r="L852" i="138"/>
  <c r="L853" i="138"/>
  <c r="L854" i="138"/>
  <c r="L855" i="138"/>
  <c r="L856" i="138"/>
  <c r="L857" i="138"/>
  <c r="L858" i="138"/>
  <c r="L859" i="138"/>
  <c r="L860" i="138"/>
  <c r="L861" i="138"/>
  <c r="L862" i="138"/>
  <c r="L863" i="138"/>
  <c r="L864" i="138"/>
  <c r="L865" i="138"/>
  <c r="L866" i="138"/>
  <c r="L867" i="138"/>
  <c r="L868" i="138"/>
  <c r="L869" i="138"/>
  <c r="L870" i="138"/>
  <c r="L871" i="138"/>
  <c r="L872" i="138"/>
  <c r="L873" i="138"/>
  <c r="L874" i="138"/>
  <c r="L875" i="138"/>
  <c r="L876" i="138"/>
  <c r="L877" i="138"/>
  <c r="L878" i="138"/>
  <c r="L879" i="138"/>
  <c r="L880" i="138"/>
  <c r="L881" i="138"/>
  <c r="L882" i="138"/>
  <c r="L883" i="138"/>
  <c r="L884" i="138"/>
  <c r="L885" i="138"/>
  <c r="L886" i="138"/>
  <c r="L887" i="138"/>
  <c r="L888" i="138"/>
  <c r="L889" i="138"/>
  <c r="L890" i="138"/>
  <c r="L891" i="138"/>
  <c r="L892" i="138"/>
  <c r="L893" i="138"/>
  <c r="L894" i="138"/>
  <c r="L895" i="138"/>
  <c r="L896" i="138"/>
  <c r="L897" i="138"/>
  <c r="L898" i="138"/>
  <c r="L899" i="138"/>
  <c r="L900" i="138"/>
  <c r="L901" i="138"/>
  <c r="L902" i="138"/>
  <c r="L903" i="138"/>
  <c r="L904" i="138"/>
  <c r="L905" i="138"/>
  <c r="L906" i="138"/>
  <c r="L907" i="138"/>
  <c r="L908" i="138"/>
  <c r="L909" i="138"/>
  <c r="L910" i="138"/>
  <c r="L911" i="138"/>
  <c r="L912" i="138"/>
  <c r="L913" i="138"/>
  <c r="L914" i="138"/>
  <c r="L915" i="138"/>
  <c r="L916" i="138"/>
  <c r="L917" i="138"/>
  <c r="L918" i="138"/>
  <c r="L919" i="138"/>
  <c r="L920" i="138"/>
  <c r="L921" i="138"/>
  <c r="L922" i="138"/>
  <c r="L923" i="138"/>
  <c r="L924" i="138"/>
  <c r="L925" i="138"/>
  <c r="L926" i="138"/>
  <c r="L927" i="138"/>
  <c r="L928" i="138"/>
  <c r="L929" i="138"/>
  <c r="L930" i="138"/>
  <c r="L931" i="138"/>
  <c r="L932" i="138"/>
  <c r="L933" i="138"/>
  <c r="L934" i="138"/>
  <c r="L935" i="138"/>
  <c r="L936" i="138"/>
  <c r="L937" i="138"/>
  <c r="L938" i="138"/>
  <c r="L939" i="138"/>
  <c r="L940" i="138"/>
  <c r="L941" i="138"/>
  <c r="L942" i="138"/>
  <c r="L943" i="138"/>
  <c r="L944" i="138"/>
  <c r="L945" i="138"/>
  <c r="L946" i="138"/>
  <c r="L947" i="138"/>
  <c r="L948" i="138"/>
  <c r="L949" i="138"/>
  <c r="L950" i="138"/>
  <c r="L951" i="138"/>
  <c r="L952" i="138"/>
  <c r="L953" i="138"/>
  <c r="L954" i="138"/>
  <c r="L955" i="138"/>
  <c r="L956" i="138"/>
  <c r="L957" i="138"/>
  <c r="L958" i="138"/>
  <c r="L959" i="138"/>
  <c r="L960" i="138"/>
  <c r="L961" i="138"/>
  <c r="L962" i="138"/>
  <c r="L963" i="138"/>
  <c r="L964" i="138"/>
  <c r="L965" i="138"/>
  <c r="L966" i="138"/>
  <c r="L967" i="138"/>
  <c r="L968" i="138"/>
  <c r="L969" i="138"/>
  <c r="L970" i="138"/>
  <c r="L971" i="138"/>
  <c r="L972" i="138"/>
  <c r="L973" i="138"/>
  <c r="L974" i="138"/>
  <c r="L975" i="138"/>
  <c r="L976" i="138"/>
  <c r="L977" i="138"/>
  <c r="L978" i="138"/>
  <c r="L979" i="138"/>
  <c r="L980" i="138"/>
  <c r="L981" i="138"/>
  <c r="L982" i="138"/>
  <c r="L983" i="138"/>
  <c r="L984" i="138"/>
  <c r="L985" i="138"/>
  <c r="L986" i="138"/>
  <c r="L987" i="138"/>
  <c r="L988" i="138"/>
  <c r="L989" i="138"/>
  <c r="L990" i="138"/>
  <c r="L991" i="138"/>
  <c r="L992" i="138"/>
  <c r="L993" i="138"/>
  <c r="L994" i="138"/>
  <c r="L995" i="138"/>
  <c r="L996" i="138"/>
  <c r="L997" i="138"/>
  <c r="L998" i="138"/>
  <c r="L999" i="138"/>
  <c r="L1000" i="138"/>
  <c r="L1001" i="138"/>
  <c r="L1002" i="138"/>
  <c r="L1003" i="138"/>
  <c r="L1004" i="138"/>
  <c r="L1005" i="138"/>
  <c r="L1006" i="138"/>
  <c r="L1007" i="138"/>
  <c r="L1008" i="138"/>
  <c r="L1009" i="138"/>
  <c r="L1010" i="138"/>
  <c r="L1011" i="138"/>
  <c r="L1012" i="138"/>
  <c r="L1013" i="138"/>
  <c r="L1014" i="138"/>
  <c r="L1015" i="138"/>
  <c r="L1016" i="138"/>
  <c r="L1017" i="138"/>
  <c r="L1018" i="138"/>
  <c r="L1019" i="138"/>
  <c r="L1020" i="138"/>
  <c r="L1021" i="138"/>
  <c r="L1022" i="138"/>
  <c r="L1023" i="138"/>
  <c r="L1024" i="138"/>
  <c r="L1025" i="138"/>
  <c r="L1026" i="138"/>
  <c r="L1027" i="138"/>
  <c r="L1028" i="138"/>
  <c r="L1029" i="138"/>
  <c r="L1030" i="138"/>
  <c r="L1031" i="138"/>
  <c r="L1032" i="138"/>
  <c r="L1033" i="138"/>
  <c r="L1034" i="138"/>
  <c r="L1035" i="138"/>
  <c r="L1036" i="138"/>
  <c r="L1037" i="138"/>
  <c r="L1038" i="138"/>
  <c r="L1039" i="138"/>
  <c r="L1040" i="138"/>
  <c r="L1041" i="138"/>
  <c r="L1042" i="138"/>
  <c r="L1043" i="138"/>
  <c r="L1044" i="138"/>
  <c r="L1045" i="138"/>
  <c r="L1046" i="138"/>
  <c r="L1047" i="138"/>
  <c r="L1048" i="138"/>
  <c r="L1049" i="138"/>
  <c r="L1050" i="138"/>
  <c r="L1051" i="138"/>
  <c r="L1052" i="138"/>
  <c r="L1053" i="138"/>
  <c r="L1054" i="138"/>
  <c r="L1055" i="138"/>
  <c r="L1056" i="138"/>
  <c r="L1057" i="138"/>
  <c r="L1058" i="138"/>
  <c r="L1059" i="138"/>
  <c r="L1060" i="138"/>
  <c r="L1061" i="138"/>
  <c r="L1062" i="138"/>
  <c r="L1063" i="138"/>
  <c r="L1064" i="138"/>
  <c r="L1065" i="138"/>
  <c r="L1066" i="138"/>
  <c r="L1067" i="138"/>
  <c r="L1068" i="138"/>
  <c r="L1069" i="138"/>
  <c r="L1070" i="138"/>
  <c r="L1071" i="138"/>
  <c r="L1072" i="138"/>
  <c r="L1073" i="138"/>
  <c r="L1074" i="138"/>
  <c r="L1075" i="138"/>
  <c r="L1076" i="138"/>
  <c r="L1077" i="138"/>
  <c r="L1078" i="138"/>
  <c r="L1079" i="138"/>
  <c r="L1080" i="138"/>
  <c r="L1081" i="138"/>
  <c r="L1082" i="138"/>
  <c r="L1083" i="138"/>
  <c r="L1084" i="138"/>
  <c r="L1085" i="138"/>
  <c r="L1086" i="138"/>
  <c r="L1087" i="138"/>
  <c r="L1088" i="138"/>
  <c r="L1089" i="138"/>
  <c r="L1090" i="138"/>
  <c r="L1091" i="138"/>
  <c r="L1092" i="138"/>
  <c r="L1093" i="138"/>
  <c r="L1094" i="138"/>
  <c r="L1095" i="138"/>
  <c r="L1096" i="138"/>
  <c r="L1097" i="138"/>
  <c r="L1098" i="138"/>
  <c r="L1099" i="138"/>
  <c r="L1100" i="138"/>
  <c r="L1101" i="138"/>
  <c r="L1102" i="138"/>
  <c r="L1103" i="138"/>
  <c r="L1104" i="138"/>
  <c r="L1105" i="138"/>
  <c r="L1106" i="138"/>
  <c r="L1107" i="138"/>
  <c r="L1108" i="138"/>
  <c r="L1109" i="138"/>
  <c r="L1110" i="138"/>
  <c r="L1111" i="138"/>
  <c r="L1112" i="138"/>
  <c r="L1113" i="138"/>
  <c r="L1114" i="138"/>
  <c r="L1115" i="138"/>
  <c r="L1116" i="138"/>
  <c r="L1117" i="138"/>
  <c r="L1118" i="138"/>
  <c r="L1119" i="138"/>
  <c r="L1120" i="138"/>
  <c r="L1121" i="138"/>
  <c r="L1122" i="138"/>
  <c r="L1123" i="138"/>
  <c r="L1124" i="138"/>
  <c r="L1125" i="138"/>
  <c r="L1126" i="138"/>
  <c r="L1127" i="138"/>
  <c r="L1128" i="138"/>
  <c r="L1129" i="138"/>
  <c r="L1130" i="138"/>
  <c r="L1131" i="138"/>
  <c r="L1132" i="138"/>
  <c r="L1133" i="138"/>
  <c r="L1134" i="138"/>
  <c r="L1135" i="138"/>
  <c r="L1136" i="138"/>
  <c r="L1137" i="138"/>
  <c r="L1138" i="138"/>
  <c r="L1139" i="138"/>
  <c r="L1140" i="138"/>
  <c r="L1141" i="138"/>
  <c r="L1142" i="138"/>
  <c r="L1143" i="138"/>
  <c r="L1144" i="138"/>
  <c r="L1145" i="138"/>
  <c r="L1146" i="138"/>
  <c r="L1147" i="138"/>
  <c r="L1148" i="138"/>
  <c r="L1149" i="138"/>
  <c r="L1150" i="138"/>
  <c r="L1151" i="138"/>
  <c r="L1152" i="138"/>
  <c r="L1153" i="138"/>
  <c r="L1154" i="138"/>
  <c r="L1155" i="138"/>
  <c r="L1156" i="138"/>
  <c r="L1157" i="138"/>
  <c r="L1158" i="138"/>
  <c r="L1159" i="138"/>
  <c r="L1160" i="138"/>
  <c r="L1161" i="138"/>
  <c r="L1162" i="138"/>
  <c r="L1163" i="138"/>
  <c r="L1164" i="138"/>
  <c r="L1165" i="138"/>
  <c r="L1166" i="138"/>
  <c r="L1167" i="138"/>
  <c r="L1168" i="138"/>
  <c r="L1169" i="138"/>
  <c r="L1170" i="138"/>
  <c r="L1171" i="138"/>
  <c r="L1172" i="138"/>
  <c r="L1173" i="138"/>
  <c r="L1174" i="138"/>
  <c r="L1175" i="138"/>
  <c r="L1176" i="138"/>
  <c r="L1177" i="138"/>
  <c r="L1178" i="138"/>
  <c r="L1179" i="138"/>
  <c r="L1180" i="138"/>
  <c r="L1181" i="138"/>
  <c r="L1182" i="138"/>
  <c r="L1183" i="138"/>
  <c r="L1184" i="138"/>
  <c r="L1185" i="138"/>
  <c r="L1186" i="138"/>
  <c r="L1187" i="138"/>
  <c r="L1188" i="138"/>
  <c r="L1189" i="138"/>
  <c r="L1190" i="138"/>
  <c r="L1191" i="138"/>
  <c r="L1192" i="138"/>
  <c r="L1193" i="138"/>
  <c r="L1194" i="138"/>
  <c r="L1195" i="138"/>
  <c r="L1196" i="138"/>
  <c r="L1197" i="138"/>
  <c r="L1198" i="138"/>
  <c r="L1199" i="138"/>
  <c r="L1200" i="138"/>
  <c r="L1201" i="138"/>
  <c r="L1202" i="138"/>
  <c r="L1203" i="138"/>
  <c r="L1204" i="138"/>
  <c r="L1205" i="138"/>
  <c r="L1206" i="138"/>
  <c r="L1207" i="138"/>
  <c r="L1208" i="138"/>
  <c r="L1209" i="138"/>
  <c r="L1210" i="138"/>
  <c r="L1211" i="138"/>
  <c r="L1212" i="138"/>
  <c r="L1213" i="138"/>
  <c r="L1214" i="138"/>
  <c r="L1215" i="138"/>
  <c r="L1216" i="138"/>
  <c r="L1217" i="138"/>
  <c r="L1218" i="138"/>
  <c r="L1219" i="138"/>
  <c r="L1220" i="138"/>
  <c r="L1221" i="138"/>
  <c r="L1222" i="138"/>
  <c r="L1223" i="138"/>
  <c r="L1224" i="138"/>
  <c r="L1225" i="138"/>
  <c r="L1226" i="138"/>
  <c r="L1227" i="138"/>
  <c r="L1228" i="138"/>
  <c r="L1229" i="138"/>
  <c r="L1230" i="138"/>
  <c r="L1231" i="138"/>
  <c r="L1232" i="138"/>
  <c r="L1233" i="138"/>
  <c r="L1234" i="138"/>
  <c r="L1235" i="138"/>
  <c r="L1236" i="138"/>
  <c r="L1237" i="138"/>
  <c r="L1238" i="138"/>
  <c r="L1239" i="138"/>
  <c r="L1240" i="138"/>
  <c r="L1241" i="138"/>
  <c r="L1242" i="138"/>
  <c r="L1243" i="138"/>
  <c r="L1244" i="138"/>
  <c r="L1245" i="138"/>
  <c r="L1246" i="138"/>
  <c r="L1247" i="138"/>
  <c r="L1248" i="138"/>
  <c r="L1249" i="138"/>
  <c r="L1250" i="138"/>
  <c r="L1251" i="138"/>
  <c r="L1252" i="138"/>
  <c r="L1253" i="138"/>
  <c r="L1254" i="138"/>
  <c r="L1255" i="138"/>
  <c r="L1256" i="138"/>
  <c r="L1257" i="138"/>
  <c r="L1258" i="138"/>
  <c r="L1259" i="138"/>
  <c r="L1260" i="138"/>
  <c r="L1261" i="138"/>
  <c r="L1262" i="138"/>
  <c r="L1263" i="138"/>
  <c r="L1264" i="138"/>
  <c r="L1265" i="138"/>
  <c r="L1266" i="138"/>
  <c r="L1267" i="138"/>
  <c r="L1268" i="138"/>
  <c r="L1269" i="138"/>
  <c r="L1270" i="138"/>
  <c r="L1271" i="138"/>
  <c r="L1272" i="138"/>
  <c r="L1273" i="138"/>
  <c r="L1274" i="138"/>
  <c r="L1275" i="138"/>
  <c r="L1276" i="138"/>
  <c r="L1277" i="138"/>
  <c r="L1278" i="138"/>
  <c r="L1279" i="138"/>
  <c r="L1280" i="138"/>
  <c r="L1281" i="138"/>
  <c r="L1282" i="138"/>
  <c r="L1283" i="138"/>
  <c r="L1284" i="138"/>
  <c r="L1285" i="138"/>
  <c r="L1286" i="138"/>
  <c r="L1287" i="138"/>
  <c r="L1288" i="138"/>
  <c r="L1289" i="138"/>
  <c r="L1290" i="138"/>
  <c r="L1291" i="138"/>
  <c r="L1292" i="138"/>
  <c r="L1293" i="138"/>
  <c r="L1294" i="138"/>
  <c r="L1295" i="138"/>
  <c r="L1296" i="138"/>
  <c r="L1297" i="138"/>
  <c r="L1298" i="138"/>
  <c r="L1299" i="138"/>
  <c r="L1300" i="138"/>
  <c r="L1301" i="138"/>
  <c r="L1302" i="138"/>
  <c r="L1303" i="138"/>
  <c r="L1304" i="138"/>
  <c r="L1305" i="138"/>
  <c r="L1306" i="138"/>
  <c r="L1307" i="138"/>
  <c r="L1308" i="138"/>
  <c r="L1309" i="138"/>
  <c r="L1310" i="138"/>
  <c r="L1311" i="138"/>
  <c r="L1312" i="138"/>
  <c r="L1313" i="138"/>
  <c r="L1314" i="138"/>
  <c r="L1315" i="138"/>
  <c r="L1316" i="138"/>
  <c r="L1317" i="138"/>
  <c r="L1318" i="138"/>
  <c r="L1319" i="138"/>
  <c r="L1320" i="138"/>
  <c r="L1321" i="138"/>
  <c r="L1322" i="138"/>
  <c r="L1323" i="138"/>
  <c r="L1324" i="138"/>
  <c r="L1325" i="138"/>
  <c r="L1326" i="138"/>
  <c r="L1327" i="138"/>
  <c r="L1328" i="138"/>
  <c r="L1329" i="138"/>
  <c r="L1330" i="138"/>
  <c r="L1331" i="138"/>
  <c r="L1332" i="138"/>
  <c r="L1333" i="138"/>
  <c r="L1334" i="138"/>
  <c r="L1335" i="138"/>
  <c r="L1336" i="138"/>
  <c r="L1337" i="138"/>
  <c r="L1338" i="138"/>
  <c r="L1339" i="138"/>
  <c r="L1340" i="138"/>
  <c r="L1341" i="138"/>
  <c r="L1342" i="138"/>
  <c r="L1343" i="138"/>
  <c r="L1344" i="138"/>
  <c r="L1345" i="138"/>
  <c r="L1346" i="138"/>
  <c r="L1347" i="138"/>
  <c r="L1348" i="138"/>
  <c r="L1349" i="138"/>
  <c r="L1350" i="138"/>
  <c r="L1351" i="138"/>
  <c r="L1352" i="138"/>
  <c r="L1353" i="138"/>
  <c r="L1354" i="138"/>
  <c r="L1355" i="138"/>
  <c r="L1356" i="138"/>
  <c r="L1357" i="138"/>
  <c r="L1358" i="138"/>
  <c r="L1359" i="138"/>
  <c r="L1360" i="138"/>
  <c r="L1361" i="138"/>
  <c r="L1362" i="138"/>
  <c r="L1363" i="138"/>
  <c r="L1364" i="138"/>
  <c r="L1365" i="138"/>
  <c r="L1366" i="138"/>
  <c r="L1367" i="138"/>
  <c r="L1368" i="138"/>
  <c r="L1369" i="138"/>
  <c r="L1370" i="138"/>
  <c r="L1371" i="138"/>
  <c r="L1372" i="138"/>
  <c r="L1373" i="138"/>
  <c r="L1374" i="138"/>
  <c r="L1375" i="138"/>
  <c r="L1376" i="138"/>
  <c r="L1377" i="138"/>
  <c r="L1378" i="138"/>
  <c r="L1379" i="138"/>
  <c r="L1380" i="138"/>
  <c r="L1381" i="138"/>
  <c r="L1382" i="138"/>
  <c r="L1383" i="138"/>
  <c r="L1384" i="138"/>
  <c r="L1385" i="138"/>
  <c r="L1386" i="138"/>
  <c r="L1387" i="138"/>
  <c r="L1388" i="138"/>
  <c r="L1389" i="138"/>
  <c r="L1390" i="138"/>
  <c r="L1391" i="138"/>
  <c r="L1392" i="138"/>
  <c r="L1393" i="138"/>
  <c r="L1394" i="138"/>
  <c r="L1395" i="138"/>
  <c r="L1396" i="138"/>
  <c r="L1397" i="138"/>
  <c r="L1398" i="138"/>
  <c r="L1399" i="138"/>
  <c r="L1400" i="138"/>
  <c r="L1401" i="138"/>
  <c r="L1402" i="138"/>
  <c r="L1403" i="138"/>
  <c r="L1404" i="138"/>
  <c r="L1405" i="138"/>
  <c r="L1406" i="138"/>
  <c r="L1407" i="138"/>
  <c r="L1408" i="138"/>
  <c r="L1409" i="138"/>
  <c r="L1410" i="138"/>
  <c r="L1411" i="138"/>
  <c r="L1412" i="138"/>
  <c r="L1413" i="138"/>
  <c r="L1414" i="138"/>
  <c r="L1415" i="138"/>
  <c r="L1416" i="138"/>
  <c r="L1417" i="138"/>
  <c r="L1418" i="138"/>
  <c r="L1419" i="138"/>
  <c r="L1420" i="138"/>
  <c r="L1421" i="138"/>
  <c r="L1422" i="138"/>
  <c r="L1423" i="138"/>
  <c r="L1424" i="138"/>
  <c r="L1425" i="138"/>
  <c r="L1426" i="138"/>
  <c r="L1427" i="138"/>
  <c r="L1428" i="138"/>
  <c r="L1429" i="138"/>
  <c r="L1430" i="138"/>
  <c r="L1431" i="138"/>
  <c r="L1432" i="138"/>
  <c r="L1433" i="138"/>
  <c r="L1434" i="138"/>
  <c r="L1435" i="138"/>
  <c r="L1436" i="138"/>
  <c r="L1437" i="138"/>
  <c r="L1438" i="138"/>
  <c r="L1439" i="138"/>
  <c r="L1440" i="138"/>
  <c r="L1441" i="138"/>
  <c r="L1442" i="138"/>
  <c r="L1443" i="138"/>
  <c r="L1444" i="138"/>
  <c r="L1445" i="138"/>
  <c r="L1446" i="138"/>
  <c r="L1447" i="138"/>
  <c r="L1448" i="138"/>
  <c r="L1449" i="138"/>
  <c r="L1450" i="138"/>
  <c r="L1451" i="138"/>
  <c r="L1452" i="138"/>
  <c r="L1453" i="138"/>
  <c r="L1454" i="138"/>
  <c r="L1455" i="138"/>
  <c r="L1456" i="138"/>
  <c r="L1457" i="138"/>
  <c r="L1458" i="138"/>
  <c r="L1459" i="138"/>
  <c r="L1460" i="138"/>
  <c r="L1461" i="138"/>
  <c r="L1462" i="138"/>
  <c r="L1463" i="138"/>
  <c r="L1464" i="138"/>
  <c r="L1465" i="138"/>
  <c r="L1466" i="138"/>
  <c r="L1467" i="138"/>
  <c r="L1468" i="138"/>
  <c r="L1469" i="138"/>
  <c r="L1470" i="138"/>
  <c r="L1471" i="138"/>
  <c r="L1472" i="138"/>
  <c r="L1473" i="138"/>
  <c r="L1474" i="138"/>
  <c r="L1475" i="138"/>
  <c r="L1476" i="138"/>
  <c r="L1477" i="138"/>
  <c r="L1478" i="138"/>
  <c r="L1479" i="138"/>
  <c r="L1480" i="138"/>
  <c r="L1481" i="138"/>
  <c r="L1482" i="138"/>
  <c r="L1483" i="138"/>
  <c r="L1484" i="138"/>
  <c r="L1485" i="138"/>
  <c r="L1486" i="138"/>
  <c r="L1487" i="138"/>
  <c r="L1488" i="138"/>
  <c r="L1489" i="138"/>
  <c r="L1490" i="138"/>
  <c r="L1491" i="138"/>
  <c r="L1492" i="138"/>
  <c r="L1493" i="138"/>
  <c r="L1494" i="138"/>
  <c r="L1495" i="138"/>
  <c r="L1496" i="138"/>
  <c r="L1497" i="138"/>
  <c r="L1498" i="138"/>
  <c r="L1499" i="138"/>
  <c r="L1500" i="138"/>
  <c r="L1501" i="138"/>
  <c r="L1502" i="138"/>
  <c r="L1503" i="138"/>
  <c r="L1504" i="138"/>
  <c r="L1505" i="138"/>
  <c r="L1506" i="138"/>
  <c r="L1507" i="138"/>
  <c r="L1508" i="138"/>
  <c r="L1509" i="138"/>
  <c r="L1510" i="138"/>
  <c r="L1511" i="138"/>
  <c r="L1512" i="138"/>
  <c r="L1513" i="138"/>
  <c r="L1514" i="138"/>
  <c r="L1515" i="138"/>
  <c r="L1516" i="138"/>
  <c r="L1517" i="138"/>
  <c r="L1518" i="138"/>
  <c r="L1519" i="138"/>
  <c r="L1520" i="138"/>
  <c r="L1521" i="138"/>
  <c r="L1522" i="138"/>
  <c r="L1523" i="138"/>
  <c r="L1524" i="138"/>
  <c r="L1525" i="138"/>
  <c r="L1526" i="138"/>
  <c r="L1527" i="138"/>
  <c r="L1528" i="138"/>
  <c r="L1529" i="138"/>
  <c r="L1530" i="138"/>
  <c r="L1531" i="138"/>
  <c r="L1532" i="138"/>
  <c r="L1533" i="138"/>
  <c r="L1534" i="138"/>
  <c r="L1535" i="138"/>
  <c r="L1536" i="138"/>
  <c r="L1537" i="138"/>
  <c r="L1538" i="138"/>
  <c r="L1539" i="138"/>
  <c r="L1540" i="138"/>
  <c r="L1541" i="138"/>
  <c r="L1542" i="138"/>
  <c r="L1543" i="138"/>
  <c r="L1544" i="138"/>
  <c r="L1545" i="138"/>
  <c r="L1546" i="138"/>
  <c r="L1547" i="138"/>
  <c r="L1548" i="138"/>
  <c r="L1549" i="138"/>
  <c r="L1550" i="138"/>
  <c r="L1551" i="138"/>
  <c r="L1552" i="138"/>
  <c r="L1553" i="138"/>
  <c r="L1554" i="138"/>
  <c r="L1555" i="138"/>
  <c r="L1556" i="138"/>
  <c r="L1557" i="138"/>
  <c r="L1558" i="138"/>
  <c r="L1559" i="138"/>
  <c r="L1560" i="138"/>
  <c r="L1561" i="138"/>
  <c r="L1562" i="138"/>
  <c r="L1563" i="138"/>
  <c r="L1564" i="138"/>
  <c r="L1565" i="138"/>
  <c r="L1566" i="138"/>
  <c r="L1567" i="138"/>
  <c r="L1568" i="138"/>
  <c r="L1569" i="138"/>
  <c r="L1570" i="138"/>
  <c r="L1571" i="138"/>
  <c r="L1572" i="138"/>
  <c r="L1573" i="138"/>
  <c r="L1574" i="138"/>
  <c r="L1575" i="138"/>
  <c r="L1576" i="138"/>
  <c r="L1577" i="138"/>
  <c r="L1578" i="138"/>
  <c r="L1579" i="138"/>
  <c r="L1580" i="138"/>
  <c r="L1581" i="138"/>
  <c r="L1582" i="138"/>
  <c r="L1583" i="138"/>
  <c r="L1584" i="138"/>
  <c r="L1585" i="138"/>
  <c r="L1586" i="138"/>
  <c r="L1587" i="138"/>
  <c r="L1588" i="138"/>
  <c r="L1589" i="138"/>
  <c r="L1590" i="138"/>
  <c r="L1591" i="138"/>
  <c r="L1592" i="138"/>
  <c r="L1593" i="138"/>
  <c r="L1594" i="138"/>
  <c r="L1595" i="138"/>
  <c r="L1596" i="138"/>
  <c r="L1597" i="138"/>
  <c r="L1598" i="138"/>
  <c r="L1599" i="138"/>
  <c r="L1600" i="138"/>
  <c r="L1601" i="138"/>
  <c r="L1602" i="138"/>
  <c r="L1603" i="138"/>
  <c r="L1604" i="138"/>
  <c r="L1605" i="138"/>
  <c r="L1606" i="138"/>
  <c r="L1607" i="138"/>
  <c r="L1608" i="138"/>
  <c r="L1609" i="138"/>
  <c r="L1610" i="138"/>
  <c r="L1611" i="138"/>
  <c r="L1612" i="138"/>
  <c r="L1613" i="138"/>
  <c r="L1614" i="138"/>
  <c r="L1615" i="138"/>
  <c r="L1616" i="138"/>
  <c r="L1617" i="138"/>
  <c r="L1618" i="138"/>
  <c r="L1619" i="138"/>
  <c r="L1620" i="138"/>
  <c r="L1621" i="138"/>
  <c r="L1622" i="138"/>
  <c r="L1623" i="138"/>
  <c r="L1624" i="138"/>
  <c r="L1625" i="138"/>
  <c r="L1626" i="138"/>
  <c r="L1627" i="138"/>
  <c r="L1628" i="138"/>
  <c r="L1629" i="138"/>
  <c r="L1630" i="138"/>
  <c r="L1631" i="138"/>
  <c r="L1632" i="138"/>
  <c r="L1633" i="138"/>
  <c r="L1634" i="138"/>
  <c r="L1635" i="138"/>
  <c r="L1636" i="138"/>
  <c r="L1637" i="138"/>
  <c r="L1638" i="138"/>
  <c r="L1639" i="138"/>
  <c r="L1640" i="138"/>
  <c r="L1641" i="138"/>
  <c r="L1642" i="138"/>
  <c r="L1643" i="138"/>
  <c r="L1644" i="138"/>
  <c r="L1645" i="138"/>
  <c r="L1646" i="138"/>
  <c r="L1647" i="138"/>
  <c r="L1648" i="138"/>
  <c r="L1649" i="138"/>
  <c r="L1650" i="138"/>
  <c r="L1651" i="138"/>
  <c r="L1652" i="138"/>
  <c r="L1653" i="138"/>
  <c r="L1654" i="138"/>
  <c r="L1655" i="138"/>
  <c r="L1656" i="138"/>
  <c r="L1657" i="138"/>
  <c r="L1658" i="138"/>
  <c r="L1659" i="138"/>
  <c r="L1660" i="138"/>
  <c r="L1661" i="138"/>
  <c r="L1662" i="138"/>
  <c r="L1663" i="138"/>
  <c r="L1664" i="138"/>
  <c r="L1665" i="138"/>
  <c r="L1666" i="138"/>
  <c r="L1667" i="138"/>
  <c r="L1668" i="138"/>
  <c r="L1669" i="138"/>
  <c r="L1670" i="138"/>
  <c r="L1671" i="138"/>
  <c r="L1672" i="138"/>
  <c r="L1673" i="138"/>
  <c r="L1674" i="138"/>
  <c r="L1675" i="138"/>
  <c r="L1676" i="138"/>
  <c r="L1677" i="138"/>
  <c r="L1678" i="138"/>
  <c r="L1679" i="138"/>
  <c r="L1680" i="138"/>
  <c r="L1681" i="138"/>
  <c r="L1682" i="138"/>
  <c r="L1683" i="138"/>
  <c r="L1684" i="138"/>
  <c r="L1685" i="138"/>
  <c r="L1686" i="138"/>
  <c r="L1687" i="138"/>
  <c r="L1688" i="138"/>
  <c r="L1689" i="138"/>
  <c r="L1690" i="138"/>
  <c r="L1691" i="138"/>
  <c r="L1692" i="138"/>
  <c r="L1693" i="138"/>
  <c r="L1694" i="138"/>
  <c r="L1695" i="138"/>
  <c r="L1696" i="138"/>
  <c r="L1697" i="138"/>
  <c r="L1698" i="138"/>
  <c r="L1699" i="138"/>
  <c r="L1700" i="138"/>
  <c r="L1701" i="138"/>
  <c r="L1702" i="138"/>
  <c r="L1703" i="138"/>
  <c r="L1704" i="138"/>
  <c r="L1705" i="138"/>
  <c r="L1706" i="138"/>
  <c r="L1707" i="138"/>
  <c r="L1708" i="138"/>
  <c r="L1709" i="138"/>
  <c r="L1710" i="138"/>
  <c r="L1711" i="138"/>
  <c r="L1712" i="138"/>
  <c r="L1713" i="138"/>
  <c r="L1714" i="138"/>
  <c r="L1715" i="138"/>
  <c r="L1716" i="138"/>
  <c r="L1717" i="138"/>
  <c r="L1718" i="138"/>
  <c r="L1719" i="138"/>
  <c r="L1720" i="138"/>
  <c r="L1721" i="138"/>
  <c r="L1722" i="138"/>
  <c r="L1723" i="138"/>
  <c r="L1724" i="138"/>
  <c r="L1725" i="138"/>
  <c r="L1726" i="138"/>
  <c r="L1727" i="138"/>
  <c r="L1728" i="138"/>
  <c r="L1729" i="138"/>
  <c r="L1730" i="138"/>
  <c r="L1731" i="138"/>
  <c r="L1732" i="138"/>
  <c r="L1733" i="138"/>
  <c r="L1734" i="138"/>
  <c r="L1735" i="138"/>
  <c r="L1736" i="138"/>
  <c r="L1737" i="138"/>
  <c r="L1738" i="138"/>
  <c r="L1739" i="138"/>
  <c r="L1740" i="138"/>
  <c r="L1741" i="138"/>
  <c r="L1742" i="138"/>
  <c r="L1743" i="138"/>
  <c r="L1744" i="138"/>
  <c r="L1745" i="138"/>
  <c r="L1746" i="138"/>
  <c r="L1747" i="138"/>
  <c r="L1748" i="138"/>
  <c r="L1749" i="138"/>
  <c r="L1750" i="138"/>
  <c r="L1751" i="138"/>
  <c r="L1752" i="138"/>
  <c r="L1753" i="138"/>
  <c r="L1754" i="138"/>
  <c r="L1755" i="138"/>
  <c r="L1756" i="138"/>
  <c r="L1757" i="138"/>
  <c r="L1758" i="138"/>
  <c r="L1759" i="138"/>
  <c r="L1760" i="138"/>
  <c r="L1761" i="138"/>
  <c r="L1762" i="138"/>
  <c r="L1763" i="138"/>
  <c r="L1764" i="138"/>
  <c r="L1765" i="138"/>
  <c r="L1766" i="138"/>
  <c r="L1767" i="138"/>
  <c r="L1768" i="138"/>
  <c r="L1769" i="138"/>
  <c r="L1770" i="138"/>
  <c r="L1771" i="138"/>
  <c r="L1772" i="138"/>
  <c r="L1773" i="138"/>
  <c r="L1774" i="138"/>
  <c r="L1775" i="138"/>
  <c r="L1776" i="138"/>
  <c r="L1777" i="138"/>
  <c r="L1778" i="138"/>
  <c r="L1779" i="138"/>
  <c r="L1780" i="138"/>
  <c r="L1781" i="138"/>
  <c r="L1782" i="138"/>
  <c r="L1783" i="138"/>
  <c r="L1784" i="138"/>
  <c r="L1785" i="138"/>
  <c r="L1786" i="138"/>
  <c r="L1787" i="138"/>
  <c r="L1788" i="138"/>
  <c r="L1789" i="138"/>
  <c r="L1790" i="138"/>
  <c r="L1791" i="138"/>
  <c r="L1792" i="138"/>
  <c r="L1793" i="138"/>
  <c r="L1794" i="138"/>
  <c r="L1795" i="138"/>
  <c r="L1796" i="138"/>
  <c r="L1797" i="138"/>
  <c r="L1798" i="138"/>
  <c r="L1799" i="138"/>
  <c r="L1800" i="138"/>
  <c r="L1801" i="138"/>
  <c r="L1802" i="138"/>
  <c r="L1803" i="138"/>
  <c r="L1804" i="138"/>
  <c r="L1805" i="138"/>
  <c r="L1806" i="138"/>
  <c r="L1807" i="138"/>
  <c r="L1808" i="138"/>
  <c r="L1809" i="138"/>
  <c r="L1810" i="138"/>
  <c r="L1811" i="138"/>
  <c r="L1812" i="138"/>
  <c r="L1813" i="138"/>
  <c r="L1814" i="138"/>
  <c r="L1815" i="138"/>
  <c r="L1816" i="138"/>
  <c r="L1817" i="138"/>
  <c r="L1818" i="138"/>
  <c r="L1819" i="138"/>
  <c r="L1820" i="138"/>
  <c r="L1821" i="138"/>
  <c r="L1822" i="138"/>
  <c r="L1823" i="138"/>
  <c r="L1824" i="138"/>
  <c r="L1825" i="138"/>
  <c r="L1826" i="138"/>
  <c r="L1827" i="138"/>
  <c r="L1828" i="138"/>
  <c r="L1829" i="138"/>
  <c r="L1830" i="138"/>
  <c r="L1831" i="138"/>
  <c r="L1832" i="138"/>
  <c r="L1833" i="138"/>
  <c r="L1834" i="138"/>
  <c r="L1835" i="138"/>
  <c r="L1836" i="138"/>
  <c r="L1837" i="138"/>
  <c r="L1838" i="138"/>
  <c r="L1839" i="138"/>
  <c r="L1840" i="138"/>
  <c r="L1841" i="138"/>
  <c r="L1842" i="138"/>
  <c r="L1843" i="138"/>
  <c r="L1844" i="138"/>
  <c r="L1845" i="138"/>
  <c r="L1846" i="138"/>
  <c r="L1847" i="138"/>
  <c r="L1848" i="138"/>
  <c r="L1849" i="138"/>
  <c r="L1850" i="138"/>
  <c r="L1851" i="138"/>
  <c r="L1852" i="138"/>
  <c r="L1853" i="138"/>
  <c r="L1854" i="138"/>
  <c r="L1855" i="138"/>
  <c r="L1856" i="138"/>
  <c r="L1857" i="138"/>
  <c r="L1858" i="138"/>
  <c r="L1859" i="138"/>
  <c r="L1860" i="138"/>
  <c r="L1861" i="138"/>
  <c r="L1862" i="138"/>
  <c r="L1863" i="138"/>
  <c r="L1864" i="138"/>
  <c r="L1865" i="138"/>
  <c r="L1866" i="138"/>
  <c r="L1867" i="138"/>
  <c r="L1868" i="138"/>
  <c r="L1869" i="138"/>
  <c r="L1870" i="138"/>
  <c r="L1871" i="138"/>
  <c r="L1872" i="138"/>
  <c r="L1873" i="138"/>
  <c r="L1874" i="138"/>
  <c r="L1875" i="138"/>
  <c r="L1876" i="138"/>
  <c r="L1877" i="138"/>
  <c r="L1878" i="138"/>
  <c r="L1879" i="138"/>
  <c r="L1880" i="138"/>
  <c r="L1881" i="138"/>
  <c r="L1882" i="138"/>
  <c r="L1883" i="138"/>
  <c r="L1884" i="138"/>
  <c r="L1885" i="138"/>
  <c r="L1886" i="138"/>
  <c r="L1887" i="138"/>
  <c r="L1888" i="138"/>
  <c r="L1889" i="138"/>
  <c r="L1890" i="138"/>
  <c r="L1891" i="138"/>
  <c r="L1892" i="138"/>
  <c r="L1893" i="138"/>
  <c r="L1894" i="138"/>
  <c r="L1895" i="138"/>
  <c r="L1896" i="138"/>
  <c r="L1897" i="138"/>
  <c r="L1898" i="138"/>
  <c r="L1899" i="138"/>
  <c r="L1900" i="138"/>
  <c r="L1901" i="138"/>
  <c r="L1902" i="138"/>
  <c r="L1903" i="138"/>
  <c r="L1904" i="138"/>
  <c r="L1905" i="138"/>
  <c r="L1906" i="138"/>
  <c r="L1907" i="138"/>
  <c r="L1908" i="138"/>
  <c r="L1909" i="138"/>
  <c r="L1910" i="138"/>
  <c r="L1911" i="138"/>
  <c r="L1912" i="138"/>
  <c r="L1913" i="138"/>
  <c r="L1914" i="138"/>
  <c r="L1915" i="138"/>
  <c r="L1916" i="138"/>
  <c r="L1917" i="138"/>
  <c r="L1918" i="138"/>
  <c r="L1919" i="138"/>
  <c r="L1920" i="138"/>
  <c r="L1921" i="138"/>
  <c r="L1922" i="138"/>
  <c r="L1923" i="138"/>
  <c r="L1924" i="138"/>
  <c r="L1925" i="138"/>
  <c r="L1926" i="138"/>
  <c r="L1927" i="138"/>
  <c r="L1928" i="138"/>
  <c r="L1929" i="138"/>
  <c r="L1930" i="138"/>
  <c r="L1931" i="138"/>
  <c r="L1932" i="138"/>
  <c r="L1933" i="138"/>
  <c r="L1934" i="138"/>
  <c r="L1935" i="138"/>
  <c r="L1936" i="138"/>
  <c r="L1937" i="138"/>
  <c r="L1938" i="138"/>
  <c r="L1939" i="138"/>
  <c r="L1940" i="138"/>
  <c r="L1941" i="138"/>
  <c r="L1942" i="138"/>
  <c r="L1943" i="138"/>
  <c r="L1944" i="138"/>
  <c r="L1945" i="138"/>
  <c r="L1946" i="138"/>
  <c r="L1947" i="138"/>
  <c r="L1948" i="138"/>
  <c r="L1949" i="138"/>
  <c r="L1950" i="138"/>
  <c r="L1951" i="138"/>
  <c r="L1952" i="138"/>
  <c r="L1953" i="138"/>
  <c r="L1954" i="138"/>
  <c r="L1955" i="138"/>
  <c r="L1956" i="138"/>
  <c r="L1957" i="138"/>
  <c r="L1958" i="138"/>
  <c r="L1959" i="138"/>
  <c r="L1960" i="138"/>
  <c r="L1961" i="138"/>
  <c r="L1962" i="138"/>
  <c r="L1963" i="138"/>
  <c r="L1964" i="138"/>
  <c r="L1965" i="138"/>
  <c r="L1966" i="138"/>
  <c r="L1967" i="138"/>
  <c r="L1968" i="138"/>
  <c r="L1969" i="138"/>
  <c r="L1970" i="138"/>
  <c r="L1971" i="138"/>
  <c r="L1972" i="138"/>
  <c r="L1973" i="138"/>
  <c r="L1974" i="138"/>
  <c r="L1975" i="138"/>
  <c r="L1976" i="138"/>
  <c r="L1977" i="138"/>
  <c r="L1978" i="138"/>
  <c r="L1979" i="138"/>
  <c r="L1980" i="138"/>
  <c r="L1981" i="138"/>
  <c r="L1982" i="138"/>
  <c r="L1983" i="138"/>
  <c r="L1984" i="138"/>
  <c r="L1985" i="138"/>
  <c r="L1986" i="138"/>
  <c r="L1987" i="138"/>
  <c r="L1988" i="138"/>
  <c r="L1989" i="138"/>
  <c r="L1990" i="138"/>
  <c r="L1991" i="138"/>
  <c r="L1992" i="138"/>
  <c r="L1993" i="138"/>
  <c r="L1994" i="138"/>
  <c r="L1995" i="138"/>
  <c r="L1996" i="138"/>
  <c r="L1997" i="138"/>
  <c r="L1998" i="138"/>
  <c r="L1999" i="138"/>
  <c r="L2000" i="138"/>
  <c r="L2001" i="138"/>
  <c r="L2002" i="138"/>
  <c r="L2003" i="138"/>
  <c r="L2004" i="138"/>
  <c r="L2005" i="138"/>
  <c r="L2006" i="138"/>
  <c r="L2007" i="138"/>
  <c r="L2008" i="138"/>
  <c r="L2009" i="138"/>
  <c r="L2010" i="138"/>
  <c r="L2011" i="138"/>
  <c r="L2012" i="138"/>
  <c r="L2013" i="138"/>
  <c r="L2014" i="138"/>
  <c r="L2015" i="138"/>
  <c r="L2016" i="138"/>
  <c r="L2017" i="138"/>
  <c r="L2018" i="138"/>
  <c r="L2019" i="138"/>
  <c r="L2020" i="138"/>
  <c r="L2021" i="138"/>
  <c r="L2022" i="138"/>
  <c r="L2023" i="138"/>
  <c r="L2024" i="138"/>
  <c r="L2025" i="138"/>
  <c r="L2026" i="138"/>
  <c r="L2027" i="138"/>
  <c r="L2028" i="138"/>
  <c r="L2029" i="138"/>
  <c r="L2030" i="138"/>
  <c r="L2031" i="138"/>
  <c r="L2032" i="138"/>
  <c r="L2033" i="138"/>
  <c r="L2034" i="138"/>
  <c r="L2035" i="138"/>
  <c r="L2036" i="138"/>
  <c r="L2037" i="138"/>
  <c r="L2038" i="138"/>
  <c r="L2039" i="138"/>
  <c r="L2040" i="138"/>
  <c r="L2041" i="138"/>
  <c r="L2042" i="138"/>
  <c r="L2043" i="138"/>
  <c r="L2044" i="138"/>
  <c r="L2045" i="138"/>
  <c r="L2046" i="138"/>
  <c r="L2047" i="138"/>
  <c r="L2048" i="138"/>
  <c r="L2049" i="138"/>
  <c r="L2050" i="138"/>
  <c r="L2051" i="138"/>
  <c r="L2052" i="138"/>
  <c r="L2053" i="138"/>
  <c r="L2054" i="138"/>
  <c r="L2055" i="138"/>
  <c r="L2056" i="138"/>
  <c r="L2057" i="138"/>
  <c r="L2058" i="138"/>
  <c r="L2059" i="138"/>
  <c r="L2060" i="138"/>
  <c r="L2061" i="138"/>
  <c r="L2062" i="138"/>
  <c r="L2063" i="138"/>
  <c r="L2064" i="138"/>
  <c r="L2065" i="138"/>
  <c r="L2066" i="138"/>
  <c r="L2067" i="138"/>
  <c r="L2068" i="138"/>
  <c r="L2069" i="138"/>
  <c r="L2070" i="138"/>
  <c r="L2071" i="138"/>
  <c r="L2072" i="138"/>
  <c r="L2073" i="138"/>
  <c r="L2074" i="138"/>
  <c r="L2075" i="138"/>
  <c r="L2076" i="138"/>
  <c r="L2077" i="138"/>
  <c r="L2078" i="138"/>
  <c r="L2079" i="138"/>
  <c r="L2080" i="138"/>
  <c r="L2081" i="138"/>
  <c r="L2082" i="138"/>
  <c r="L2083" i="138"/>
  <c r="L2084" i="138"/>
  <c r="L2085" i="138"/>
  <c r="L2086" i="138"/>
  <c r="L2087" i="138"/>
  <c r="L2088" i="138"/>
  <c r="L2089" i="138"/>
  <c r="L2090" i="138"/>
  <c r="L2091" i="138"/>
  <c r="L2092" i="138"/>
  <c r="L2093" i="138"/>
  <c r="L2094" i="138"/>
  <c r="L2095" i="138"/>
  <c r="L2096" i="138"/>
  <c r="L2097" i="138"/>
  <c r="L2098" i="138"/>
  <c r="L2099" i="138"/>
  <c r="L2100" i="138"/>
  <c r="L2101" i="138"/>
  <c r="L2102" i="138"/>
  <c r="L2103" i="138"/>
  <c r="L2104" i="138"/>
  <c r="L2105" i="138"/>
  <c r="L2106" i="138"/>
  <c r="L2107" i="138"/>
  <c r="L2108" i="138"/>
  <c r="L2109" i="138"/>
  <c r="L2110" i="138"/>
  <c r="L2111" i="138"/>
  <c r="L2112" i="138"/>
  <c r="L2113" i="138"/>
  <c r="L2114" i="138"/>
  <c r="L2115" i="138"/>
  <c r="L2116" i="138"/>
  <c r="L2117" i="138"/>
  <c r="L2118" i="138"/>
  <c r="L2119" i="138"/>
  <c r="L2120" i="138"/>
  <c r="L2121" i="138"/>
  <c r="L2122" i="138"/>
  <c r="L2123" i="138"/>
  <c r="L2124" i="138"/>
  <c r="L2125" i="138"/>
  <c r="L2126" i="138"/>
  <c r="L2127" i="138"/>
  <c r="L2128" i="138"/>
  <c r="L2129" i="138"/>
  <c r="L2130" i="138"/>
  <c r="L2131" i="138"/>
  <c r="L2132" i="138"/>
  <c r="L2133" i="138"/>
  <c r="L2134" i="138"/>
  <c r="L2135" i="138"/>
  <c r="L2136" i="138"/>
  <c r="L2137" i="138"/>
  <c r="L2138" i="138"/>
  <c r="L2139" i="138"/>
  <c r="L2140" i="138"/>
  <c r="L2141" i="138"/>
  <c r="L2142" i="138"/>
  <c r="L2143" i="138"/>
  <c r="L2144" i="138"/>
  <c r="L2145" i="138"/>
  <c r="L2146" i="138"/>
  <c r="L2147" i="138"/>
  <c r="L2148" i="138"/>
  <c r="L2149" i="138"/>
  <c r="L2150" i="138"/>
  <c r="L2151" i="138"/>
  <c r="L2152" i="138"/>
  <c r="L2153" i="138"/>
  <c r="L2154" i="138"/>
  <c r="L2155" i="138"/>
  <c r="L2156" i="138"/>
  <c r="L2157" i="138"/>
  <c r="L2158" i="138"/>
  <c r="L2159" i="138"/>
  <c r="L2160" i="138"/>
  <c r="L2161" i="138"/>
  <c r="L2162" i="138"/>
  <c r="L2163" i="138"/>
  <c r="L2164" i="138"/>
  <c r="L2165" i="138"/>
  <c r="L2166" i="138"/>
  <c r="L2167" i="138"/>
  <c r="L2168" i="138"/>
  <c r="L2169" i="138"/>
  <c r="L2170" i="138"/>
  <c r="L2171" i="138"/>
  <c r="L2172" i="138"/>
  <c r="L2173" i="138"/>
  <c r="L2174" i="138"/>
  <c r="L2175" i="138"/>
  <c r="L2176" i="138"/>
  <c r="L2177" i="138"/>
  <c r="L2178" i="138"/>
  <c r="L2179" i="138"/>
  <c r="L2180" i="138"/>
  <c r="L2181" i="138"/>
  <c r="L2182" i="138"/>
  <c r="L2183" i="138"/>
  <c r="L2184" i="138"/>
  <c r="L2185" i="138"/>
  <c r="L2186" i="138"/>
  <c r="L2187" i="138"/>
  <c r="L2188" i="138"/>
  <c r="L2189" i="138"/>
  <c r="L2190" i="138"/>
  <c r="L2191" i="138"/>
  <c r="L2192" i="138"/>
  <c r="L2193" i="138"/>
  <c r="L2194" i="138"/>
  <c r="L2195" i="138"/>
  <c r="L2196" i="138"/>
  <c r="L2197" i="138"/>
  <c r="L2198" i="138"/>
  <c r="L2199" i="138"/>
  <c r="L2200" i="138"/>
  <c r="L2201" i="138"/>
  <c r="L2202" i="138"/>
  <c r="L2203" i="138"/>
  <c r="L2204" i="138"/>
  <c r="L2205" i="138"/>
  <c r="L2206" i="138"/>
  <c r="L2207" i="138"/>
  <c r="L2208" i="138"/>
  <c r="L2209" i="138"/>
  <c r="L2210" i="138"/>
  <c r="L2211" i="138"/>
  <c r="L2212" i="138"/>
  <c r="L2213" i="138"/>
  <c r="L2214" i="138"/>
  <c r="L2215" i="138"/>
  <c r="L2216" i="138"/>
  <c r="L2217" i="138"/>
  <c r="L2218" i="138"/>
  <c r="L2219" i="138"/>
  <c r="L2220" i="138"/>
  <c r="L2221" i="138"/>
  <c r="L2222" i="138"/>
  <c r="L2223" i="138"/>
  <c r="L2224" i="138"/>
  <c r="L2225" i="138"/>
  <c r="L2226" i="138"/>
  <c r="L2227" i="138"/>
  <c r="L2228" i="138"/>
  <c r="L2229" i="138"/>
  <c r="L2230" i="138"/>
  <c r="L2231" i="138"/>
  <c r="L2232" i="138"/>
  <c r="L2233" i="138"/>
  <c r="L2234" i="138"/>
  <c r="L2235" i="138"/>
  <c r="L2236" i="138"/>
  <c r="L2237" i="138"/>
  <c r="L2238" i="138"/>
  <c r="L2239" i="138"/>
  <c r="L2240" i="138"/>
  <c r="L2241" i="138"/>
  <c r="L2242" i="138"/>
  <c r="L2243" i="138"/>
  <c r="L2244" i="138"/>
  <c r="L2245" i="138"/>
  <c r="L2246" i="138"/>
  <c r="L2247" i="138"/>
  <c r="L2248" i="138"/>
  <c r="L2249" i="138"/>
  <c r="L2250" i="138"/>
  <c r="L2251" i="138"/>
  <c r="L2252" i="138"/>
  <c r="L2253" i="138"/>
  <c r="L2254" i="138"/>
  <c r="L2255" i="138"/>
  <c r="L2256" i="138"/>
  <c r="L2257" i="138"/>
  <c r="L2258" i="138"/>
  <c r="L2259" i="138"/>
  <c r="L2260" i="138"/>
  <c r="L2261" i="138"/>
  <c r="L2262" i="138"/>
  <c r="L2263" i="138"/>
  <c r="L2264" i="138"/>
  <c r="L2265" i="138"/>
  <c r="L2266" i="138"/>
  <c r="L2267" i="138"/>
  <c r="L2268" i="138"/>
  <c r="L2269" i="138"/>
  <c r="L2270" i="138"/>
  <c r="L2271" i="138"/>
  <c r="L2272" i="138"/>
  <c r="L2273" i="138"/>
  <c r="L2274" i="138"/>
  <c r="L2275" i="138"/>
  <c r="L2276" i="138"/>
  <c r="L2277" i="138"/>
  <c r="L2278" i="138"/>
  <c r="L2279" i="138"/>
  <c r="L2280" i="138"/>
  <c r="L2281" i="138"/>
  <c r="L2282" i="138"/>
  <c r="L2283" i="138"/>
  <c r="L2284" i="138"/>
  <c r="L2285" i="138"/>
  <c r="L2286" i="138"/>
  <c r="L2287" i="138"/>
  <c r="L2288" i="138"/>
  <c r="L2289" i="138"/>
  <c r="L2290" i="138"/>
  <c r="L2291" i="138"/>
  <c r="L2292" i="138"/>
  <c r="L2293" i="138"/>
  <c r="L2294" i="138"/>
  <c r="L2295" i="138"/>
  <c r="L2296" i="138"/>
  <c r="L2297" i="138"/>
  <c r="L2298" i="138"/>
  <c r="L2299" i="138"/>
  <c r="L2300" i="138"/>
  <c r="L2301" i="138"/>
  <c r="L2302" i="138"/>
  <c r="L2303" i="138"/>
  <c r="L2304" i="138"/>
  <c r="L2305" i="138"/>
  <c r="L2306" i="138"/>
  <c r="L2307" i="138"/>
  <c r="L2308" i="138"/>
  <c r="L2309" i="138"/>
  <c r="L2310" i="138"/>
  <c r="L2311" i="138"/>
  <c r="L2312" i="138"/>
  <c r="L2313" i="138"/>
  <c r="L2314" i="138"/>
  <c r="L2315" i="138"/>
  <c r="L2316" i="138"/>
  <c r="L2317" i="138"/>
  <c r="L2318" i="138"/>
  <c r="L2319" i="138"/>
  <c r="L2320" i="138"/>
  <c r="L2321" i="138"/>
  <c r="L2322" i="138"/>
  <c r="L2323" i="138"/>
  <c r="L2324" i="138"/>
  <c r="L2325" i="138"/>
  <c r="L2326" i="138"/>
  <c r="L2327" i="138"/>
  <c r="L2328" i="138"/>
  <c r="L2329" i="138"/>
  <c r="L2330" i="138"/>
  <c r="L2331" i="138"/>
  <c r="L2332" i="138"/>
  <c r="L2333" i="138"/>
  <c r="L2334" i="138"/>
  <c r="L2335" i="138"/>
  <c r="L2336" i="138"/>
  <c r="L2337" i="138"/>
  <c r="L2338" i="138"/>
  <c r="L2339" i="138"/>
  <c r="L2340" i="138"/>
  <c r="L2341" i="138"/>
  <c r="L2342" i="138"/>
  <c r="L2343" i="138"/>
  <c r="L2344" i="138"/>
  <c r="L2345" i="138"/>
  <c r="L2346" i="138"/>
  <c r="L2347" i="138"/>
  <c r="L2348" i="138"/>
  <c r="L2349" i="138"/>
  <c r="L2350" i="138"/>
  <c r="L2351" i="138"/>
  <c r="L2352" i="138"/>
  <c r="L2353" i="138"/>
  <c r="L2354" i="138"/>
  <c r="L2355" i="138"/>
  <c r="L2356" i="138"/>
  <c r="L2357" i="138"/>
  <c r="L2358" i="138"/>
  <c r="L2359" i="138"/>
  <c r="L2360" i="138"/>
  <c r="L2361" i="138"/>
  <c r="L2362" i="138"/>
  <c r="L2363" i="138"/>
  <c r="L2364" i="138"/>
  <c r="L2365" i="138"/>
  <c r="L2366" i="138"/>
  <c r="L2367" i="138"/>
  <c r="L2368" i="138"/>
  <c r="L2369" i="138"/>
  <c r="L2370" i="138"/>
  <c r="L2371" i="138"/>
  <c r="L2372" i="138"/>
  <c r="L2373" i="138"/>
  <c r="L2374" i="138"/>
  <c r="L2375" i="138"/>
  <c r="L2376" i="138"/>
  <c r="L2377" i="138"/>
  <c r="L2378" i="138"/>
  <c r="L2379" i="138"/>
  <c r="L2380" i="138"/>
  <c r="L2381" i="138"/>
  <c r="L2382" i="138"/>
  <c r="L2383" i="138"/>
  <c r="L2384" i="138"/>
  <c r="L2385" i="138"/>
  <c r="L2386" i="138"/>
  <c r="L2387" i="138"/>
  <c r="L2388" i="138"/>
  <c r="L2389" i="138"/>
  <c r="L2390" i="138"/>
  <c r="L2391" i="138"/>
  <c r="L2392" i="138"/>
  <c r="L2393" i="138"/>
  <c r="L2394" i="138"/>
  <c r="L2395" i="138"/>
  <c r="L2396" i="138"/>
  <c r="L2397" i="138"/>
  <c r="L2398" i="138"/>
  <c r="L2399" i="138"/>
  <c r="L2400" i="138"/>
  <c r="L2401" i="138"/>
  <c r="L2402" i="138"/>
  <c r="L2403" i="138"/>
  <c r="L2404" i="138"/>
  <c r="L2405" i="138"/>
  <c r="L2406" i="138"/>
  <c r="L2407" i="138"/>
  <c r="L2408" i="138"/>
  <c r="L2409" i="138"/>
  <c r="L2410" i="138"/>
  <c r="L2411" i="138"/>
  <c r="L2412" i="138"/>
  <c r="L2413" i="138"/>
  <c r="L2414" i="138"/>
  <c r="L2415" i="138"/>
  <c r="L2416" i="138"/>
  <c r="L2417" i="138"/>
  <c r="L2418" i="138"/>
  <c r="L2419" i="138"/>
  <c r="L2420" i="138"/>
  <c r="L2421" i="138"/>
  <c r="L2422" i="138"/>
  <c r="L2423" i="138"/>
  <c r="L2424" i="138"/>
  <c r="L2425" i="138"/>
  <c r="L2426" i="138"/>
  <c r="L2427" i="138"/>
  <c r="L2428" i="138"/>
  <c r="L2429" i="138"/>
  <c r="L2430" i="138"/>
  <c r="L2431" i="138"/>
  <c r="L2432" i="138"/>
  <c r="L2433" i="138"/>
  <c r="L2434" i="138"/>
  <c r="L2435" i="138"/>
  <c r="L2436" i="138"/>
  <c r="L2437" i="138"/>
  <c r="L2438" i="138"/>
  <c r="L2439" i="138"/>
  <c r="L2440" i="138"/>
  <c r="L2441" i="138"/>
  <c r="L2442" i="138"/>
  <c r="L2443" i="138"/>
  <c r="L2444" i="138"/>
  <c r="L2445" i="138"/>
  <c r="L2446" i="138"/>
  <c r="L2447" i="138"/>
  <c r="L2448" i="138"/>
  <c r="L2449" i="138"/>
  <c r="L2450" i="138"/>
  <c r="L2451" i="138"/>
  <c r="L2452" i="138"/>
  <c r="L2453" i="138"/>
  <c r="L2454" i="138"/>
  <c r="L2455" i="138"/>
  <c r="L2456" i="138"/>
  <c r="L2457" i="138"/>
  <c r="L2458" i="138"/>
  <c r="L2459" i="138"/>
  <c r="L2460" i="138"/>
  <c r="L2461" i="138"/>
  <c r="L2462" i="138"/>
  <c r="L2463" i="138"/>
  <c r="L2464" i="138"/>
  <c r="L2465" i="138"/>
  <c r="L2466" i="138"/>
  <c r="L2467" i="138"/>
  <c r="L2468" i="138"/>
  <c r="L2469" i="138"/>
  <c r="L2470" i="138"/>
  <c r="L2471" i="138"/>
  <c r="L2472" i="138"/>
  <c r="L2473" i="138"/>
  <c r="L2474" i="138"/>
  <c r="L2475" i="138"/>
  <c r="L2476" i="138"/>
  <c r="L2477" i="138"/>
  <c r="L2478" i="138"/>
  <c r="L2479" i="138"/>
  <c r="L2480" i="138"/>
  <c r="L2481" i="138"/>
  <c r="L2482" i="138"/>
  <c r="L2483" i="138"/>
  <c r="L2484" i="138"/>
  <c r="L2485" i="138"/>
  <c r="L2486" i="138"/>
  <c r="L2487" i="138"/>
  <c r="L2488" i="138"/>
  <c r="L2489" i="138"/>
  <c r="L2490" i="138"/>
  <c r="L2491" i="138"/>
  <c r="L2492" i="138"/>
  <c r="L2493" i="138"/>
  <c r="L2494" i="138"/>
  <c r="L2495" i="138"/>
  <c r="L2496" i="138"/>
  <c r="L2497" i="138"/>
  <c r="L2498" i="138"/>
  <c r="L2499" i="138"/>
  <c r="L2500" i="138"/>
  <c r="L2501" i="138"/>
  <c r="L2502" i="138"/>
  <c r="L2503" i="138"/>
  <c r="L2504" i="138"/>
  <c r="L2505" i="138"/>
  <c r="L2506" i="138"/>
  <c r="L2507" i="138"/>
  <c r="L2508" i="138"/>
  <c r="L2509" i="138"/>
  <c r="L2510" i="138"/>
  <c r="L2511" i="138"/>
  <c r="L2512" i="138"/>
  <c r="L2513" i="138"/>
  <c r="L2514" i="138"/>
  <c r="L2515" i="138"/>
  <c r="L2516" i="138"/>
  <c r="L2517" i="138"/>
  <c r="L2518" i="138"/>
  <c r="L2519" i="138"/>
  <c r="L2520" i="138"/>
  <c r="L2521" i="138"/>
  <c r="L2522" i="138"/>
  <c r="L2523" i="138"/>
  <c r="L2524" i="138"/>
  <c r="L2525" i="138"/>
  <c r="L2526" i="138"/>
  <c r="L2527" i="138"/>
  <c r="L2528" i="138"/>
  <c r="L2529" i="138"/>
  <c r="L2530" i="138"/>
  <c r="L2531" i="138"/>
  <c r="L2532" i="138"/>
  <c r="L2533" i="138"/>
  <c r="L2534" i="138"/>
  <c r="L2535" i="138"/>
  <c r="L2536" i="138"/>
  <c r="L2537" i="138"/>
  <c r="L2538" i="138"/>
  <c r="L2539" i="138"/>
  <c r="L2540" i="138"/>
  <c r="L2541" i="138"/>
  <c r="L2542" i="138"/>
  <c r="L2543" i="138"/>
  <c r="L2544" i="138"/>
  <c r="L2545" i="138"/>
  <c r="L2546" i="138"/>
  <c r="L2547" i="138"/>
  <c r="L2548" i="138"/>
  <c r="L2549" i="138"/>
  <c r="L2550" i="138"/>
  <c r="L2551" i="138"/>
  <c r="L2552" i="138"/>
  <c r="L2553" i="138"/>
  <c r="L2554" i="138"/>
  <c r="L2555" i="138"/>
  <c r="L2556" i="138"/>
  <c r="L2557" i="138"/>
  <c r="L2558" i="138"/>
  <c r="L2559" i="138"/>
  <c r="L2560" i="138"/>
  <c r="L2561" i="138"/>
  <c r="L2562" i="138"/>
  <c r="L2563" i="138"/>
  <c r="L2564" i="138"/>
  <c r="L2565" i="138"/>
  <c r="L2566" i="138"/>
  <c r="L2567" i="138"/>
  <c r="L2568" i="138"/>
  <c r="L2569" i="138"/>
  <c r="L2570" i="138"/>
  <c r="L2571" i="138"/>
  <c r="L2572" i="138"/>
  <c r="L2573" i="138"/>
  <c r="L2574" i="138"/>
  <c r="L2575" i="138"/>
  <c r="L2576" i="138"/>
  <c r="L2577" i="138"/>
  <c r="L2578" i="138"/>
  <c r="L2579" i="138"/>
  <c r="L2580" i="138"/>
  <c r="L2581" i="138"/>
  <c r="L2582" i="138"/>
  <c r="L2583" i="138"/>
  <c r="L2584" i="138"/>
  <c r="L2585" i="138"/>
  <c r="L2586" i="138"/>
  <c r="L2587" i="138"/>
  <c r="L2588" i="138"/>
  <c r="L2589" i="138"/>
  <c r="L2590" i="138"/>
  <c r="L2591" i="138"/>
  <c r="L2592" i="138"/>
  <c r="L2593" i="138"/>
  <c r="L2594" i="138"/>
  <c r="L2595" i="138"/>
  <c r="L2596" i="138"/>
  <c r="L2597" i="138"/>
  <c r="L2598" i="138"/>
  <c r="L2599" i="138"/>
  <c r="L2600" i="138"/>
  <c r="L2601" i="138"/>
  <c r="L2602" i="138"/>
  <c r="L2603" i="138"/>
  <c r="L2604" i="138"/>
  <c r="L2605" i="138"/>
  <c r="L2606" i="138"/>
  <c r="L2607" i="138"/>
  <c r="L2608" i="138"/>
  <c r="L2609" i="138"/>
  <c r="L2610" i="138"/>
  <c r="L2611" i="138"/>
  <c r="L2612" i="138"/>
  <c r="L2613" i="138"/>
  <c r="L2614" i="138"/>
  <c r="L2615" i="138"/>
  <c r="L2616" i="138"/>
  <c r="L2617" i="138"/>
  <c r="L2618" i="138"/>
  <c r="L2619" i="138"/>
  <c r="L2620" i="138"/>
  <c r="L2621" i="138"/>
  <c r="L2622" i="138"/>
  <c r="L2623" i="138"/>
  <c r="L2624" i="138"/>
  <c r="L2625" i="138"/>
  <c r="L2626" i="138"/>
  <c r="L2627" i="138"/>
  <c r="L2628" i="138"/>
  <c r="L2629" i="138"/>
  <c r="L2630" i="138"/>
  <c r="L2631" i="138"/>
  <c r="L2632" i="138"/>
  <c r="L2633" i="138"/>
  <c r="L2634" i="138"/>
  <c r="L2635" i="138"/>
  <c r="L2636" i="138"/>
  <c r="L2637" i="138"/>
  <c r="L2638" i="138"/>
  <c r="L2639" i="138"/>
  <c r="L2640" i="138"/>
  <c r="L2641" i="138"/>
  <c r="L2642" i="138"/>
  <c r="L2643" i="138"/>
  <c r="L2644" i="138"/>
  <c r="L2645" i="138"/>
  <c r="L2646" i="138"/>
  <c r="L2647" i="138"/>
  <c r="L2648" i="138"/>
  <c r="L2649" i="138"/>
  <c r="L2650" i="138"/>
  <c r="L2651" i="138"/>
  <c r="L2652" i="138"/>
  <c r="L2653" i="138"/>
  <c r="L2654" i="138"/>
  <c r="L2655" i="138"/>
  <c r="L2656" i="138"/>
  <c r="L2657" i="138"/>
  <c r="L2658" i="138"/>
  <c r="L2659" i="138"/>
  <c r="L2660" i="138"/>
  <c r="L2661" i="138"/>
  <c r="L2662" i="138"/>
  <c r="L2663" i="138"/>
  <c r="L2664" i="138"/>
  <c r="L2665" i="138"/>
  <c r="L2666" i="138"/>
  <c r="L2667" i="138"/>
  <c r="L2668" i="138"/>
  <c r="L2669" i="138"/>
  <c r="L2670" i="138"/>
  <c r="L2671" i="138"/>
  <c r="L2672" i="138"/>
  <c r="L2673" i="138"/>
  <c r="L2674" i="138"/>
  <c r="L2675" i="138"/>
  <c r="L2676" i="138"/>
  <c r="L2677" i="138"/>
  <c r="L2678" i="138"/>
  <c r="L2679" i="138"/>
  <c r="L2680" i="138"/>
  <c r="L2681" i="138"/>
  <c r="L2682" i="138"/>
  <c r="L2683" i="138"/>
  <c r="L2684" i="138"/>
  <c r="L2685" i="138"/>
  <c r="L2686" i="138"/>
  <c r="L2687" i="138"/>
  <c r="L2688" i="138"/>
  <c r="L2689" i="138"/>
  <c r="L2690" i="138"/>
  <c r="L2691" i="138"/>
  <c r="L2692" i="138"/>
  <c r="L2693" i="138"/>
  <c r="L2694" i="138"/>
  <c r="L2695" i="138"/>
  <c r="L2696" i="138"/>
  <c r="L2697" i="138"/>
  <c r="L2698" i="138"/>
  <c r="L2699" i="138"/>
  <c r="L2700" i="138"/>
  <c r="L2701" i="138"/>
  <c r="L2702" i="138"/>
  <c r="L2703" i="138"/>
  <c r="L2704" i="138"/>
  <c r="L2705" i="138"/>
  <c r="L2706" i="138"/>
  <c r="L2707" i="138"/>
  <c r="L2708" i="138"/>
  <c r="L2709" i="138"/>
  <c r="L2710" i="138"/>
  <c r="L2711" i="138"/>
  <c r="L2712" i="138"/>
  <c r="L2713" i="138"/>
  <c r="L2714" i="138"/>
  <c r="L2715" i="138"/>
  <c r="L2716" i="138"/>
  <c r="L2717" i="138"/>
  <c r="L2718" i="138"/>
  <c r="L2719" i="138"/>
  <c r="L2720" i="138"/>
  <c r="L2721" i="138"/>
  <c r="L2722" i="138"/>
  <c r="L2723" i="138"/>
  <c r="L2724" i="138"/>
  <c r="L2725" i="138"/>
  <c r="L2726" i="138"/>
  <c r="L2727" i="138"/>
  <c r="L2728" i="138"/>
  <c r="L2729" i="138"/>
  <c r="L2730" i="138"/>
  <c r="L2731" i="138"/>
  <c r="L2732" i="138"/>
  <c r="L2733" i="138"/>
  <c r="L2734" i="138"/>
  <c r="L2735" i="138"/>
  <c r="L2736" i="138"/>
  <c r="L2737" i="138"/>
  <c r="L2738" i="138"/>
  <c r="L2739" i="138"/>
  <c r="L2740" i="138"/>
  <c r="L2741" i="138"/>
  <c r="L2742" i="138"/>
  <c r="L2743" i="138"/>
  <c r="L2744" i="138"/>
  <c r="L2745" i="138"/>
  <c r="L2746" i="138"/>
  <c r="L2747" i="138"/>
  <c r="L2748" i="138"/>
  <c r="L2749" i="138"/>
  <c r="L2750" i="138"/>
  <c r="L2751" i="138"/>
  <c r="L2752" i="138"/>
  <c r="L2753" i="138"/>
  <c r="L2754" i="138"/>
  <c r="L2755" i="138"/>
  <c r="L2756" i="138"/>
  <c r="L2757" i="138"/>
  <c r="L2758" i="138"/>
  <c r="L2759" i="138"/>
  <c r="L2760" i="138"/>
  <c r="L2761" i="138"/>
  <c r="L2762" i="138"/>
  <c r="L2763" i="138"/>
  <c r="L2764" i="138"/>
  <c r="L2765" i="138"/>
  <c r="L2766" i="138"/>
  <c r="L2767" i="138"/>
  <c r="L2768" i="138"/>
  <c r="L2769" i="138"/>
  <c r="L2770" i="138"/>
  <c r="L2771" i="138"/>
  <c r="L2772" i="138"/>
  <c r="L2773" i="138"/>
  <c r="L2774" i="138"/>
  <c r="L2775" i="138"/>
  <c r="L2776" i="138"/>
  <c r="L2777" i="138"/>
  <c r="L2778" i="138"/>
  <c r="L2779" i="138"/>
  <c r="L2780" i="138"/>
  <c r="L2781" i="138"/>
  <c r="L2782" i="138"/>
  <c r="L2783" i="138"/>
  <c r="L2784" i="138"/>
  <c r="L2785" i="138"/>
  <c r="L2786" i="138"/>
  <c r="L2787" i="138"/>
  <c r="L2788" i="138"/>
  <c r="L2789" i="138"/>
  <c r="L2790" i="138"/>
  <c r="L2791" i="138"/>
  <c r="L2792" i="138"/>
  <c r="L2793" i="138"/>
  <c r="L2794" i="138"/>
  <c r="L2795" i="138"/>
  <c r="L2796" i="138"/>
  <c r="L2797" i="138"/>
  <c r="L2798" i="138"/>
  <c r="L2799" i="138"/>
  <c r="L2800" i="138"/>
  <c r="L2801" i="138"/>
  <c r="L2802" i="138"/>
  <c r="L2803" i="138"/>
  <c r="L2804" i="138"/>
  <c r="L2805" i="138"/>
  <c r="L2806" i="138"/>
  <c r="L2807" i="138"/>
  <c r="L2808" i="138"/>
  <c r="L2809" i="138"/>
  <c r="L2810" i="138"/>
  <c r="L2811" i="138"/>
  <c r="L2812" i="138"/>
  <c r="L2813" i="138"/>
  <c r="L2814" i="138"/>
  <c r="L2815" i="138"/>
  <c r="L2816" i="138"/>
  <c r="L2817" i="138"/>
  <c r="L2818" i="138"/>
  <c r="L2819" i="138"/>
  <c r="L2820" i="138"/>
  <c r="L2821" i="138"/>
  <c r="L2822" i="138"/>
  <c r="L2823" i="138"/>
  <c r="L2824" i="138"/>
  <c r="L2825" i="138"/>
  <c r="L2826" i="138"/>
  <c r="L2827" i="138"/>
  <c r="L2828" i="138"/>
  <c r="L2829" i="138"/>
  <c r="L2830" i="138"/>
  <c r="L2831" i="138"/>
  <c r="L2832" i="138"/>
  <c r="L2833" i="138"/>
  <c r="L2834" i="138"/>
  <c r="L2835" i="138"/>
  <c r="L2836" i="138"/>
  <c r="L2837" i="138"/>
  <c r="L2838" i="138"/>
  <c r="L2839" i="138"/>
  <c r="L2840" i="138"/>
  <c r="L2841" i="138"/>
  <c r="L2842" i="138"/>
  <c r="L2843" i="138"/>
  <c r="L2844" i="138"/>
  <c r="L2845" i="138"/>
  <c r="L2846" i="138"/>
  <c r="L2847" i="138"/>
  <c r="L2848" i="138"/>
  <c r="L2849" i="138"/>
  <c r="L2850" i="138"/>
  <c r="L2851" i="138"/>
  <c r="L2852" i="138"/>
  <c r="L2853" i="138"/>
  <c r="L2854" i="138"/>
  <c r="L2855" i="138"/>
  <c r="L2856" i="138"/>
  <c r="L2857" i="138"/>
  <c r="L2858" i="138"/>
  <c r="L2859" i="138"/>
  <c r="L2860" i="138"/>
  <c r="L2861" i="138"/>
  <c r="L2862" i="138"/>
  <c r="L2863" i="138"/>
  <c r="L2864" i="138"/>
  <c r="L2865" i="138"/>
  <c r="L2866" i="138"/>
  <c r="L2867" i="138"/>
  <c r="L2868" i="138"/>
  <c r="L2869" i="138"/>
  <c r="L2870" i="138"/>
  <c r="L2871" i="138"/>
  <c r="L2872" i="138"/>
  <c r="L2873" i="138"/>
  <c r="L2874" i="138"/>
  <c r="L2875" i="138"/>
  <c r="L2876" i="138"/>
  <c r="L2877" i="138"/>
  <c r="L2878" i="138"/>
  <c r="L2879" i="138"/>
  <c r="L2880" i="138"/>
  <c r="L2881" i="138"/>
  <c r="L2882" i="138"/>
  <c r="L2883" i="138"/>
  <c r="L2884" i="138"/>
  <c r="L2885" i="138"/>
  <c r="L2886" i="138"/>
  <c r="L2887" i="138"/>
  <c r="L2888" i="138"/>
  <c r="L2889" i="138"/>
  <c r="L2890" i="138"/>
  <c r="L2891" i="138"/>
  <c r="L2892" i="138"/>
  <c r="L2893" i="138"/>
  <c r="L2894" i="138"/>
  <c r="L2895" i="138"/>
  <c r="L2896" i="138"/>
  <c r="L2897" i="138"/>
  <c r="L2898" i="138"/>
  <c r="L2899" i="138"/>
  <c r="L2900" i="138"/>
  <c r="L2901" i="138"/>
  <c r="L2902" i="138"/>
  <c r="L2903" i="138"/>
  <c r="L2904" i="138"/>
  <c r="L2905" i="138"/>
  <c r="L2906" i="138"/>
  <c r="L2907" i="138"/>
  <c r="L2908" i="138"/>
  <c r="L2909" i="138"/>
  <c r="L2910" i="138"/>
  <c r="L2911" i="138"/>
  <c r="L2912" i="138"/>
  <c r="L2913" i="138"/>
  <c r="L2914" i="138"/>
  <c r="L2915" i="138"/>
  <c r="L2916" i="138"/>
  <c r="L2917" i="138"/>
  <c r="L2918" i="138"/>
  <c r="L2919" i="138"/>
  <c r="L2920" i="138"/>
  <c r="L2921" i="138"/>
  <c r="L2922" i="138"/>
  <c r="L2923" i="138"/>
  <c r="L2924" i="138"/>
  <c r="L2925" i="138"/>
  <c r="L2926" i="138"/>
  <c r="L2927" i="138"/>
  <c r="L2928" i="138"/>
  <c r="L2929" i="138"/>
  <c r="L2930" i="138"/>
  <c r="L2931" i="138"/>
  <c r="L2932" i="138"/>
  <c r="L2933" i="138"/>
  <c r="L2934" i="138"/>
  <c r="L2935" i="138"/>
  <c r="L2936" i="138"/>
  <c r="L2937" i="138"/>
  <c r="L2938" i="138"/>
  <c r="L2939" i="138"/>
  <c r="L2940" i="138"/>
  <c r="L2941" i="138"/>
  <c r="L2942" i="138"/>
  <c r="L2943" i="138"/>
  <c r="L2944" i="138"/>
  <c r="L2945" i="138"/>
  <c r="L2946" i="138"/>
  <c r="L2947" i="138"/>
  <c r="L2948" i="138"/>
  <c r="L2949" i="138"/>
  <c r="L2950" i="138"/>
  <c r="L2951" i="138"/>
  <c r="L2952" i="138"/>
  <c r="L2953" i="138"/>
  <c r="L2954" i="138"/>
  <c r="L2955" i="138"/>
  <c r="L2956" i="138"/>
  <c r="L2957" i="138"/>
  <c r="L2958" i="138"/>
  <c r="L2959" i="138"/>
  <c r="L2960" i="138"/>
  <c r="L2961" i="138"/>
  <c r="L2962" i="138"/>
  <c r="L2963" i="138"/>
  <c r="L2964" i="138"/>
  <c r="L2965" i="138"/>
  <c r="L2966" i="138"/>
  <c r="L2967" i="138"/>
  <c r="L2968" i="138"/>
  <c r="L2969" i="138"/>
  <c r="L2970" i="138"/>
  <c r="L2971" i="138"/>
  <c r="L2972" i="138"/>
  <c r="L2973" i="138"/>
  <c r="L2974" i="138"/>
  <c r="L2975" i="138"/>
  <c r="L2976" i="138"/>
  <c r="L2977" i="138"/>
  <c r="L2978" i="138"/>
  <c r="L2979" i="138"/>
  <c r="L2980" i="138"/>
  <c r="L2981" i="138"/>
  <c r="L2982" i="138"/>
  <c r="L2983" i="138"/>
  <c r="L2984" i="138"/>
  <c r="L2985" i="138"/>
  <c r="L2986" i="138"/>
  <c r="L2987" i="138"/>
  <c r="L2988" i="138"/>
  <c r="L2989" i="138"/>
  <c r="L2990" i="138"/>
  <c r="L2991" i="138"/>
  <c r="L2992" i="138"/>
  <c r="L2993" i="138"/>
  <c r="L2994" i="138"/>
  <c r="L2995" i="138"/>
  <c r="L2996" i="138"/>
  <c r="L2997" i="138"/>
  <c r="L2998" i="138"/>
  <c r="L2999" i="138"/>
  <c r="L3000" i="138"/>
  <c r="L3001" i="138"/>
  <c r="L3002" i="138"/>
  <c r="L3003" i="138"/>
  <c r="L3004" i="138"/>
  <c r="L3005" i="138"/>
  <c r="L3006" i="138"/>
  <c r="L3007" i="138"/>
  <c r="L3008" i="138"/>
  <c r="L3009" i="138"/>
  <c r="L3010" i="138"/>
  <c r="L3011" i="138"/>
  <c r="L3012" i="138"/>
  <c r="L3013" i="138"/>
  <c r="L3014" i="138"/>
  <c r="L3015" i="138"/>
  <c r="L3016" i="138"/>
  <c r="L3017" i="138"/>
  <c r="L3018" i="138"/>
  <c r="L3019" i="138"/>
  <c r="L3020" i="138"/>
  <c r="L3021" i="138"/>
  <c r="L3022" i="138"/>
  <c r="L3023" i="138"/>
  <c r="L3024" i="138"/>
  <c r="L3025" i="138"/>
  <c r="L3026" i="138"/>
  <c r="L3027" i="138"/>
  <c r="L3028" i="138"/>
  <c r="L3029" i="138"/>
  <c r="L3030" i="138"/>
  <c r="L3031" i="138"/>
  <c r="L3032" i="138"/>
  <c r="L3033" i="138"/>
  <c r="L3034" i="138"/>
  <c r="L3035" i="138"/>
  <c r="L3036" i="138"/>
  <c r="L3037" i="138"/>
  <c r="L3038" i="138"/>
  <c r="L3039" i="138"/>
  <c r="L3040" i="138"/>
  <c r="L3041" i="138"/>
  <c r="L3042" i="138"/>
  <c r="L3043" i="138"/>
  <c r="L3044" i="138"/>
  <c r="L3045" i="138"/>
  <c r="L3046" i="138"/>
  <c r="L3047" i="138"/>
  <c r="L3048" i="138"/>
  <c r="L3049" i="138"/>
  <c r="L3050" i="138"/>
  <c r="L3051" i="138"/>
  <c r="L3052" i="138"/>
  <c r="L3053" i="138"/>
  <c r="L3054" i="138"/>
  <c r="L3055" i="138"/>
  <c r="L3056" i="138"/>
  <c r="L3057" i="138"/>
  <c r="L3058" i="138"/>
  <c r="L3059" i="138"/>
  <c r="L3060" i="138"/>
  <c r="L3061" i="138"/>
  <c r="L3062" i="138"/>
  <c r="L3063" i="138"/>
  <c r="L3064" i="138"/>
  <c r="L3065" i="138"/>
  <c r="L3066" i="138"/>
  <c r="L3067" i="138"/>
  <c r="L3068" i="138"/>
  <c r="L3069" i="138"/>
  <c r="L3070" i="138"/>
  <c r="L3071" i="138"/>
  <c r="L3072" i="138"/>
  <c r="L3073" i="138"/>
  <c r="L3074" i="138"/>
  <c r="L3075" i="138"/>
  <c r="L3076" i="138"/>
  <c r="L3077" i="138"/>
  <c r="L3078" i="138"/>
  <c r="L3079" i="138"/>
  <c r="L3080" i="138"/>
  <c r="L3081" i="138"/>
  <c r="L3082" i="138"/>
  <c r="L3083" i="138"/>
  <c r="L3084" i="138"/>
  <c r="L3085" i="138"/>
  <c r="L3086" i="138"/>
  <c r="L3087" i="138"/>
  <c r="L3088" i="138"/>
  <c r="L3089" i="138"/>
  <c r="L3090" i="138"/>
  <c r="L3091" i="138"/>
  <c r="L3092" i="138"/>
  <c r="L3093" i="138"/>
  <c r="L3094" i="138"/>
  <c r="L3095" i="138"/>
  <c r="L3096" i="138"/>
  <c r="L3097" i="138"/>
  <c r="L3098" i="138"/>
  <c r="L3099" i="138"/>
  <c r="L3100" i="138"/>
  <c r="L3101" i="138"/>
  <c r="L3102" i="138"/>
  <c r="L3103" i="138"/>
  <c r="L3104" i="138"/>
  <c r="L3105" i="138"/>
  <c r="L3106" i="138"/>
  <c r="L3107" i="138"/>
  <c r="L3108" i="138"/>
  <c r="L3109" i="138"/>
  <c r="L3110" i="138"/>
  <c r="L3111" i="138"/>
  <c r="L3112" i="138"/>
  <c r="L3113" i="138"/>
  <c r="L3114" i="138"/>
  <c r="L3115" i="138"/>
  <c r="L3116" i="138"/>
  <c r="L3117" i="138"/>
  <c r="L3118" i="138"/>
  <c r="L3119" i="138"/>
  <c r="L3120" i="138"/>
  <c r="L3121" i="138"/>
  <c r="L3122" i="138"/>
  <c r="L3123" i="138"/>
  <c r="L3124" i="138"/>
  <c r="L3125" i="138"/>
  <c r="L3126" i="138"/>
  <c r="L3127" i="138"/>
  <c r="L3128" i="138"/>
  <c r="L3129" i="138"/>
  <c r="L3130" i="138"/>
  <c r="L3131" i="138"/>
  <c r="L3132" i="138"/>
  <c r="L3133" i="138"/>
  <c r="L3134" i="138"/>
  <c r="L3135" i="138"/>
  <c r="L3136" i="138"/>
  <c r="L3137" i="138"/>
  <c r="L3138" i="138"/>
  <c r="L3139" i="138"/>
  <c r="L3140" i="138"/>
  <c r="L3141" i="138"/>
  <c r="L3142" i="138"/>
  <c r="L3143" i="138"/>
  <c r="L3144" i="138"/>
  <c r="L3145" i="138"/>
  <c r="L3146" i="138"/>
  <c r="L3147" i="138"/>
  <c r="L3148" i="138"/>
  <c r="L3149" i="138"/>
  <c r="L3150" i="138"/>
  <c r="L3151" i="138"/>
  <c r="L3152" i="138"/>
  <c r="L3153" i="138"/>
  <c r="L3154" i="138"/>
  <c r="L3155" i="138"/>
  <c r="L3156" i="138"/>
  <c r="L3157" i="138"/>
  <c r="L3158" i="138"/>
  <c r="L3159" i="138"/>
  <c r="L3160" i="138"/>
  <c r="L3161" i="138"/>
  <c r="L3162" i="138"/>
  <c r="L3163" i="138"/>
  <c r="L3164" i="138"/>
  <c r="L3165" i="138"/>
  <c r="L3166" i="138"/>
  <c r="L3167" i="138"/>
  <c r="L3168" i="138"/>
  <c r="L3169" i="138"/>
  <c r="L3170" i="138"/>
  <c r="L3171" i="138"/>
  <c r="L3172" i="138"/>
  <c r="L3173" i="138"/>
  <c r="L3174" i="138"/>
  <c r="L3175" i="138"/>
  <c r="L3176" i="138"/>
  <c r="L3177" i="138"/>
  <c r="L3178" i="138"/>
  <c r="L3179" i="138"/>
  <c r="L3180" i="138"/>
  <c r="L3181" i="138"/>
  <c r="L3182" i="138"/>
  <c r="L3183" i="138"/>
  <c r="L3184" i="138"/>
  <c r="L3185" i="138"/>
  <c r="L3186" i="138"/>
  <c r="L3187" i="138"/>
  <c r="L3188" i="138"/>
  <c r="L3189" i="138"/>
  <c r="L3190" i="138"/>
  <c r="L3191" i="138"/>
  <c r="L3192" i="138"/>
  <c r="L3193" i="138"/>
  <c r="L3194" i="138"/>
  <c r="L3195" i="138"/>
  <c r="L3196" i="138"/>
  <c r="L3197" i="138"/>
  <c r="L3198" i="138"/>
  <c r="L3199" i="138"/>
  <c r="L3200" i="138"/>
  <c r="L3201" i="138"/>
  <c r="L3202" i="138"/>
  <c r="L3203" i="138"/>
  <c r="L3204" i="138"/>
  <c r="L3205" i="138"/>
  <c r="L3206" i="138"/>
  <c r="L3207" i="138"/>
  <c r="L3208" i="138"/>
  <c r="L3209" i="138"/>
  <c r="L3210" i="138"/>
  <c r="L3211" i="138"/>
  <c r="L3212" i="138"/>
  <c r="L3213" i="138"/>
  <c r="L3214" i="138"/>
  <c r="L3215" i="138"/>
  <c r="L3216" i="138"/>
  <c r="L3217" i="138"/>
  <c r="L3218" i="138"/>
  <c r="L3219" i="138"/>
  <c r="L3220" i="138"/>
  <c r="L3221" i="138"/>
  <c r="L3222" i="138"/>
  <c r="L3223" i="138"/>
  <c r="L3224" i="138"/>
  <c r="L3225" i="138"/>
  <c r="L3226" i="138"/>
  <c r="L3227" i="138"/>
  <c r="L3228" i="138"/>
  <c r="L3229" i="138"/>
  <c r="L3230" i="138"/>
  <c r="L3231" i="138"/>
  <c r="L3232" i="138"/>
  <c r="L3233" i="138"/>
  <c r="L3234" i="138"/>
  <c r="L3235" i="138"/>
  <c r="L3236" i="138"/>
  <c r="L3237" i="138"/>
  <c r="L3238" i="138"/>
  <c r="L3239" i="138"/>
  <c r="L3240" i="138"/>
  <c r="L3241" i="138"/>
  <c r="L3242" i="138"/>
  <c r="L3243" i="138"/>
  <c r="L3244" i="138"/>
  <c r="L3245" i="138"/>
  <c r="L3246" i="138"/>
  <c r="L3247" i="138"/>
  <c r="L3248" i="138"/>
  <c r="L3249" i="138"/>
  <c r="L3250" i="138"/>
  <c r="L3251" i="138"/>
  <c r="L3252" i="138"/>
  <c r="L3253" i="138"/>
  <c r="L3254" i="138"/>
  <c r="L3255" i="138"/>
  <c r="L3256" i="138"/>
  <c r="L3257" i="138"/>
  <c r="L3258" i="138"/>
  <c r="L3259" i="138"/>
  <c r="L3260" i="138"/>
  <c r="L3261" i="138"/>
  <c r="L3262" i="138"/>
  <c r="L3263" i="138"/>
  <c r="L3264" i="138"/>
  <c r="L3265" i="138"/>
  <c r="L3266" i="138"/>
  <c r="L3267" i="138"/>
  <c r="L3268" i="138"/>
  <c r="L3269" i="138"/>
  <c r="L3270" i="138"/>
  <c r="L3271" i="138"/>
  <c r="L3272" i="138"/>
  <c r="L3273" i="138"/>
  <c r="L3274" i="138"/>
  <c r="L3275" i="138"/>
  <c r="L3276" i="138"/>
  <c r="L3277" i="138"/>
  <c r="L3278" i="138"/>
  <c r="L3279" i="138"/>
  <c r="L3280" i="138"/>
  <c r="L3281" i="138"/>
  <c r="L3282" i="138"/>
  <c r="L3283" i="138"/>
  <c r="L3284" i="138"/>
  <c r="L3285" i="138"/>
  <c r="L3286" i="138"/>
  <c r="L3287" i="138"/>
  <c r="L3288" i="138"/>
  <c r="L3289" i="138"/>
  <c r="L3290" i="138"/>
  <c r="L3291" i="138"/>
  <c r="L3292" i="138"/>
  <c r="L3293" i="138"/>
  <c r="L3294" i="138"/>
  <c r="L3295" i="138"/>
  <c r="L3296" i="138"/>
  <c r="L3297" i="138"/>
  <c r="L3298" i="138"/>
  <c r="L3299" i="138"/>
  <c r="L3300" i="138"/>
  <c r="L3301" i="138"/>
  <c r="L3302" i="138"/>
  <c r="L3303" i="138"/>
  <c r="L3304" i="138"/>
  <c r="L3305" i="138"/>
  <c r="L3306" i="138"/>
  <c r="L3307" i="138"/>
  <c r="L3308" i="138"/>
  <c r="L3309" i="138"/>
  <c r="L3310" i="138"/>
  <c r="L3311" i="138"/>
  <c r="L3312" i="138"/>
  <c r="L3313" i="138"/>
  <c r="L3314" i="138"/>
  <c r="L3315" i="138"/>
  <c r="L3316" i="138"/>
  <c r="L3317" i="138"/>
  <c r="L3318" i="138"/>
  <c r="L3319" i="138"/>
  <c r="L3320" i="138"/>
  <c r="L3321" i="138"/>
  <c r="L3322" i="138"/>
  <c r="L3323" i="138"/>
  <c r="L3324" i="138"/>
  <c r="L3325" i="138"/>
  <c r="L3326" i="138"/>
  <c r="L3327" i="138"/>
  <c r="L3328" i="138"/>
  <c r="L3329" i="138"/>
  <c r="L3330" i="138"/>
  <c r="L3331" i="138"/>
  <c r="L3332" i="138"/>
  <c r="L3333" i="138"/>
  <c r="L3334" i="138"/>
  <c r="L3335" i="138"/>
  <c r="L3336" i="138"/>
  <c r="L3337" i="138"/>
  <c r="L3338" i="138"/>
  <c r="L3339" i="138"/>
  <c r="L3340" i="138"/>
  <c r="L3341" i="138"/>
  <c r="L3342" i="138"/>
  <c r="L3343" i="138"/>
  <c r="L3344" i="138"/>
  <c r="L3345" i="138"/>
  <c r="L3346" i="138"/>
  <c r="L3347" i="138"/>
  <c r="L3348" i="138"/>
  <c r="L3349" i="138"/>
  <c r="L3350" i="138"/>
  <c r="L3351" i="138"/>
  <c r="L3352" i="138"/>
  <c r="L3353" i="138"/>
  <c r="L3354" i="138"/>
  <c r="L3355" i="138"/>
  <c r="L3356" i="138"/>
  <c r="L3357" i="138"/>
  <c r="L3358" i="138"/>
  <c r="L3359" i="138"/>
  <c r="L3360" i="138"/>
  <c r="L3361" i="138"/>
  <c r="L3362" i="138"/>
  <c r="L3363" i="138"/>
  <c r="L3364" i="138"/>
  <c r="L3365" i="138"/>
  <c r="L3366" i="138"/>
  <c r="L3367" i="138"/>
  <c r="L3368" i="138"/>
  <c r="L3369" i="138"/>
  <c r="L3370" i="138"/>
  <c r="L3371" i="138"/>
  <c r="L3372" i="138"/>
  <c r="L3373" i="138"/>
  <c r="L3374" i="138"/>
  <c r="L3375" i="138"/>
  <c r="L3376" i="138"/>
  <c r="L3377" i="138"/>
  <c r="L3378" i="138"/>
  <c r="L3379" i="138"/>
  <c r="L3380" i="138"/>
  <c r="L3381" i="138"/>
  <c r="L3382" i="138"/>
  <c r="L3383" i="138"/>
  <c r="L3384" i="138"/>
  <c r="L3385" i="138"/>
  <c r="L3386" i="138"/>
  <c r="L3387" i="138"/>
  <c r="L3388" i="138"/>
  <c r="L3389" i="138"/>
  <c r="L3390" i="138"/>
  <c r="L3391" i="138"/>
  <c r="L3392" i="138"/>
  <c r="L3393" i="138"/>
  <c r="L3394" i="138"/>
  <c r="L3395" i="138"/>
  <c r="L3396" i="138"/>
  <c r="L3397" i="138"/>
  <c r="L3398" i="138"/>
  <c r="L3399" i="138"/>
  <c r="L3400" i="138"/>
  <c r="L3401" i="138"/>
  <c r="L3402" i="138"/>
  <c r="L3403" i="138"/>
  <c r="L3404" i="138"/>
  <c r="L3405" i="138"/>
  <c r="L3406" i="138"/>
  <c r="L3407" i="138"/>
  <c r="L3408" i="138"/>
  <c r="L3409" i="138"/>
  <c r="L3410" i="138"/>
  <c r="L3411" i="138"/>
  <c r="L3412" i="138"/>
  <c r="L3413" i="138"/>
  <c r="L3414" i="138"/>
  <c r="L3415" i="138"/>
  <c r="L3416" i="138"/>
  <c r="L3417" i="138"/>
  <c r="L3418" i="138"/>
  <c r="L3419" i="138"/>
  <c r="L3420" i="138"/>
  <c r="L3421" i="138"/>
  <c r="L3422" i="138"/>
  <c r="L3423" i="138"/>
  <c r="L3424" i="138"/>
  <c r="L3425" i="138"/>
  <c r="L3426" i="138"/>
  <c r="L3427" i="138"/>
  <c r="L3428" i="138"/>
  <c r="L3429" i="138"/>
  <c r="L3430" i="138"/>
  <c r="L3431" i="138"/>
  <c r="L3432" i="138"/>
  <c r="L3433" i="138"/>
  <c r="L3434" i="138"/>
  <c r="L3435" i="138"/>
  <c r="L3436" i="138"/>
  <c r="L3437" i="138"/>
  <c r="L3438" i="138"/>
  <c r="L3439" i="138"/>
  <c r="L3440" i="138"/>
  <c r="L3441" i="138"/>
  <c r="L3442" i="138"/>
  <c r="L3443" i="138"/>
  <c r="L3444" i="138"/>
  <c r="L3445" i="138"/>
  <c r="L3446" i="138"/>
  <c r="L3447" i="138"/>
  <c r="L3448" i="138"/>
  <c r="L3449" i="138"/>
  <c r="L3450" i="138"/>
  <c r="L3451" i="138"/>
  <c r="L3452" i="138"/>
  <c r="L3453" i="138"/>
  <c r="L3454" i="138"/>
  <c r="L3455" i="138"/>
  <c r="L3456" i="138"/>
  <c r="L3457" i="138"/>
  <c r="L3458" i="138"/>
  <c r="L3459" i="138"/>
  <c r="L3460" i="138"/>
  <c r="L3461" i="138"/>
  <c r="L3462" i="138"/>
  <c r="L3463" i="138"/>
  <c r="L3464" i="138"/>
  <c r="L3465" i="138"/>
  <c r="L3466" i="138"/>
  <c r="L3467" i="138"/>
  <c r="L3468" i="138"/>
  <c r="L3469" i="138"/>
  <c r="L3470" i="138"/>
  <c r="L3471" i="138"/>
  <c r="L3472" i="138"/>
  <c r="L3473" i="138"/>
  <c r="L3474" i="138"/>
  <c r="L3475" i="138"/>
  <c r="L3476" i="138"/>
  <c r="L3477" i="138"/>
  <c r="L3478" i="138"/>
  <c r="L3479" i="138"/>
  <c r="L3480" i="138"/>
  <c r="L3481" i="138"/>
  <c r="L3482" i="138"/>
  <c r="L3483" i="138"/>
  <c r="L3484" i="138"/>
  <c r="L3485" i="138"/>
  <c r="L3486" i="138"/>
  <c r="L3487" i="138"/>
  <c r="L3488" i="138"/>
  <c r="L3489" i="138"/>
  <c r="L3490" i="138"/>
  <c r="L3491" i="138"/>
  <c r="L3492" i="138"/>
  <c r="L3493" i="138"/>
  <c r="L3494" i="138"/>
  <c r="L3495" i="138"/>
  <c r="L3496" i="138"/>
  <c r="L3497" i="138"/>
  <c r="L3498" i="138"/>
  <c r="L3499" i="138"/>
  <c r="L3500" i="138"/>
  <c r="L3501" i="138"/>
  <c r="L3502" i="138"/>
  <c r="L3503" i="138"/>
  <c r="L3504" i="138"/>
  <c r="L3505" i="138"/>
  <c r="L3506" i="138"/>
  <c r="L3507" i="138"/>
  <c r="L3508" i="138"/>
  <c r="L3509" i="138"/>
  <c r="L3510" i="138"/>
  <c r="L3511" i="138"/>
  <c r="L3512" i="138"/>
  <c r="L3513" i="138"/>
  <c r="L3514" i="138"/>
  <c r="L3515" i="138"/>
  <c r="L3516" i="138"/>
  <c r="L3517" i="138"/>
  <c r="L3518" i="138"/>
  <c r="L3519" i="138"/>
  <c r="L3520" i="138"/>
  <c r="L3521" i="138"/>
  <c r="L3522" i="138"/>
  <c r="L3523" i="138"/>
  <c r="L3524" i="138"/>
  <c r="L3525" i="138"/>
  <c r="L3526" i="138"/>
  <c r="L3527" i="138"/>
  <c r="L3528" i="138"/>
  <c r="L3529" i="138"/>
  <c r="L3530" i="138"/>
  <c r="L3531" i="138"/>
  <c r="L3532" i="138"/>
  <c r="L3533" i="138"/>
  <c r="L3534" i="138"/>
  <c r="L3535" i="138"/>
  <c r="L3536" i="138"/>
  <c r="L3537" i="138"/>
  <c r="L3538" i="138"/>
  <c r="L3539" i="138"/>
  <c r="L3540" i="138"/>
  <c r="L3541" i="138"/>
  <c r="L3542" i="138"/>
  <c r="L3543" i="138"/>
  <c r="L3544" i="138"/>
  <c r="L3545" i="138"/>
  <c r="L3546" i="138"/>
  <c r="L3547" i="138"/>
  <c r="L3548" i="138"/>
  <c r="L3549" i="138"/>
  <c r="L3550" i="138"/>
  <c r="L3551" i="138"/>
  <c r="L3552" i="138"/>
  <c r="L3553" i="138"/>
  <c r="L3554" i="138"/>
  <c r="L3555" i="138"/>
  <c r="L3556" i="138"/>
  <c r="L3557" i="138"/>
  <c r="L3558" i="138"/>
  <c r="L3559" i="138"/>
  <c r="L3560" i="138"/>
  <c r="L3561" i="138"/>
  <c r="L3562" i="138"/>
  <c r="L3563" i="138"/>
  <c r="L3564" i="138"/>
  <c r="L3565" i="138"/>
  <c r="L3566" i="138"/>
  <c r="L3567" i="138"/>
  <c r="L3568" i="138"/>
  <c r="L3569" i="138"/>
  <c r="L3570" i="138"/>
  <c r="L3571" i="138"/>
  <c r="L3572" i="138"/>
  <c r="L3573" i="138"/>
  <c r="L3574" i="138"/>
  <c r="L3575" i="138"/>
  <c r="L3576" i="138"/>
  <c r="L3577" i="138"/>
  <c r="L3578" i="138"/>
  <c r="L3579" i="138"/>
  <c r="L3580" i="138"/>
  <c r="L3581" i="138"/>
  <c r="L3582" i="138"/>
  <c r="L3583" i="138"/>
  <c r="L3584" i="138"/>
  <c r="L3585" i="138"/>
  <c r="L3586" i="138"/>
  <c r="L3587" i="138"/>
  <c r="L3588" i="138"/>
  <c r="L3589" i="138"/>
  <c r="L3590" i="138"/>
  <c r="L3591" i="138"/>
  <c r="L3592" i="138"/>
  <c r="L3593" i="138"/>
  <c r="L3594" i="138"/>
  <c r="L3595" i="138"/>
  <c r="L3596" i="138"/>
  <c r="L3597" i="138"/>
  <c r="L3598" i="138"/>
  <c r="L3599" i="138"/>
  <c r="L3600" i="138"/>
  <c r="L3601" i="138"/>
  <c r="L3602" i="138"/>
  <c r="L3603" i="138"/>
  <c r="L3604" i="138"/>
  <c r="L3605" i="138"/>
  <c r="L3606" i="138"/>
  <c r="L3607" i="138"/>
  <c r="L3608" i="138"/>
  <c r="L3609" i="138"/>
  <c r="L3610" i="138"/>
  <c r="L3611" i="138"/>
  <c r="L3612" i="138"/>
  <c r="L3613" i="138"/>
  <c r="L3614" i="138"/>
  <c r="L3615" i="138"/>
  <c r="L3616" i="138"/>
  <c r="L3617" i="138"/>
  <c r="L3618" i="138"/>
  <c r="L3619" i="138"/>
  <c r="L3620" i="138"/>
  <c r="L3621" i="138"/>
  <c r="L3622" i="138"/>
  <c r="L3623" i="138"/>
  <c r="L3624" i="138"/>
  <c r="L3625" i="138"/>
  <c r="L3626" i="138"/>
  <c r="L3627" i="138"/>
  <c r="L3628" i="138"/>
  <c r="L3629" i="138"/>
  <c r="L3630" i="138"/>
  <c r="L3631" i="138"/>
  <c r="L3632" i="138"/>
  <c r="L3633" i="138"/>
  <c r="L3634" i="138"/>
  <c r="L3635" i="138"/>
  <c r="L3636" i="138"/>
  <c r="L3637" i="138"/>
  <c r="L3638" i="138"/>
  <c r="L3639" i="138"/>
  <c r="L3640" i="138"/>
  <c r="L3641" i="138"/>
  <c r="L3642" i="138"/>
  <c r="L3643" i="138"/>
  <c r="L3644" i="138"/>
  <c r="L3645" i="138"/>
  <c r="L3646" i="138"/>
  <c r="L3647" i="138"/>
  <c r="L3648" i="138"/>
  <c r="L3649" i="138"/>
  <c r="L3650" i="138"/>
  <c r="L3651" i="138"/>
  <c r="L3652" i="138"/>
  <c r="L3653" i="138"/>
  <c r="L3654" i="138"/>
  <c r="L3655" i="138"/>
  <c r="L3656" i="138"/>
  <c r="L3657" i="138"/>
  <c r="L3658" i="138"/>
  <c r="L3659" i="138"/>
  <c r="L3660" i="138"/>
  <c r="L3661" i="138"/>
  <c r="L3662" i="138"/>
  <c r="L3663" i="138"/>
  <c r="L3664" i="138"/>
  <c r="L3665" i="138"/>
  <c r="L3666" i="138"/>
  <c r="L3667" i="138"/>
  <c r="L3668" i="138"/>
  <c r="L3669" i="138"/>
  <c r="L3670" i="138"/>
  <c r="L3671" i="138"/>
  <c r="L3672" i="138"/>
  <c r="L3673" i="138"/>
  <c r="L3674" i="138"/>
  <c r="L3675" i="138"/>
  <c r="L3676" i="138"/>
  <c r="L3677" i="138"/>
  <c r="L3678" i="138"/>
  <c r="L3679" i="138"/>
  <c r="L3680" i="138"/>
  <c r="L3681" i="138"/>
  <c r="L3682" i="138"/>
  <c r="L3683" i="138"/>
  <c r="L3684" i="138"/>
  <c r="L3685" i="138"/>
  <c r="L3686" i="138"/>
  <c r="L3687" i="138"/>
  <c r="L3688" i="138"/>
  <c r="L3689" i="138"/>
  <c r="L3690" i="138"/>
  <c r="L3691" i="138"/>
  <c r="L3692" i="138"/>
  <c r="L3693" i="138"/>
  <c r="L3694" i="138"/>
  <c r="L3695" i="138"/>
  <c r="L3696" i="138"/>
  <c r="L3697" i="138"/>
  <c r="L3698" i="138"/>
  <c r="L3699" i="138"/>
  <c r="L3700" i="138"/>
  <c r="L3701" i="138"/>
  <c r="L3702" i="138"/>
  <c r="L3703" i="138"/>
  <c r="L3704" i="138"/>
  <c r="L3705" i="138"/>
  <c r="L3706" i="138"/>
  <c r="L3707" i="138"/>
  <c r="L3708" i="138"/>
  <c r="L3709" i="138"/>
  <c r="L3710" i="138"/>
  <c r="L3711" i="138"/>
  <c r="L3712" i="138"/>
  <c r="L3713" i="138"/>
  <c r="L3714" i="138"/>
  <c r="L3715" i="138"/>
  <c r="L3716" i="138"/>
  <c r="L3717" i="138"/>
  <c r="L3718" i="138"/>
  <c r="L3719" i="138"/>
  <c r="L3720" i="138"/>
  <c r="L3721" i="138"/>
  <c r="L3722" i="138"/>
  <c r="L3723" i="138"/>
  <c r="L3724" i="138"/>
  <c r="L3725" i="138"/>
  <c r="L3726" i="138"/>
  <c r="L3727" i="138"/>
  <c r="L3728" i="138"/>
  <c r="L3729" i="138"/>
  <c r="L3730" i="138"/>
  <c r="L3731" i="138"/>
  <c r="L3732" i="138"/>
  <c r="L3733" i="138"/>
  <c r="L3734" i="138"/>
  <c r="L3735" i="138"/>
  <c r="L3736" i="138"/>
  <c r="L3737" i="138"/>
  <c r="L3738" i="138"/>
  <c r="L3739" i="138"/>
  <c r="L3740" i="138"/>
  <c r="L3741" i="138"/>
  <c r="L3742" i="138"/>
  <c r="L3743" i="138"/>
  <c r="L3744" i="138"/>
  <c r="L3745" i="138"/>
  <c r="L3746" i="138"/>
  <c r="L3747" i="138"/>
  <c r="L3748" i="138"/>
  <c r="L3749" i="138"/>
  <c r="L3750" i="138"/>
  <c r="L3751" i="138"/>
  <c r="L3752" i="138"/>
  <c r="L3753" i="138"/>
  <c r="L3754" i="138"/>
  <c r="L3755" i="138"/>
  <c r="L3756" i="138"/>
  <c r="L3757" i="138"/>
  <c r="L3758" i="138"/>
  <c r="L3759" i="138"/>
  <c r="L3760" i="138"/>
  <c r="L3761" i="138"/>
  <c r="L3762" i="138"/>
  <c r="L3763" i="138"/>
  <c r="L3764" i="138"/>
  <c r="L3765" i="138"/>
  <c r="L3766" i="138"/>
  <c r="L3767" i="138"/>
  <c r="L3768" i="138"/>
  <c r="L3769" i="138"/>
  <c r="L3770" i="138"/>
  <c r="L3771" i="138"/>
  <c r="L3772" i="138"/>
  <c r="L3773" i="138"/>
  <c r="L3774" i="138"/>
  <c r="L3775" i="138"/>
  <c r="L3776" i="138"/>
  <c r="L3777" i="138"/>
  <c r="L3778" i="138"/>
  <c r="L3779" i="138"/>
  <c r="L3780" i="138"/>
  <c r="L3781" i="138"/>
  <c r="L3782" i="138"/>
  <c r="L3783" i="138"/>
  <c r="L3784" i="138"/>
  <c r="L3785" i="138"/>
  <c r="L3786" i="138"/>
  <c r="L3787" i="138"/>
  <c r="L3788" i="138"/>
  <c r="L3789" i="138"/>
  <c r="L3790" i="138"/>
  <c r="L3791" i="138"/>
  <c r="L3792" i="138"/>
  <c r="L3793" i="138"/>
  <c r="L3794" i="138"/>
  <c r="L3795" i="138"/>
  <c r="L3796" i="138"/>
  <c r="L3797" i="138"/>
  <c r="L3798" i="138"/>
  <c r="L3799" i="138"/>
  <c r="L3800" i="138"/>
  <c r="L3801" i="138"/>
  <c r="L3802" i="138"/>
  <c r="L3803" i="138"/>
  <c r="L3804" i="138"/>
  <c r="L3805" i="138"/>
  <c r="L3806" i="138"/>
  <c r="L3807" i="138"/>
  <c r="L3808" i="138"/>
  <c r="L3809" i="138"/>
  <c r="L3810" i="138"/>
  <c r="L3811" i="138"/>
  <c r="L3812" i="138"/>
  <c r="L3813" i="138"/>
  <c r="L3814" i="138"/>
  <c r="L3815" i="138"/>
  <c r="L3816" i="138"/>
  <c r="L3817" i="138"/>
  <c r="L3818" i="138"/>
  <c r="L3819" i="138"/>
  <c r="L3820" i="138"/>
  <c r="L3821" i="138"/>
  <c r="L3822" i="138"/>
  <c r="L3823" i="138"/>
  <c r="L3824" i="138"/>
  <c r="L3825" i="138"/>
  <c r="L3826" i="138"/>
  <c r="L3827" i="138"/>
  <c r="L3828" i="138"/>
  <c r="L3829" i="138"/>
  <c r="L3830" i="138"/>
  <c r="L3831" i="138"/>
  <c r="L3832" i="138"/>
  <c r="L3833" i="138"/>
  <c r="L3834" i="138"/>
  <c r="L3835" i="138"/>
  <c r="L3836" i="138"/>
  <c r="L3837" i="138"/>
  <c r="L3838" i="138"/>
  <c r="L3839" i="138"/>
  <c r="L3840" i="138"/>
  <c r="L3841" i="138"/>
  <c r="L3842" i="138"/>
  <c r="L3843" i="138"/>
  <c r="L3844" i="138"/>
  <c r="L3845" i="138"/>
  <c r="L3846" i="138"/>
  <c r="L3847" i="138"/>
  <c r="L3848" i="138"/>
  <c r="L3849" i="138"/>
  <c r="L3850" i="138"/>
  <c r="L3851" i="138"/>
  <c r="L3852" i="138"/>
  <c r="L3853" i="138"/>
  <c r="L3854" i="138"/>
  <c r="L3855" i="138"/>
  <c r="L3856" i="138"/>
  <c r="L3857" i="138"/>
  <c r="L3858" i="138"/>
  <c r="L3859" i="138"/>
  <c r="L3860" i="138"/>
  <c r="L3861" i="138"/>
  <c r="L3862" i="138"/>
  <c r="L3863" i="138"/>
  <c r="L3864" i="138"/>
  <c r="L3865" i="138"/>
  <c r="L3866" i="138"/>
  <c r="L3867" i="138"/>
  <c r="L3868" i="138"/>
  <c r="L3869" i="138"/>
  <c r="L3870" i="138"/>
  <c r="L3871" i="138"/>
  <c r="L3872" i="138"/>
  <c r="L3873" i="138"/>
  <c r="L3874" i="138"/>
  <c r="L3875" i="138"/>
  <c r="L3876" i="138"/>
  <c r="L3877" i="138"/>
  <c r="L3878" i="138"/>
  <c r="L3879" i="138"/>
  <c r="L3880" i="138"/>
  <c r="L3881" i="138"/>
  <c r="L3882" i="138"/>
  <c r="L3883" i="138"/>
  <c r="L3884" i="138"/>
  <c r="L3885" i="138"/>
  <c r="L3886" i="138"/>
  <c r="L3887" i="138"/>
  <c r="L3888" i="138"/>
  <c r="L3889" i="138"/>
  <c r="L3890" i="138"/>
  <c r="L3891" i="138"/>
  <c r="L3892" i="138"/>
  <c r="L3893" i="138"/>
  <c r="L3894" i="138"/>
  <c r="L3895" i="138"/>
  <c r="L3896" i="138"/>
  <c r="L3897" i="138"/>
  <c r="L3898" i="138"/>
  <c r="L3899" i="138"/>
  <c r="L3900" i="138"/>
  <c r="L3901" i="138"/>
  <c r="L3902" i="138"/>
  <c r="L3903" i="138"/>
  <c r="L3904" i="138"/>
  <c r="L3905" i="138"/>
  <c r="L3906" i="138"/>
  <c r="L3907" i="138"/>
  <c r="L3908" i="138"/>
  <c r="L3909" i="138"/>
  <c r="L3910" i="138"/>
  <c r="L3911" i="138"/>
  <c r="L3912" i="138"/>
  <c r="L3913" i="138"/>
  <c r="L3914" i="138"/>
  <c r="L3915" i="138"/>
  <c r="L3916" i="138"/>
  <c r="L3917" i="138"/>
  <c r="L3918" i="138"/>
  <c r="L3919" i="138"/>
  <c r="L3920" i="138"/>
  <c r="L3921" i="138"/>
  <c r="L3922" i="138"/>
  <c r="L3923" i="138"/>
  <c r="L3924" i="138"/>
  <c r="L3925" i="138"/>
  <c r="L3926" i="138"/>
  <c r="L3927" i="138"/>
  <c r="L3928" i="138"/>
  <c r="L3929" i="138"/>
  <c r="L3930" i="138"/>
  <c r="L3931" i="138"/>
  <c r="L3932" i="138"/>
  <c r="L3933" i="138"/>
  <c r="L3934" i="138"/>
  <c r="L3935" i="138"/>
  <c r="L3936" i="138"/>
  <c r="L3937" i="138"/>
  <c r="L3938" i="138"/>
  <c r="L3939" i="138"/>
  <c r="L3940" i="138"/>
  <c r="L3941" i="138"/>
  <c r="L3942" i="138"/>
  <c r="L3943" i="138"/>
  <c r="L3944" i="138"/>
  <c r="L3945" i="138"/>
  <c r="L3946" i="138"/>
  <c r="L3947" i="138"/>
  <c r="L3948" i="138"/>
  <c r="L3949" i="138"/>
  <c r="L3950" i="138"/>
  <c r="L3951" i="138"/>
  <c r="L3952" i="138"/>
  <c r="L3953" i="138"/>
  <c r="L3954" i="138"/>
  <c r="L3955" i="138"/>
  <c r="L3956" i="138"/>
  <c r="L3957" i="138"/>
  <c r="L3958" i="138"/>
  <c r="L3959" i="138"/>
  <c r="L3960" i="138"/>
  <c r="L3961" i="138"/>
  <c r="L3962" i="138"/>
  <c r="L3963" i="138"/>
  <c r="L3964" i="138"/>
  <c r="L3965" i="138"/>
  <c r="L3966" i="138"/>
  <c r="L3967" i="138"/>
  <c r="L3968" i="138"/>
  <c r="L3969" i="138"/>
  <c r="L3970" i="138"/>
  <c r="L3971" i="138"/>
  <c r="L3972" i="138"/>
  <c r="L3973" i="138"/>
  <c r="L3974" i="138"/>
  <c r="L3975" i="138"/>
  <c r="L3976" i="138"/>
  <c r="L3977" i="138"/>
  <c r="L3978" i="138"/>
  <c r="L3979" i="138"/>
  <c r="L3980" i="138"/>
  <c r="L3981" i="138"/>
  <c r="L3982" i="138"/>
  <c r="L3983" i="138"/>
  <c r="L3984" i="138"/>
  <c r="L3985" i="138"/>
  <c r="L3986" i="138"/>
  <c r="L3987" i="138"/>
  <c r="L3988" i="138"/>
  <c r="L3989" i="138"/>
  <c r="L3990" i="138"/>
  <c r="L3991" i="138"/>
  <c r="L3992" i="138"/>
  <c r="L3993" i="138"/>
  <c r="L3994" i="138"/>
  <c r="L3995" i="138"/>
  <c r="L3996" i="138"/>
  <c r="L3997" i="138"/>
  <c r="L3998" i="138"/>
  <c r="L3999" i="138"/>
  <c r="L4000" i="138"/>
  <c r="L4001" i="138"/>
  <c r="L4002" i="138"/>
  <c r="L4003" i="138"/>
  <c r="L4004" i="138"/>
  <c r="L4005" i="138"/>
  <c r="L4006" i="138"/>
  <c r="L4007" i="138"/>
  <c r="L4008" i="138"/>
  <c r="L4009" i="138"/>
  <c r="L4010" i="138"/>
  <c r="L4011" i="138"/>
  <c r="L4012" i="138"/>
  <c r="L4013" i="138"/>
  <c r="L4014" i="138"/>
  <c r="L4015" i="138"/>
  <c r="L4016" i="138"/>
  <c r="L4017" i="138"/>
  <c r="L4018" i="138"/>
  <c r="L4019" i="138"/>
  <c r="L4020" i="138"/>
  <c r="L4021" i="138"/>
  <c r="L4022" i="138"/>
  <c r="L4023" i="138"/>
  <c r="L4024" i="138"/>
  <c r="L4025" i="138"/>
  <c r="L4026" i="138"/>
  <c r="L4027" i="138"/>
  <c r="L4028" i="138"/>
  <c r="L4029" i="138"/>
  <c r="L4030" i="138"/>
  <c r="L4031" i="138"/>
  <c r="L4032" i="138"/>
  <c r="L4033" i="138"/>
  <c r="L4034" i="138"/>
  <c r="L4035" i="138"/>
  <c r="L4036" i="138"/>
  <c r="L4037" i="138"/>
  <c r="L4038" i="138"/>
  <c r="L4039" i="138"/>
  <c r="L4040" i="138"/>
  <c r="L4041" i="138"/>
  <c r="L4042" i="138"/>
  <c r="L4043" i="138"/>
  <c r="L4044" i="138"/>
  <c r="L4045" i="138"/>
  <c r="L4046" i="138"/>
  <c r="L4047" i="138"/>
  <c r="L4048" i="138"/>
  <c r="L4049" i="138"/>
  <c r="L4050" i="138"/>
  <c r="L4051" i="138"/>
  <c r="L4052" i="138"/>
  <c r="L4053" i="138"/>
  <c r="L4054" i="138"/>
  <c r="L4055" i="138"/>
  <c r="L4056" i="138"/>
  <c r="L4057" i="138"/>
  <c r="L4058" i="138"/>
  <c r="L4059" i="138"/>
  <c r="L4060" i="138"/>
  <c r="L4061" i="138"/>
  <c r="L4062" i="138"/>
  <c r="L4063" i="138"/>
  <c r="L4064" i="138"/>
  <c r="L4065" i="138"/>
  <c r="L4066" i="138"/>
  <c r="L4067" i="138"/>
  <c r="L4068" i="138"/>
  <c r="L4069" i="138"/>
  <c r="L4070" i="138"/>
  <c r="L4071" i="138"/>
  <c r="L4072" i="138"/>
  <c r="L4073" i="138"/>
  <c r="L4074" i="138"/>
  <c r="L4075" i="138"/>
  <c r="L4076" i="138"/>
  <c r="L4077" i="138"/>
  <c r="L4078" i="138"/>
  <c r="L4079" i="138"/>
  <c r="L4080" i="138"/>
  <c r="L4081" i="138"/>
  <c r="L4082" i="138"/>
  <c r="L4083" i="138"/>
  <c r="L4084" i="138"/>
  <c r="L4085" i="138"/>
  <c r="L4086" i="138"/>
  <c r="L4087" i="138"/>
  <c r="L4088" i="138"/>
  <c r="L4089" i="138"/>
  <c r="L4090" i="138"/>
  <c r="L4091" i="138"/>
  <c r="L4092" i="138"/>
  <c r="L4093" i="138"/>
  <c r="L4094" i="138"/>
  <c r="L4095" i="138"/>
  <c r="L4096" i="138"/>
  <c r="L4097" i="138"/>
  <c r="L4098" i="138"/>
  <c r="L4099" i="138"/>
  <c r="L4100" i="138"/>
  <c r="L4101" i="138"/>
  <c r="L4102" i="138"/>
  <c r="L4103" i="138"/>
  <c r="L4104" i="138"/>
  <c r="L4105" i="138"/>
  <c r="L4106" i="138"/>
  <c r="L4107" i="138"/>
  <c r="L4108" i="138"/>
  <c r="L4109" i="138"/>
  <c r="L4110" i="138"/>
  <c r="L4111" i="138"/>
  <c r="L4112" i="138"/>
  <c r="L4113" i="138"/>
  <c r="L4114" i="138"/>
  <c r="L4115" i="138"/>
  <c r="L4116" i="138"/>
  <c r="L4117" i="138"/>
  <c r="L4118" i="138"/>
  <c r="L2" i="138"/>
  <c r="K297" i="138"/>
  <c r="K296" i="138"/>
  <c r="K295" i="138"/>
  <c r="K294" i="138"/>
  <c r="K293" i="138"/>
  <c r="K292" i="138"/>
  <c r="K291" i="138"/>
  <c r="D57" i="137"/>
  <c r="D56" i="137"/>
  <c r="D55" i="137"/>
  <c r="D54" i="137"/>
  <c r="D53" i="137"/>
  <c r="D52" i="137"/>
  <c r="D51" i="137"/>
  <c r="D50" i="137"/>
  <c r="D49" i="137"/>
  <c r="D48" i="137"/>
  <c r="D47" i="137"/>
  <c r="D46" i="137"/>
  <c r="D45" i="137"/>
  <c r="D44" i="137"/>
  <c r="D43" i="137"/>
  <c r="D42" i="137"/>
  <c r="D41" i="137"/>
  <c r="D40" i="137"/>
  <c r="D39" i="137"/>
  <c r="D38" i="137"/>
  <c r="D37" i="137"/>
  <c r="D36" i="137"/>
  <c r="D35" i="137"/>
  <c r="D34" i="137"/>
  <c r="D33" i="137"/>
  <c r="D32" i="137"/>
  <c r="D31" i="137"/>
  <c r="D30" i="137"/>
  <c r="D29" i="137"/>
  <c r="D28" i="137"/>
  <c r="D27" i="137"/>
  <c r="D26" i="137"/>
  <c r="D25" i="137"/>
  <c r="D24" i="137"/>
  <c r="D23" i="137"/>
  <c r="D22" i="137"/>
  <c r="D21" i="137"/>
  <c r="D20" i="137"/>
  <c r="D19" i="137"/>
  <c r="D18" i="137"/>
  <c r="D17" i="137"/>
  <c r="D16" i="137"/>
  <c r="D15" i="137"/>
  <c r="D14" i="137"/>
  <c r="D13" i="137"/>
  <c r="D12" i="137"/>
  <c r="D11" i="137"/>
  <c r="D10" i="137"/>
  <c r="D9" i="137"/>
  <c r="D8" i="137"/>
  <c r="D7" i="137"/>
  <c r="K274" i="138"/>
  <c r="K3051" i="138"/>
  <c r="M3051" i="138" s="1"/>
  <c r="K1340" i="138"/>
  <c r="K1325" i="138"/>
  <c r="K3052" i="138"/>
  <c r="K3060" i="138"/>
  <c r="K3057" i="138"/>
  <c r="K3076" i="138"/>
  <c r="K507" i="138"/>
  <c r="K3083" i="138"/>
  <c r="M3083" i="138" s="1"/>
  <c r="K409" i="138"/>
  <c r="K766" i="138"/>
  <c r="K3123" i="138"/>
  <c r="M3123" i="138" s="1"/>
  <c r="K3109" i="138"/>
  <c r="K222" i="138"/>
  <c r="K223" i="138"/>
  <c r="K566" i="138"/>
  <c r="K1314" i="138"/>
  <c r="K3071" i="138"/>
  <c r="K3077" i="138"/>
  <c r="K3082" i="138"/>
  <c r="M3082" i="138" s="1"/>
  <c r="K3085" i="138"/>
  <c r="K3054" i="138"/>
  <c r="K3066" i="138"/>
  <c r="K3084" i="138"/>
  <c r="K3041" i="138"/>
  <c r="K3116" i="138"/>
  <c r="K1329" i="138"/>
  <c r="K1334" i="138"/>
  <c r="K1332" i="138"/>
  <c r="K3096" i="138"/>
  <c r="K3067" i="138"/>
  <c r="M3067" i="138" s="1"/>
  <c r="K3089" i="138"/>
  <c r="M3089" i="138" s="1"/>
  <c r="K3030" i="138"/>
  <c r="M3030" i="138" s="1"/>
  <c r="K3117" i="138"/>
  <c r="K607" i="138"/>
  <c r="K725" i="138"/>
  <c r="K3072" i="138"/>
  <c r="K3064" i="138"/>
  <c r="K3086" i="138"/>
  <c r="K3039" i="138"/>
  <c r="M3039" i="138" s="1"/>
  <c r="K2875" i="138"/>
  <c r="M2875" i="138" s="1"/>
  <c r="K1327" i="138"/>
  <c r="K1308" i="138"/>
  <c r="K777" i="138"/>
  <c r="K3059" i="138"/>
  <c r="M3059" i="138" s="1"/>
  <c r="K3120" i="138"/>
  <c r="K3049" i="138"/>
  <c r="K4049" i="138"/>
  <c r="K343" i="138"/>
  <c r="K3027" i="138"/>
  <c r="M3027" i="138" s="1"/>
  <c r="K3042" i="138"/>
  <c r="K3113" i="138"/>
  <c r="K3090" i="138"/>
  <c r="M3090" i="138" s="1"/>
  <c r="K3097" i="138"/>
  <c r="K3098" i="138"/>
  <c r="K3038" i="138"/>
  <c r="K1331" i="138"/>
  <c r="K673" i="138"/>
  <c r="K3087" i="138"/>
  <c r="K3037" i="138"/>
  <c r="K446" i="138"/>
  <c r="K3034" i="138"/>
  <c r="K1319" i="138"/>
  <c r="K1311" i="138"/>
  <c r="K3110" i="138"/>
  <c r="K3029" i="138"/>
  <c r="K3036" i="138"/>
  <c r="K3047" i="138"/>
  <c r="K3111" i="138"/>
  <c r="M3111" i="138" s="1"/>
  <c r="K552" i="138"/>
  <c r="K312" i="138"/>
  <c r="K3114" i="138"/>
  <c r="M3114" i="138" s="1"/>
  <c r="K3073" i="138"/>
  <c r="K535" i="138"/>
  <c r="K3035" i="138"/>
  <c r="K3102" i="138"/>
  <c r="M3102" i="138" s="1"/>
  <c r="K1734" i="138"/>
  <c r="K3103" i="138"/>
  <c r="M3103" i="138" s="1"/>
  <c r="K3065" i="138"/>
  <c r="K506" i="138"/>
  <c r="K1326" i="138"/>
  <c r="K332" i="138"/>
  <c r="K3122" i="138"/>
  <c r="K224" i="138"/>
  <c r="K1343" i="138"/>
  <c r="K3178" i="138"/>
  <c r="K4050" i="138"/>
  <c r="K3143" i="138"/>
  <c r="K1347" i="138"/>
  <c r="K429" i="138"/>
  <c r="K4110" i="138"/>
  <c r="K3217" i="138"/>
  <c r="M3217" i="138" s="1"/>
  <c r="K3126" i="138"/>
  <c r="M3126" i="138" s="1"/>
  <c r="K3204" i="138"/>
  <c r="K1376" i="138"/>
  <c r="K447" i="138"/>
  <c r="K3169" i="138"/>
  <c r="K3207" i="138"/>
  <c r="M3207" i="138" s="1"/>
  <c r="K3214" i="138"/>
  <c r="K3197" i="138"/>
  <c r="K706" i="138"/>
  <c r="K1696" i="138"/>
  <c r="K3213" i="138"/>
  <c r="K3145" i="138"/>
  <c r="K3188" i="138"/>
  <c r="K1362" i="138"/>
  <c r="K344" i="138"/>
  <c r="K1359" i="138"/>
  <c r="K3198" i="138"/>
  <c r="M3198" i="138" s="1"/>
  <c r="K3138" i="138"/>
  <c r="K3193" i="138"/>
  <c r="K3203" i="138"/>
  <c r="K3196" i="138"/>
  <c r="K1374" i="138"/>
  <c r="K1371" i="138"/>
  <c r="K3133" i="138"/>
  <c r="K1365" i="138"/>
  <c r="K1350" i="138"/>
  <c r="K1348" i="138"/>
  <c r="K3154" i="138"/>
  <c r="K3134" i="138"/>
  <c r="K3194" i="138"/>
  <c r="K3162" i="138"/>
  <c r="K1344" i="138"/>
  <c r="K3161" i="138"/>
  <c r="K1368" i="138"/>
  <c r="K1351" i="138"/>
  <c r="K3139" i="138"/>
  <c r="K3137" i="138"/>
  <c r="K1363" i="138"/>
  <c r="K3156" i="138"/>
  <c r="K608" i="138"/>
  <c r="K3215" i="138"/>
  <c r="K3183" i="138"/>
  <c r="M3183" i="138" s="1"/>
  <c r="K3195" i="138"/>
  <c r="K3166" i="138"/>
  <c r="K3170" i="138"/>
  <c r="K1375" i="138"/>
  <c r="K3129" i="138"/>
  <c r="K1360" i="138"/>
  <c r="K3221" i="138"/>
  <c r="K567" i="138"/>
  <c r="K3216" i="138"/>
  <c r="K3174" i="138"/>
  <c r="K2913" i="138"/>
  <c r="K1373" i="138"/>
  <c r="K1366" i="138"/>
  <c r="K1369" i="138"/>
  <c r="K405" i="138"/>
  <c r="K553" i="138"/>
  <c r="K259" i="138"/>
  <c r="K812" i="138"/>
  <c r="K3131" i="138"/>
  <c r="M3131" i="138" s="1"/>
  <c r="K3130" i="138"/>
  <c r="K509" i="138"/>
  <c r="K1367" i="138"/>
  <c r="K508" i="138"/>
  <c r="K328" i="138"/>
  <c r="K3157" i="138"/>
  <c r="K3148" i="138"/>
  <c r="K3208" i="138"/>
  <c r="K3153" i="138"/>
  <c r="K3201" i="138"/>
  <c r="K227" i="138"/>
  <c r="K225" i="138"/>
  <c r="K226" i="138"/>
  <c r="K3220" i="138"/>
  <c r="K3165" i="138"/>
  <c r="K1346" i="138"/>
  <c r="K1364" i="138"/>
  <c r="K675" i="138"/>
  <c r="K3135" i="138"/>
  <c r="M3135" i="138" s="1"/>
  <c r="K3175" i="138"/>
  <c r="M3175" i="138" s="1"/>
  <c r="K3184" i="138"/>
  <c r="K1354" i="138"/>
  <c r="K679" i="138"/>
  <c r="K709" i="138"/>
  <c r="K3128" i="138"/>
  <c r="K3167" i="138"/>
  <c r="K3209" i="138"/>
  <c r="K3171" i="138"/>
  <c r="M3171" i="138" s="1"/>
  <c r="K3223" i="138"/>
  <c r="M3223" i="138" s="1"/>
  <c r="K3199" i="138"/>
  <c r="M3199" i="138" s="1"/>
  <c r="K1342" i="138"/>
  <c r="K3179" i="138"/>
  <c r="K3176" i="138"/>
  <c r="K3180" i="138"/>
  <c r="K3152" i="138"/>
  <c r="K2915" i="138"/>
  <c r="M2915" i="138" s="1"/>
  <c r="K3158" i="138"/>
  <c r="K1356" i="138"/>
  <c r="K3190" i="138"/>
  <c r="K1353" i="138"/>
  <c r="K3150" i="138"/>
  <c r="K3151" i="138"/>
  <c r="K2911" i="138"/>
  <c r="M2911" i="138" s="1"/>
  <c r="K3185" i="138"/>
  <c r="K3191" i="138"/>
  <c r="K3177" i="138"/>
  <c r="K3155" i="138"/>
  <c r="K3210" i="138"/>
  <c r="M3210" i="138" s="1"/>
  <c r="K3200" i="138"/>
  <c r="K1372" i="138"/>
  <c r="K3149" i="138"/>
  <c r="M3149" i="138" s="1"/>
  <c r="K3163" i="138"/>
  <c r="M3163" i="138" s="1"/>
  <c r="K3995" i="138"/>
  <c r="K3168" i="138"/>
  <c r="K3127" i="138"/>
  <c r="K1352" i="138"/>
  <c r="K843" i="138"/>
  <c r="K3141" i="138"/>
  <c r="K3146" i="138"/>
  <c r="K3202" i="138"/>
  <c r="K3205" i="138"/>
  <c r="K3132" i="138"/>
  <c r="K3192" i="138"/>
  <c r="K3144" i="138"/>
  <c r="K3140" i="138"/>
  <c r="K3211" i="138"/>
  <c r="K3136" i="138"/>
  <c r="K3172" i="138"/>
  <c r="K3164" i="138"/>
  <c r="K3182" i="138"/>
  <c r="K1361" i="138"/>
  <c r="K3142" i="138"/>
  <c r="K1357" i="138"/>
  <c r="K1358" i="138"/>
  <c r="K1714" i="138"/>
  <c r="K860" i="138"/>
  <c r="K373" i="138"/>
  <c r="K1355" i="138"/>
  <c r="K4080" i="138"/>
  <c r="K196" i="138"/>
  <c r="K878" i="138"/>
  <c r="K272" i="138"/>
  <c r="K3173" i="138"/>
  <c r="K767" i="138"/>
  <c r="K1762" i="138"/>
  <c r="K313" i="138"/>
  <c r="K3181" i="138"/>
  <c r="K749" i="138"/>
  <c r="K3189" i="138"/>
  <c r="K1345" i="138"/>
  <c r="K1370" i="138"/>
  <c r="K1349" i="138"/>
  <c r="K3222" i="138"/>
  <c r="K536" i="138"/>
  <c r="K3159" i="138"/>
  <c r="M3159" i="138" s="1"/>
  <c r="K3943" i="138"/>
  <c r="M3943" i="138" s="1"/>
  <c r="K3960" i="138"/>
  <c r="K1735" i="138"/>
  <c r="K3147" i="138"/>
  <c r="M3147" i="138" s="1"/>
  <c r="K154" i="138"/>
  <c r="K3125" i="138"/>
  <c r="K3218" i="138"/>
  <c r="K3186" i="138"/>
  <c r="K797" i="138"/>
  <c r="K3975" i="138"/>
  <c r="K3187" i="138"/>
  <c r="M3187" i="138" s="1"/>
  <c r="K3206" i="138"/>
  <c r="K592" i="138"/>
  <c r="K3160" i="138"/>
  <c r="K155" i="138"/>
  <c r="K68" i="138"/>
  <c r="K34" i="138"/>
  <c r="K69" i="138"/>
  <c r="K778" i="138"/>
  <c r="K3212" i="138"/>
  <c r="K4079" i="138"/>
  <c r="K466" i="138"/>
  <c r="K156" i="138"/>
  <c r="K4022" i="138"/>
  <c r="K3219" i="138"/>
  <c r="M3219" i="138" s="1"/>
  <c r="K157" i="138"/>
  <c r="K35" i="138"/>
  <c r="K4023" i="138"/>
  <c r="K282" i="138"/>
  <c r="K1391" i="138"/>
  <c r="K3310" i="138"/>
  <c r="K3277" i="138"/>
  <c r="K3320" i="138"/>
  <c r="K3233" i="138"/>
  <c r="K448" i="138"/>
  <c r="K1415" i="138"/>
  <c r="K3250" i="138"/>
  <c r="K1401" i="138"/>
  <c r="K1378" i="138"/>
  <c r="K3273" i="138"/>
  <c r="K3243" i="138"/>
  <c r="M3243" i="138" s="1"/>
  <c r="K1736" i="138"/>
  <c r="K3262" i="138"/>
  <c r="K3309" i="138"/>
  <c r="K3267" i="138"/>
  <c r="M3267" i="138" s="1"/>
  <c r="K3240" i="138"/>
  <c r="K3266" i="138"/>
  <c r="K3305" i="138"/>
  <c r="K2879" i="138"/>
  <c r="M2879" i="138" s="1"/>
  <c r="K1398" i="138"/>
  <c r="K779" i="138"/>
  <c r="K1763" i="138"/>
  <c r="K1394" i="138"/>
  <c r="K715" i="138"/>
  <c r="K3237" i="138"/>
  <c r="K1380" i="138"/>
  <c r="K406" i="138"/>
  <c r="K879" i="138"/>
  <c r="K229" i="138"/>
  <c r="K430" i="138"/>
  <c r="K819" i="138"/>
  <c r="K510" i="138"/>
  <c r="K260" i="138"/>
  <c r="K1388" i="138"/>
  <c r="K685" i="138"/>
  <c r="K813" i="138"/>
  <c r="K3263" i="138"/>
  <c r="K3282" i="138"/>
  <c r="M3282" i="138" s="1"/>
  <c r="K1381" i="138"/>
  <c r="K3314" i="138"/>
  <c r="K1412" i="138"/>
  <c r="K3318" i="138"/>
  <c r="K3256" i="138"/>
  <c r="K3251" i="138"/>
  <c r="M3251" i="138" s="1"/>
  <c r="K3292" i="138"/>
  <c r="K1410" i="138"/>
  <c r="K3253" i="138"/>
  <c r="K1386" i="138"/>
  <c r="K3239" i="138"/>
  <c r="K3241" i="138"/>
  <c r="K1387" i="138"/>
  <c r="K1397" i="138"/>
  <c r="K1399" i="138"/>
  <c r="K3303" i="138"/>
  <c r="K3252" i="138"/>
  <c r="K374" i="138"/>
  <c r="K3296" i="138"/>
  <c r="K3259" i="138"/>
  <c r="M3259" i="138" s="1"/>
  <c r="K3291" i="138"/>
  <c r="M3291" i="138" s="1"/>
  <c r="K1379" i="138"/>
  <c r="K3236" i="138"/>
  <c r="K3287" i="138"/>
  <c r="K3297" i="138"/>
  <c r="K3306" i="138"/>
  <c r="K3278" i="138"/>
  <c r="K3279" i="138"/>
  <c r="K1396" i="138"/>
  <c r="K3298" i="138"/>
  <c r="K1408" i="138"/>
  <c r="K3244" i="138"/>
  <c r="K3268" i="138"/>
  <c r="K3261" i="138"/>
  <c r="K798" i="138"/>
  <c r="K3996" i="138"/>
  <c r="K4051" i="138"/>
  <c r="M4051" i="138" s="1"/>
  <c r="K3242" i="138"/>
  <c r="K3307" i="138"/>
  <c r="M3307" i="138" s="1"/>
  <c r="K3315" i="138"/>
  <c r="M3315" i="138" s="1"/>
  <c r="K3231" i="138"/>
  <c r="M3231" i="138" s="1"/>
  <c r="K3274" i="138"/>
  <c r="K3295" i="138"/>
  <c r="K3226" i="138"/>
  <c r="K1392" i="138"/>
  <c r="K1377" i="138"/>
  <c r="K3976" i="138"/>
  <c r="K844" i="138"/>
  <c r="K3248" i="138"/>
  <c r="K3249" i="138"/>
  <c r="K1411" i="138"/>
  <c r="K3286" i="138"/>
  <c r="M3286" i="138" s="1"/>
  <c r="K3300" i="138"/>
  <c r="K3294" i="138"/>
  <c r="K3283" i="138"/>
  <c r="M3283" i="138" s="1"/>
  <c r="K1715" i="138"/>
  <c r="K861" i="138"/>
  <c r="K3311" i="138"/>
  <c r="K3312" i="138"/>
  <c r="K3961" i="138"/>
  <c r="K3228" i="138"/>
  <c r="K158" i="138"/>
  <c r="K681" i="138"/>
  <c r="K593" i="138"/>
  <c r="K159" i="138"/>
  <c r="K71" i="138"/>
  <c r="K1390" i="138"/>
  <c r="K3304" i="138"/>
  <c r="K283" i="138"/>
  <c r="K4082" i="138"/>
  <c r="K345" i="138"/>
  <c r="K36" i="138"/>
  <c r="K3280" i="138"/>
  <c r="K197" i="138"/>
  <c r="K3293" i="138"/>
  <c r="K3235" i="138"/>
  <c r="M3235" i="138" s="1"/>
  <c r="K4024" i="138"/>
  <c r="K3230" i="138"/>
  <c r="K1393" i="138"/>
  <c r="K1385" i="138"/>
  <c r="K1404" i="138"/>
  <c r="K3284" i="138"/>
  <c r="K3281" i="138"/>
  <c r="K160" i="138"/>
  <c r="K467" i="138"/>
  <c r="K161" i="138"/>
  <c r="K70" i="138"/>
  <c r="K4081" i="138"/>
  <c r="K230" i="138"/>
  <c r="K3227" i="138"/>
  <c r="M3227" i="138" s="1"/>
  <c r="K228" i="138"/>
  <c r="K3944" i="138"/>
  <c r="K3254" i="138"/>
  <c r="K1383" i="138"/>
  <c r="K511" i="138"/>
  <c r="K3260" i="138"/>
  <c r="K3232" i="138"/>
  <c r="K3288" i="138"/>
  <c r="K3289" i="138"/>
  <c r="K3225" i="138"/>
  <c r="K37" i="138"/>
  <c r="K3275" i="138"/>
  <c r="M3275" i="138" s="1"/>
  <c r="K3257" i="138"/>
  <c r="K3317" i="138"/>
  <c r="K3246" i="138"/>
  <c r="M3246" i="138" s="1"/>
  <c r="K2881" i="138"/>
  <c r="K3224" i="138"/>
  <c r="K3229" i="138"/>
  <c r="K3247" i="138"/>
  <c r="M3247" i="138" s="1"/>
  <c r="K3255" i="138"/>
  <c r="M3255" i="138" s="1"/>
  <c r="K3264" i="138"/>
  <c r="K329" i="138"/>
  <c r="K3290" i="138"/>
  <c r="M3290" i="138" s="1"/>
  <c r="K768" i="138"/>
  <c r="K1406" i="138"/>
  <c r="K3319" i="138"/>
  <c r="M3319" i="138" s="1"/>
  <c r="K3269" i="138"/>
  <c r="K3316" i="138"/>
  <c r="K1407" i="138"/>
  <c r="K1417" i="138"/>
  <c r="K4111" i="138"/>
  <c r="M4111" i="138" s="1"/>
  <c r="K554" i="138"/>
  <c r="K712" i="138"/>
  <c r="K1416" i="138"/>
  <c r="K1405" i="138"/>
  <c r="K1382" i="138"/>
  <c r="K3285" i="138"/>
  <c r="K489" i="138"/>
  <c r="K3270" i="138"/>
  <c r="M3270" i="138" s="1"/>
  <c r="K3245" i="138"/>
  <c r="K750" i="138"/>
  <c r="K3271" i="138"/>
  <c r="M3271" i="138" s="1"/>
  <c r="K1414" i="138"/>
  <c r="K3301" i="138"/>
  <c r="K3258" i="138"/>
  <c r="K3302" i="138"/>
  <c r="K1384" i="138"/>
  <c r="K3234" i="138"/>
  <c r="K1413" i="138"/>
  <c r="K1402" i="138"/>
  <c r="K1409" i="138"/>
  <c r="K1389" i="138"/>
  <c r="K2876" i="138"/>
  <c r="K4025" i="138"/>
  <c r="K1400" i="138"/>
  <c r="K568" i="138"/>
  <c r="K3308" i="138"/>
  <c r="K537" i="138"/>
  <c r="K3299" i="138"/>
  <c r="M3299" i="138" s="1"/>
  <c r="K609" i="138"/>
  <c r="K3265" i="138"/>
  <c r="K1697" i="138"/>
  <c r="K1403" i="138"/>
  <c r="K3313" i="138"/>
  <c r="K3238" i="138"/>
  <c r="K713" i="138"/>
  <c r="K1395" i="138"/>
  <c r="K3272" i="138"/>
  <c r="K716" i="138"/>
  <c r="K3276" i="138"/>
  <c r="K714" i="138"/>
  <c r="K3400" i="138"/>
  <c r="K3333" i="138"/>
  <c r="K3387" i="138"/>
  <c r="K1450" i="138"/>
  <c r="K1445" i="138"/>
  <c r="K1448" i="138"/>
  <c r="K1431" i="138"/>
  <c r="K3977" i="138"/>
  <c r="K3348" i="138"/>
  <c r="K3385" i="138"/>
  <c r="K799" i="138"/>
  <c r="K1418" i="138"/>
  <c r="K1440" i="138"/>
  <c r="K3344" i="138"/>
  <c r="K3329" i="138"/>
  <c r="K1454" i="138"/>
  <c r="K1424" i="138"/>
  <c r="K780" i="138"/>
  <c r="K3339" i="138"/>
  <c r="K1737" i="138"/>
  <c r="K3377" i="138"/>
  <c r="K346" i="138"/>
  <c r="K375" i="138"/>
  <c r="K3322" i="138"/>
  <c r="K3336" i="138"/>
  <c r="K3332" i="138"/>
  <c r="K3378" i="138"/>
  <c r="K3381" i="138"/>
  <c r="K3376" i="138"/>
  <c r="K3379" i="138"/>
  <c r="K3945" i="138"/>
  <c r="K3411" i="138"/>
  <c r="M3411" i="138" s="1"/>
  <c r="K1437" i="138"/>
  <c r="K1432" i="138"/>
  <c r="K1436" i="138"/>
  <c r="K1425" i="138"/>
  <c r="K1419" i="138"/>
  <c r="K3408" i="138"/>
  <c r="K1441" i="138"/>
  <c r="K3326" i="138"/>
  <c r="K3382" i="138"/>
  <c r="K3357" i="138"/>
  <c r="K3334" i="138"/>
  <c r="K3410" i="138"/>
  <c r="K1716" i="138"/>
  <c r="K3388" i="138"/>
  <c r="K3395" i="138"/>
  <c r="K3346" i="138"/>
  <c r="K3392" i="138"/>
  <c r="K3386" i="138"/>
  <c r="K3404" i="138"/>
  <c r="K3330" i="138"/>
  <c r="M3330" i="138" s="1"/>
  <c r="K3373" i="138"/>
  <c r="K3353" i="138"/>
  <c r="K3341" i="138"/>
  <c r="K2917" i="138"/>
  <c r="K1429" i="138"/>
  <c r="K862" i="138"/>
  <c r="K1451" i="138"/>
  <c r="K3361" i="138"/>
  <c r="K3366" i="138"/>
  <c r="K3997" i="138"/>
  <c r="K1443" i="138"/>
  <c r="K3407" i="138"/>
  <c r="K1420" i="138"/>
  <c r="K3393" i="138"/>
  <c r="K3368" i="138"/>
  <c r="K3374" i="138"/>
  <c r="K2916" i="138"/>
  <c r="K3347" i="138"/>
  <c r="K1427" i="138"/>
  <c r="K1426" i="138"/>
  <c r="K3369" i="138"/>
  <c r="K3360" i="138"/>
  <c r="K3323" i="138"/>
  <c r="K3396" i="138"/>
  <c r="K3342" i="138"/>
  <c r="K3351" i="138"/>
  <c r="M3351" i="138" s="1"/>
  <c r="K3352" i="138"/>
  <c r="K2918" i="138"/>
  <c r="K1422" i="138"/>
  <c r="K3397" i="138"/>
  <c r="K1430" i="138"/>
  <c r="K449" i="138"/>
  <c r="K2920" i="138"/>
  <c r="K3343" i="138"/>
  <c r="M3343" i="138" s="1"/>
  <c r="K2912" i="138"/>
  <c r="K3391" i="138"/>
  <c r="K3380" i="138"/>
  <c r="K3362" i="138"/>
  <c r="K3406" i="138"/>
  <c r="K3389" i="138"/>
  <c r="K3370" i="138"/>
  <c r="K3350" i="138"/>
  <c r="K3398" i="138"/>
  <c r="K4052" i="138"/>
  <c r="K3335" i="138"/>
  <c r="M3335" i="138" s="1"/>
  <c r="K845" i="138"/>
  <c r="K880" i="138"/>
  <c r="K231" i="138"/>
  <c r="K814" i="138"/>
  <c r="K1423" i="138"/>
  <c r="K1446" i="138"/>
  <c r="K1428" i="138"/>
  <c r="K3383" i="138"/>
  <c r="K3349" i="138"/>
  <c r="K569" i="138"/>
  <c r="K233" i="138"/>
  <c r="K720" i="138"/>
  <c r="K3402" i="138"/>
  <c r="K721" i="138"/>
  <c r="K717" i="138"/>
  <c r="K718" i="138"/>
  <c r="K3403" i="138"/>
  <c r="K538" i="138"/>
  <c r="K407" i="138"/>
  <c r="K1456" i="138"/>
  <c r="K3363" i="138"/>
  <c r="M3363" i="138" s="1"/>
  <c r="K513" i="138"/>
  <c r="K261" i="138"/>
  <c r="K232" i="138"/>
  <c r="K820" i="138"/>
  <c r="K3337" i="138"/>
  <c r="K610" i="138"/>
  <c r="K1453" i="138"/>
  <c r="K3394" i="138"/>
  <c r="K3390" i="138"/>
  <c r="M3390" i="138" s="1"/>
  <c r="K1447" i="138"/>
  <c r="K1442" i="138"/>
  <c r="K3321" i="138"/>
  <c r="K3375" i="138"/>
  <c r="K2921" i="138"/>
  <c r="K1444" i="138"/>
  <c r="K1455" i="138"/>
  <c r="K719" i="138"/>
  <c r="K1449" i="138"/>
  <c r="K3355" i="138"/>
  <c r="K1452" i="138"/>
  <c r="K1438" i="138"/>
  <c r="K3340" i="138"/>
  <c r="K1764" i="138"/>
  <c r="K330" i="138"/>
  <c r="K555" i="138"/>
  <c r="K1439" i="138"/>
  <c r="K3324" i="138"/>
  <c r="K3372" i="138"/>
  <c r="K3325" i="138"/>
  <c r="K3338" i="138"/>
  <c r="K512" i="138"/>
  <c r="K3354" i="138"/>
  <c r="K198" i="138"/>
  <c r="K4026" i="138"/>
  <c r="M4026" i="138" s="1"/>
  <c r="K73" i="138"/>
  <c r="K284" i="138"/>
  <c r="K162" i="138"/>
  <c r="K38" i="138"/>
  <c r="K1434" i="138"/>
  <c r="K163" i="138"/>
  <c r="K4083" i="138"/>
  <c r="K4084" i="138"/>
  <c r="K4027" i="138"/>
  <c r="K164" i="138"/>
  <c r="K72" i="138"/>
  <c r="K594" i="138"/>
  <c r="K165" i="138"/>
  <c r="K1435" i="138"/>
  <c r="K3384" i="138"/>
  <c r="K471" i="138"/>
  <c r="K690" i="138"/>
  <c r="K39" i="138"/>
  <c r="K3399" i="138"/>
  <c r="K3401" i="138"/>
  <c r="K3364" i="138"/>
  <c r="K3328" i="138"/>
  <c r="K2914" i="138"/>
  <c r="K3962" i="138"/>
  <c r="K431" i="138"/>
  <c r="K1698" i="138"/>
  <c r="K3331" i="138"/>
  <c r="K3358" i="138"/>
  <c r="K687" i="138"/>
  <c r="K1433" i="138"/>
  <c r="K3409" i="138"/>
  <c r="K3367" i="138"/>
  <c r="M3367" i="138" s="1"/>
  <c r="K1421" i="138"/>
  <c r="K3327" i="138"/>
  <c r="K3365" i="138"/>
  <c r="K3345" i="138"/>
  <c r="K751" i="138"/>
  <c r="K3359" i="138"/>
  <c r="K3356" i="138"/>
  <c r="K3405" i="138"/>
  <c r="K3371" i="138"/>
  <c r="M3371" i="138" s="1"/>
  <c r="K3487" i="138"/>
  <c r="K3963" i="138"/>
  <c r="K595" i="138"/>
  <c r="K3427" i="138"/>
  <c r="K199" i="138"/>
  <c r="K75" i="138"/>
  <c r="K41" i="138"/>
  <c r="K3946" i="138"/>
  <c r="K3412" i="138"/>
  <c r="K3434" i="138"/>
  <c r="K3998" i="138"/>
  <c r="M3998" i="138" s="1"/>
  <c r="K376" i="138"/>
  <c r="K3444" i="138"/>
  <c r="K781" i="138"/>
  <c r="K1483" i="138"/>
  <c r="K4053" i="138"/>
  <c r="K74" i="138"/>
  <c r="K3449" i="138"/>
  <c r="K347" i="138"/>
  <c r="K1478" i="138"/>
  <c r="K3483" i="138"/>
  <c r="M3483" i="138" s="1"/>
  <c r="K1457" i="138"/>
  <c r="K3425" i="138"/>
  <c r="K1468" i="138"/>
  <c r="K1492" i="138"/>
  <c r="K3490" i="138"/>
  <c r="K3495" i="138"/>
  <c r="M3495" i="138" s="1"/>
  <c r="K3480" i="138"/>
  <c r="K3451" i="138"/>
  <c r="K3435" i="138"/>
  <c r="K3463" i="138"/>
  <c r="M3463" i="138" s="1"/>
  <c r="K3420" i="138"/>
  <c r="K1717" i="138"/>
  <c r="K3481" i="138"/>
  <c r="K1484" i="138"/>
  <c r="K1469" i="138"/>
  <c r="K1473" i="138"/>
  <c r="K1489" i="138"/>
  <c r="K3437" i="138"/>
  <c r="K3426" i="138"/>
  <c r="K3501" i="138"/>
  <c r="K3421" i="138"/>
  <c r="K3430" i="138"/>
  <c r="K1699" i="138"/>
  <c r="K3422" i="138"/>
  <c r="K1495" i="138"/>
  <c r="K3448" i="138"/>
  <c r="K3978" i="138"/>
  <c r="K1470" i="138"/>
  <c r="K3423" i="138"/>
  <c r="M3423" i="138" s="1"/>
  <c r="K432" i="138"/>
  <c r="K40" i="138"/>
  <c r="K4113" i="138"/>
  <c r="K3428" i="138"/>
  <c r="K3467" i="138"/>
  <c r="K3477" i="138"/>
  <c r="K4086" i="138"/>
  <c r="K4028" i="138"/>
  <c r="K166" i="138"/>
  <c r="K262" i="138"/>
  <c r="K167" i="138"/>
  <c r="K168" i="138"/>
  <c r="K169" i="138"/>
  <c r="K4085" i="138"/>
  <c r="K1465" i="138"/>
  <c r="K3498" i="138"/>
  <c r="K1466" i="138"/>
  <c r="K1459" i="138"/>
  <c r="K1477" i="138"/>
  <c r="K1491" i="138"/>
  <c r="K3475" i="138"/>
  <c r="M3475" i="138" s="1"/>
  <c r="K3491" i="138"/>
  <c r="M3491" i="138" s="1"/>
  <c r="K3413" i="138"/>
  <c r="K1486" i="138"/>
  <c r="K1482" i="138"/>
  <c r="K1472" i="138"/>
  <c r="K800" i="138"/>
  <c r="K3458" i="138"/>
  <c r="K3478" i="138"/>
  <c r="K4029" i="138"/>
  <c r="K472" i="138"/>
  <c r="K3484" i="138"/>
  <c r="K3476" i="138"/>
  <c r="K3496" i="138"/>
  <c r="K3443" i="138"/>
  <c r="K3459" i="138"/>
  <c r="K3416" i="138"/>
  <c r="K3468" i="138"/>
  <c r="K3447" i="138"/>
  <c r="M3447" i="138" s="1"/>
  <c r="K846" i="138"/>
  <c r="K1463" i="138"/>
  <c r="K285" i="138"/>
  <c r="K3497" i="138"/>
  <c r="K3488" i="138"/>
  <c r="K3433" i="138"/>
  <c r="K1497" i="138"/>
  <c r="K1461" i="138"/>
  <c r="K1464" i="138"/>
  <c r="K3455" i="138"/>
  <c r="K1475" i="138"/>
  <c r="K752" i="138"/>
  <c r="K1485" i="138"/>
  <c r="K3419" i="138"/>
  <c r="K1462" i="138"/>
  <c r="K3452" i="138"/>
  <c r="K3494" i="138"/>
  <c r="K1493" i="138"/>
  <c r="K1460" i="138"/>
  <c r="K408" i="138"/>
  <c r="K723" i="138"/>
  <c r="K1496" i="138"/>
  <c r="K821" i="138"/>
  <c r="K3500" i="138"/>
  <c r="K235" i="138"/>
  <c r="K539" i="138"/>
  <c r="K331" i="138"/>
  <c r="K3471" i="138"/>
  <c r="K3424" i="138"/>
  <c r="K3472" i="138"/>
  <c r="K3485" i="138"/>
  <c r="K3456" i="138"/>
  <c r="K515" i="138"/>
  <c r="K234" i="138"/>
  <c r="K556" i="138"/>
  <c r="K514" i="138"/>
  <c r="K1474" i="138"/>
  <c r="K570" i="138"/>
  <c r="K236" i="138"/>
  <c r="K3418" i="138"/>
  <c r="K611" i="138"/>
  <c r="K722" i="138"/>
  <c r="K3445" i="138"/>
  <c r="K724" i="138"/>
  <c r="K692" i="138"/>
  <c r="K726" i="138"/>
  <c r="K881" i="138"/>
  <c r="K3469" i="138"/>
  <c r="K1479" i="138"/>
  <c r="K863" i="138"/>
  <c r="K3457" i="138"/>
  <c r="K3460" i="138"/>
  <c r="K3441" i="138"/>
  <c r="K3473" i="138"/>
  <c r="K3482" i="138"/>
  <c r="K3462" i="138"/>
  <c r="K3464" i="138"/>
  <c r="K1738" i="138"/>
  <c r="K3486" i="138"/>
  <c r="K3431" i="138"/>
  <c r="K3470" i="138"/>
  <c r="K1471" i="138"/>
  <c r="K450" i="138"/>
  <c r="K3417" i="138"/>
  <c r="K3439" i="138"/>
  <c r="K3489" i="138"/>
  <c r="K3492" i="138"/>
  <c r="K1476" i="138"/>
  <c r="K3450" i="138"/>
  <c r="M3450" i="138" s="1"/>
  <c r="K3493" i="138"/>
  <c r="K1488" i="138"/>
  <c r="K1487" i="138"/>
  <c r="K3474" i="138"/>
  <c r="M3474" i="138" s="1"/>
  <c r="K3438" i="138"/>
  <c r="M3438" i="138" s="1"/>
  <c r="K3479" i="138"/>
  <c r="K3442" i="138"/>
  <c r="K694" i="138"/>
  <c r="K3446" i="138"/>
  <c r="M3446" i="138" s="1"/>
  <c r="K1480" i="138"/>
  <c r="K1490" i="138"/>
  <c r="K1494" i="138"/>
  <c r="K3454" i="138"/>
  <c r="K3440" i="138"/>
  <c r="K3461" i="138"/>
  <c r="K3499" i="138"/>
  <c r="K3453" i="138"/>
  <c r="K1467" i="138"/>
  <c r="K3429" i="138"/>
  <c r="K3436" i="138"/>
  <c r="K3465" i="138"/>
  <c r="K3466" i="138"/>
  <c r="K1458" i="138"/>
  <c r="K3415" i="138"/>
  <c r="M3415" i="138" s="1"/>
  <c r="K3432" i="138"/>
  <c r="K1481" i="138"/>
  <c r="K3414" i="138"/>
  <c r="K3520" i="138"/>
  <c r="K3593" i="138"/>
  <c r="K3575" i="138"/>
  <c r="K3558" i="138"/>
  <c r="K1518" i="138"/>
  <c r="K1505" i="138"/>
  <c r="K753" i="138"/>
  <c r="K695" i="138"/>
  <c r="K3559" i="138"/>
  <c r="M3559" i="138" s="1"/>
  <c r="K3557" i="138"/>
  <c r="K3580" i="138"/>
  <c r="K1514" i="138"/>
  <c r="K730" i="138"/>
  <c r="K731" i="138"/>
  <c r="K1535" i="138"/>
  <c r="K1523" i="138"/>
  <c r="K3591" i="138"/>
  <c r="M3591" i="138" s="1"/>
  <c r="K3555" i="138"/>
  <c r="M3555" i="138" s="1"/>
  <c r="K727" i="138"/>
  <c r="K1516" i="138"/>
  <c r="K3503" i="138"/>
  <c r="K3563" i="138"/>
  <c r="K3509" i="138"/>
  <c r="K3545" i="138"/>
  <c r="K3565" i="138"/>
  <c r="K3541" i="138"/>
  <c r="K3552" i="138"/>
  <c r="K433" i="138"/>
  <c r="K864" i="138"/>
  <c r="K3525" i="138"/>
  <c r="K4054" i="138"/>
  <c r="K1500" i="138"/>
  <c r="K3532" i="138"/>
  <c r="K1501" i="138"/>
  <c r="K3527" i="138"/>
  <c r="K3510" i="138"/>
  <c r="K3543" i="138"/>
  <c r="M3543" i="138" s="1"/>
  <c r="K3522" i="138"/>
  <c r="M3522" i="138" s="1"/>
  <c r="K3583" i="138"/>
  <c r="K3562" i="138"/>
  <c r="K847" i="138"/>
  <c r="K3526" i="138"/>
  <c r="K1498" i="138"/>
  <c r="K3546" i="138"/>
  <c r="K1510" i="138"/>
  <c r="K3588" i="138"/>
  <c r="K1531" i="138"/>
  <c r="K3516" i="138"/>
  <c r="K3570" i="138"/>
  <c r="M3570" i="138" s="1"/>
  <c r="K3524" i="138"/>
  <c r="K3592" i="138"/>
  <c r="K729" i="138"/>
  <c r="K728" i="138"/>
  <c r="K1532" i="138"/>
  <c r="K3544" i="138"/>
  <c r="K3556" i="138"/>
  <c r="K1521" i="138"/>
  <c r="K3594" i="138"/>
  <c r="M3594" i="138" s="1"/>
  <c r="K3582" i="138"/>
  <c r="K1533" i="138"/>
  <c r="K1536" i="138"/>
  <c r="K3538" i="138"/>
  <c r="K3547" i="138"/>
  <c r="K697" i="138"/>
  <c r="K3523" i="138"/>
  <c r="K1522" i="138"/>
  <c r="K1499" i="138"/>
  <c r="K3979" i="138"/>
  <c r="K782" i="138"/>
  <c r="K3533" i="138"/>
  <c r="K1527" i="138"/>
  <c r="K1529" i="138"/>
  <c r="K1503" i="138"/>
  <c r="K239" i="138"/>
  <c r="K517" i="138"/>
  <c r="K516" i="138"/>
  <c r="K238" i="138"/>
  <c r="K237" i="138"/>
  <c r="K1520" i="138"/>
  <c r="K822" i="138"/>
  <c r="K3596" i="138"/>
  <c r="K3576" i="138"/>
  <c r="K3586" i="138"/>
  <c r="K3569" i="138"/>
  <c r="K3537" i="138"/>
  <c r="K3528" i="138"/>
  <c r="K3571" i="138"/>
  <c r="K3566" i="138"/>
  <c r="K3536" i="138"/>
  <c r="K3529" i="138"/>
  <c r="K3584" i="138"/>
  <c r="K1517" i="138"/>
  <c r="K3507" i="138"/>
  <c r="M3507" i="138" s="1"/>
  <c r="K3504" i="138"/>
  <c r="K170" i="138"/>
  <c r="K4030" i="138"/>
  <c r="K76" i="138"/>
  <c r="K1506" i="138"/>
  <c r="K377" i="138"/>
  <c r="K3548" i="138"/>
  <c r="K3534" i="138"/>
  <c r="K1718" i="138"/>
  <c r="K3542" i="138"/>
  <c r="K3577" i="138"/>
  <c r="K348" i="138"/>
  <c r="K4114" i="138"/>
  <c r="K3581" i="138"/>
  <c r="K3572" i="138"/>
  <c r="K3511" i="138"/>
  <c r="K3553" i="138"/>
  <c r="K3539" i="138"/>
  <c r="K3512" i="138"/>
  <c r="K1513" i="138"/>
  <c r="K3515" i="138"/>
  <c r="M3515" i="138" s="1"/>
  <c r="K1519" i="138"/>
  <c r="K3554" i="138"/>
  <c r="K3587" i="138"/>
  <c r="K263" i="138"/>
  <c r="K4088" i="138"/>
  <c r="K171" i="138"/>
  <c r="K468" i="138"/>
  <c r="K286" i="138"/>
  <c r="K200" i="138"/>
  <c r="K42" i="138"/>
  <c r="K4087" i="138"/>
  <c r="K1515" i="138"/>
  <c r="K596" i="138"/>
  <c r="K3595" i="138"/>
  <c r="K1511" i="138"/>
  <c r="K882" i="138"/>
  <c r="K3540" i="138"/>
  <c r="K3535" i="138"/>
  <c r="K3508" i="138"/>
  <c r="K3589" i="138"/>
  <c r="K3513" i="138"/>
  <c r="K3502" i="138"/>
  <c r="K3505" i="138"/>
  <c r="K3549" i="138"/>
  <c r="K43" i="138"/>
  <c r="K3578" i="138"/>
  <c r="K3519" i="138"/>
  <c r="M3519" i="138" s="1"/>
  <c r="K3506" i="138"/>
  <c r="K3564" i="138"/>
  <c r="K3579" i="138"/>
  <c r="K3517" i="138"/>
  <c r="K3590" i="138"/>
  <c r="K3518" i="138"/>
  <c r="K1524" i="138"/>
  <c r="K3567" i="138"/>
  <c r="M3567" i="138" s="1"/>
  <c r="K1507" i="138"/>
  <c r="K1508" i="138"/>
  <c r="K1528" i="138"/>
  <c r="K1534" i="138"/>
  <c r="K3550" i="138"/>
  <c r="K3574" i="138"/>
  <c r="K3585" i="138"/>
  <c r="K451" i="138"/>
  <c r="K801" i="138"/>
  <c r="K3947" i="138"/>
  <c r="K1504" i="138"/>
  <c r="K3530" i="138"/>
  <c r="K3999" i="138"/>
  <c r="M3999" i="138" s="1"/>
  <c r="K1525" i="138"/>
  <c r="K3560" i="138"/>
  <c r="K77" i="138"/>
  <c r="K4031" i="138"/>
  <c r="K172" i="138"/>
  <c r="K173" i="138"/>
  <c r="K3514" i="138"/>
  <c r="K612" i="138"/>
  <c r="K3561" i="138"/>
  <c r="K3573" i="138"/>
  <c r="K3551" i="138"/>
  <c r="K1502" i="138"/>
  <c r="K1739" i="138"/>
  <c r="K1700" i="138"/>
  <c r="K3568" i="138"/>
  <c r="K1512" i="138"/>
  <c r="K1509" i="138"/>
  <c r="K1530" i="138"/>
  <c r="K1526" i="138"/>
  <c r="K3521" i="138"/>
  <c r="K3531" i="138"/>
  <c r="M3531" i="138" s="1"/>
  <c r="K597" i="138"/>
  <c r="K3677" i="138"/>
  <c r="K1549" i="138"/>
  <c r="K783" i="138"/>
  <c r="K4000" i="138"/>
  <c r="K1547" i="138"/>
  <c r="K1555" i="138"/>
  <c r="K1558" i="138"/>
  <c r="K3612" i="138"/>
  <c r="K3640" i="138"/>
  <c r="K3620" i="138"/>
  <c r="K3662" i="138"/>
  <c r="K3626" i="138"/>
  <c r="K3599" i="138"/>
  <c r="K3645" i="138"/>
  <c r="K1554" i="138"/>
  <c r="K1561" i="138"/>
  <c r="K3948" i="138"/>
  <c r="K240" i="138"/>
  <c r="K4115" i="138"/>
  <c r="K3607" i="138"/>
  <c r="K3678" i="138"/>
  <c r="K3610" i="138"/>
  <c r="K848" i="138"/>
  <c r="K3628" i="138"/>
  <c r="K1538" i="138"/>
  <c r="K1543" i="138"/>
  <c r="K1544" i="138"/>
  <c r="K3665" i="138"/>
  <c r="K3654" i="138"/>
  <c r="M3654" i="138" s="1"/>
  <c r="K3653" i="138"/>
  <c r="K3651" i="138"/>
  <c r="M3651" i="138" s="1"/>
  <c r="K3646" i="138"/>
  <c r="K3643" i="138"/>
  <c r="K1542" i="138"/>
  <c r="K1740" i="138"/>
  <c r="K3668" i="138"/>
  <c r="K3647" i="138"/>
  <c r="K3616" i="138"/>
  <c r="K1568" i="138"/>
  <c r="K452" i="138"/>
  <c r="K3618" i="138"/>
  <c r="K242" i="138"/>
  <c r="K519" i="138"/>
  <c r="K241" i="138"/>
  <c r="K572" i="138"/>
  <c r="K1541" i="138"/>
  <c r="K1553" i="138"/>
  <c r="K3630" i="138"/>
  <c r="K865" i="138"/>
  <c r="K1559" i="138"/>
  <c r="K733" i="138"/>
  <c r="K754" i="138"/>
  <c r="K1557" i="138"/>
  <c r="K1567" i="138"/>
  <c r="K1548" i="138"/>
  <c r="K3644" i="138"/>
  <c r="K3623" i="138"/>
  <c r="K1569" i="138"/>
  <c r="K1562" i="138"/>
  <c r="K698" i="138"/>
  <c r="K735" i="138"/>
  <c r="K3964" i="138"/>
  <c r="K1573" i="138"/>
  <c r="K3652" i="138"/>
  <c r="K3671" i="138"/>
  <c r="K3624" i="138"/>
  <c r="K823" i="138"/>
  <c r="K558" i="138"/>
  <c r="K613" i="138"/>
  <c r="K518" i="138"/>
  <c r="K3676" i="138"/>
  <c r="K3648" i="138"/>
  <c r="K1565" i="138"/>
  <c r="K3621" i="138"/>
  <c r="K734" i="138"/>
  <c r="K1563" i="138"/>
  <c r="K1571" i="138"/>
  <c r="K3637" i="138"/>
  <c r="K3666" i="138"/>
  <c r="K541" i="138"/>
  <c r="K732" i="138"/>
  <c r="K700" i="138"/>
  <c r="K3635" i="138"/>
  <c r="K3682" i="138"/>
  <c r="K1574" i="138"/>
  <c r="K3603" i="138"/>
  <c r="M3603" i="138" s="1"/>
  <c r="K1701" i="138"/>
  <c r="K3636" i="138"/>
  <c r="K3663" i="138"/>
  <c r="M3663" i="138" s="1"/>
  <c r="K3614" i="138"/>
  <c r="K3601" i="138"/>
  <c r="K434" i="138"/>
  <c r="K3604" i="138"/>
  <c r="K3632" i="138"/>
  <c r="K3634" i="138"/>
  <c r="K1719" i="138"/>
  <c r="K3600" i="138"/>
  <c r="K3617" i="138"/>
  <c r="K4055" i="138"/>
  <c r="K3680" i="138"/>
  <c r="K1539" i="138"/>
  <c r="K1551" i="138"/>
  <c r="K1546" i="138"/>
  <c r="K1556" i="138"/>
  <c r="K3611" i="138"/>
  <c r="K3684" i="138"/>
  <c r="K3672" i="138"/>
  <c r="K3656" i="138"/>
  <c r="K3631" i="138"/>
  <c r="K3660" i="138"/>
  <c r="K3605" i="138"/>
  <c r="K3619" i="138"/>
  <c r="K4032" i="138"/>
  <c r="K174" i="138"/>
  <c r="K79" i="138"/>
  <c r="K45" i="138"/>
  <c r="K4089" i="138"/>
  <c r="K44" i="138"/>
  <c r="K264" i="138"/>
  <c r="K175" i="138"/>
  <c r="K4033" i="138"/>
  <c r="K469" i="138"/>
  <c r="K3669" i="138"/>
  <c r="K201" i="138"/>
  <c r="K410" i="138"/>
  <c r="K176" i="138"/>
  <c r="K4090" i="138"/>
  <c r="K883" i="138"/>
  <c r="K287" i="138"/>
  <c r="K78" i="138"/>
  <c r="K1566" i="138"/>
  <c r="K3670" i="138"/>
  <c r="K3658" i="138"/>
  <c r="K177" i="138"/>
  <c r="K378" i="138"/>
  <c r="K1537" i="138"/>
  <c r="K1545" i="138"/>
  <c r="K1552" i="138"/>
  <c r="K1564" i="138"/>
  <c r="K1570" i="138"/>
  <c r="K1572" i="138"/>
  <c r="K3602" i="138"/>
  <c r="K3597" i="138"/>
  <c r="K3661" i="138"/>
  <c r="K3638" i="138"/>
  <c r="K3659" i="138"/>
  <c r="M3659" i="138" s="1"/>
  <c r="K3639" i="138"/>
  <c r="M3639" i="138" s="1"/>
  <c r="K3641" i="138"/>
  <c r="K3609" i="138"/>
  <c r="K3642" i="138"/>
  <c r="M3642" i="138" s="1"/>
  <c r="K3627" i="138"/>
  <c r="M3627" i="138" s="1"/>
  <c r="K802" i="138"/>
  <c r="K3606" i="138"/>
  <c r="M3606" i="138" s="1"/>
  <c r="K3675" i="138"/>
  <c r="M3675" i="138" s="1"/>
  <c r="K3615" i="138"/>
  <c r="M3615" i="138" s="1"/>
  <c r="K3625" i="138"/>
  <c r="K3633" i="138"/>
  <c r="K349" i="138"/>
  <c r="K3629" i="138"/>
  <c r="K1540" i="138"/>
  <c r="K3679" i="138"/>
  <c r="M3679" i="138" s="1"/>
  <c r="K1550" i="138"/>
  <c r="K3673" i="138"/>
  <c r="K3667" i="138"/>
  <c r="K3608" i="138"/>
  <c r="K3649" i="138"/>
  <c r="K3613" i="138"/>
  <c r="K3657" i="138"/>
  <c r="K3683" i="138"/>
  <c r="K3681" i="138"/>
  <c r="K3655" i="138"/>
  <c r="M3655" i="138" s="1"/>
  <c r="K1560" i="138"/>
  <c r="K3598" i="138"/>
  <c r="K3622" i="138"/>
  <c r="K3664" i="138"/>
  <c r="K3980" i="138"/>
  <c r="K3674" i="138"/>
  <c r="K3650" i="138"/>
  <c r="K1591" i="138"/>
  <c r="K755" i="138"/>
  <c r="K702" i="138"/>
  <c r="K1594" i="138"/>
  <c r="K866" i="138"/>
  <c r="K3692" i="138"/>
  <c r="K1607" i="138"/>
  <c r="K3761" i="138"/>
  <c r="K1605" i="138"/>
  <c r="K1603" i="138"/>
  <c r="K1608" i="138"/>
  <c r="K3759" i="138"/>
  <c r="M3759" i="138" s="1"/>
  <c r="K1582" i="138"/>
  <c r="K701" i="138"/>
  <c r="K884" i="138"/>
  <c r="K1609" i="138"/>
  <c r="K142" i="138"/>
  <c r="K1611" i="138"/>
  <c r="K4034" i="138"/>
  <c r="K81" i="138"/>
  <c r="K143" i="138"/>
  <c r="K4063" i="138"/>
  <c r="K202" i="138"/>
  <c r="K80" i="138"/>
  <c r="K4035" i="138"/>
  <c r="K47" i="138"/>
  <c r="K288" i="138"/>
  <c r="K3949" i="138"/>
  <c r="K435" i="138"/>
  <c r="K542" i="138"/>
  <c r="K3705" i="138"/>
  <c r="K1579" i="138"/>
  <c r="K1613" i="138"/>
  <c r="K3723" i="138"/>
  <c r="M3723" i="138" s="1"/>
  <c r="K824" i="138"/>
  <c r="K245" i="138"/>
  <c r="K614" i="138"/>
  <c r="K521" i="138"/>
  <c r="K243" i="138"/>
  <c r="K244" i="138"/>
  <c r="K573" i="138"/>
  <c r="K520" i="138"/>
  <c r="K470" i="138"/>
  <c r="K559" i="138"/>
  <c r="K3965" i="138"/>
  <c r="K598" i="138"/>
  <c r="K490" i="138"/>
  <c r="K1599" i="138"/>
  <c r="K3753" i="138"/>
  <c r="K3740" i="138"/>
  <c r="K1598" i="138"/>
  <c r="K3754" i="138"/>
  <c r="K1612" i="138"/>
  <c r="K3748" i="138"/>
  <c r="K3691" i="138"/>
  <c r="K144" i="138"/>
  <c r="K3722" i="138"/>
  <c r="K145" i="138"/>
  <c r="K3741" i="138"/>
  <c r="K3721" i="138"/>
  <c r="K3701" i="138"/>
  <c r="K3710" i="138"/>
  <c r="K1610" i="138"/>
  <c r="K453" i="138"/>
  <c r="K1577" i="138"/>
  <c r="K3694" i="138"/>
  <c r="K1583" i="138"/>
  <c r="K1576" i="138"/>
  <c r="K3981" i="138"/>
  <c r="K379" i="138"/>
  <c r="K3708" i="138"/>
  <c r="K3745" i="138"/>
  <c r="K3762" i="138"/>
  <c r="K3744" i="138"/>
  <c r="K1584" i="138"/>
  <c r="K3760" i="138"/>
  <c r="K3742" i="138"/>
  <c r="K3695" i="138"/>
  <c r="K3727" i="138"/>
  <c r="M3727" i="138" s="1"/>
  <c r="K411" i="138"/>
  <c r="K3749" i="138"/>
  <c r="K3685" i="138"/>
  <c r="K1601" i="138"/>
  <c r="K1586" i="138"/>
  <c r="K4001" i="138"/>
  <c r="K3704" i="138"/>
  <c r="K1587" i="138"/>
  <c r="K849" i="138"/>
  <c r="K3707" i="138"/>
  <c r="M3707" i="138" s="1"/>
  <c r="K3714" i="138"/>
  <c r="K3758" i="138"/>
  <c r="M3758" i="138" s="1"/>
  <c r="K3717" i="138"/>
  <c r="K3728" i="138"/>
  <c r="K4116" i="138"/>
  <c r="K3755" i="138"/>
  <c r="K1597" i="138"/>
  <c r="K1588" i="138"/>
  <c r="K1590" i="138"/>
  <c r="K3733" i="138"/>
  <c r="K3729" i="138"/>
  <c r="K3768" i="138"/>
  <c r="K3700" i="138"/>
  <c r="K1606" i="138"/>
  <c r="K1602" i="138"/>
  <c r="K3736" i="138"/>
  <c r="K4056" i="138"/>
  <c r="K3687" i="138"/>
  <c r="M3687" i="138" s="1"/>
  <c r="K3696" i="138"/>
  <c r="K3699" i="138"/>
  <c r="M3699" i="138" s="1"/>
  <c r="K3689" i="138"/>
  <c r="K3718" i="138"/>
  <c r="M3718" i="138" s="1"/>
  <c r="K3724" i="138"/>
  <c r="K3734" i="138"/>
  <c r="K3751" i="138"/>
  <c r="K1595" i="138"/>
  <c r="K1589" i="138"/>
  <c r="K3746" i="138"/>
  <c r="K3698" i="138"/>
  <c r="K3730" i="138"/>
  <c r="K784" i="138"/>
  <c r="K3713" i="138"/>
  <c r="K1580" i="138"/>
  <c r="K3725" i="138"/>
  <c r="K3709" i="138"/>
  <c r="K3703" i="138"/>
  <c r="M3703" i="138" s="1"/>
  <c r="K3750" i="138"/>
  <c r="K3716" i="138"/>
  <c r="K3735" i="138"/>
  <c r="M3735" i="138" s="1"/>
  <c r="K3737" i="138"/>
  <c r="K3712" i="138"/>
  <c r="K3711" i="138"/>
  <c r="M3711" i="138" s="1"/>
  <c r="K3686" i="138"/>
  <c r="K3690" i="138"/>
  <c r="K1604" i="138"/>
  <c r="K1578" i="138"/>
  <c r="K1575" i="138"/>
  <c r="K803" i="138"/>
  <c r="K3706" i="138"/>
  <c r="K3693" i="138"/>
  <c r="K3738" i="138"/>
  <c r="M3738" i="138" s="1"/>
  <c r="K3697" i="138"/>
  <c r="K3752" i="138"/>
  <c r="K1593" i="138"/>
  <c r="K1596" i="138"/>
  <c r="K3756" i="138"/>
  <c r="K3726" i="138"/>
  <c r="K3715" i="138"/>
  <c r="K1585" i="138"/>
  <c r="K1600" i="138"/>
  <c r="K3766" i="138"/>
  <c r="K1702" i="138"/>
  <c r="K1720" i="138"/>
  <c r="K3720" i="138"/>
  <c r="K3747" i="138"/>
  <c r="K3764" i="138"/>
  <c r="K350" i="138"/>
  <c r="K3757" i="138"/>
  <c r="K3731" i="138"/>
  <c r="K1741" i="138"/>
  <c r="K3702" i="138"/>
  <c r="M3702" i="138" s="1"/>
  <c r="K3688" i="138"/>
  <c r="K3765" i="138"/>
  <c r="K3732" i="138"/>
  <c r="K3763" i="138"/>
  <c r="K1581" i="138"/>
  <c r="K3767" i="138"/>
  <c r="K3719" i="138"/>
  <c r="K3743" i="138"/>
  <c r="K46" i="138"/>
  <c r="K265" i="138"/>
  <c r="K4064" i="138"/>
  <c r="K1592" i="138"/>
  <c r="K3739" i="138"/>
  <c r="M3739" i="138" s="1"/>
  <c r="K1621" i="138"/>
  <c r="K1634" i="138"/>
  <c r="K3824" i="138"/>
  <c r="K3841" i="138"/>
  <c r="K3859" i="138"/>
  <c r="K703" i="138"/>
  <c r="K708" i="138"/>
  <c r="K705" i="138"/>
  <c r="K1640" i="138"/>
  <c r="K707" i="138"/>
  <c r="K3817" i="138"/>
  <c r="K3854" i="138"/>
  <c r="K3809" i="138"/>
  <c r="K3808" i="138"/>
  <c r="K710" i="138"/>
  <c r="K704" i="138"/>
  <c r="K3834" i="138"/>
  <c r="K3801" i="138"/>
  <c r="K737" i="138"/>
  <c r="K3810" i="138"/>
  <c r="K736" i="138"/>
  <c r="K1644" i="138"/>
  <c r="K1649" i="138"/>
  <c r="K522" i="138"/>
  <c r="K523" i="138"/>
  <c r="K615" i="138"/>
  <c r="K574" i="138"/>
  <c r="K491" i="138"/>
  <c r="K247" i="138"/>
  <c r="K246" i="138"/>
  <c r="K248" i="138"/>
  <c r="K3844" i="138"/>
  <c r="K1646" i="138"/>
  <c r="K1639" i="138"/>
  <c r="K1647" i="138"/>
  <c r="K3852" i="138"/>
  <c r="K756" i="138"/>
  <c r="K1656" i="138"/>
  <c r="K1657" i="138"/>
  <c r="K825" i="138"/>
  <c r="K3825" i="138"/>
  <c r="K1652" i="138"/>
  <c r="K3846" i="138"/>
  <c r="M3846" i="138" s="1"/>
  <c r="K1637" i="138"/>
  <c r="K3797" i="138"/>
  <c r="K3818" i="138"/>
  <c r="K1626" i="138"/>
  <c r="K1631" i="138"/>
  <c r="K1653" i="138"/>
  <c r="K1655" i="138"/>
  <c r="K1641" i="138"/>
  <c r="K1650" i="138"/>
  <c r="K867" i="138"/>
  <c r="K3800" i="138"/>
  <c r="K3775" i="138"/>
  <c r="M3775" i="138" s="1"/>
  <c r="K711" i="138"/>
  <c r="K3789" i="138"/>
  <c r="K3813" i="138"/>
  <c r="K1617" i="138"/>
  <c r="K3847" i="138"/>
  <c r="M3847" i="138" s="1"/>
  <c r="K3771" i="138"/>
  <c r="M3771" i="138" s="1"/>
  <c r="K4057" i="138"/>
  <c r="K3823" i="138"/>
  <c r="K3782" i="138"/>
  <c r="K3837" i="138"/>
  <c r="K3803" i="138"/>
  <c r="K3838" i="138"/>
  <c r="K3831" i="138"/>
  <c r="M3831" i="138" s="1"/>
  <c r="K3781" i="138"/>
  <c r="K3856" i="138"/>
  <c r="K3787" i="138"/>
  <c r="M3787" i="138" s="1"/>
  <c r="K1742" i="138"/>
  <c r="K3858" i="138"/>
  <c r="K4002" i="138"/>
  <c r="K1620" i="138"/>
  <c r="K3814" i="138"/>
  <c r="K1616" i="138"/>
  <c r="K3853" i="138"/>
  <c r="K1643" i="138"/>
  <c r="K3788" i="138"/>
  <c r="K3857" i="138"/>
  <c r="K3802" i="138"/>
  <c r="K1721" i="138"/>
  <c r="K3815" i="138"/>
  <c r="M3815" i="138" s="1"/>
  <c r="K3804" i="138"/>
  <c r="K3792" i="138"/>
  <c r="K3769" i="138"/>
  <c r="K3777" i="138"/>
  <c r="K3848" i="138"/>
  <c r="K3826" i="138"/>
  <c r="K1622" i="138"/>
  <c r="K1618" i="138"/>
  <c r="K1628" i="138"/>
  <c r="K1625" i="138"/>
  <c r="K1638" i="138"/>
  <c r="K3835" i="138"/>
  <c r="M3835" i="138" s="1"/>
  <c r="K3855" i="138"/>
  <c r="K1633" i="138"/>
  <c r="K1651" i="138"/>
  <c r="K3839" i="138"/>
  <c r="K3845" i="138"/>
  <c r="K3819" i="138"/>
  <c r="M3819" i="138" s="1"/>
  <c r="K3779" i="138"/>
  <c r="K380" i="138"/>
  <c r="K1614" i="138"/>
  <c r="K3796" i="138"/>
  <c r="K3773" i="138"/>
  <c r="K3836" i="138"/>
  <c r="K3780" i="138"/>
  <c r="K3821" i="138"/>
  <c r="M3821" i="138" s="1"/>
  <c r="K3791" i="138"/>
  <c r="K3829" i="138"/>
  <c r="K3830" i="138"/>
  <c r="K1630" i="138"/>
  <c r="K3811" i="138"/>
  <c r="M3811" i="138" s="1"/>
  <c r="K3820" i="138"/>
  <c r="K1635" i="138"/>
  <c r="K3785" i="138"/>
  <c r="K3849" i="138"/>
  <c r="K3774" i="138"/>
  <c r="K3770" i="138"/>
  <c r="K3842" i="138"/>
  <c r="M3842" i="138" s="1"/>
  <c r="K3805" i="138"/>
  <c r="K3798" i="138"/>
  <c r="K3778" i="138"/>
  <c r="K3806" i="138"/>
  <c r="K3832" i="138"/>
  <c r="K3772" i="138"/>
  <c r="K1627" i="138"/>
  <c r="K785" i="138"/>
  <c r="K1623" i="138"/>
  <c r="K1636" i="138"/>
  <c r="K1648" i="138"/>
  <c r="K454" i="138"/>
  <c r="K3794" i="138"/>
  <c r="K3860" i="138"/>
  <c r="K1624" i="138"/>
  <c r="K1645" i="138"/>
  <c r="K1654" i="138"/>
  <c r="K3840" i="138"/>
  <c r="K3799" i="138"/>
  <c r="M3799" i="138" s="1"/>
  <c r="K3784" i="138"/>
  <c r="K3827" i="138"/>
  <c r="M3827" i="138" s="1"/>
  <c r="K1632" i="138"/>
  <c r="K885" i="138"/>
  <c r="K4036" i="138"/>
  <c r="K4037" i="138"/>
  <c r="K62" i="138"/>
  <c r="K351" i="138"/>
  <c r="K49" i="138"/>
  <c r="K289" i="138"/>
  <c r="K4061" i="138"/>
  <c r="K3783" i="138"/>
  <c r="K266" i="138"/>
  <c r="K48" i="138"/>
  <c r="K63" i="138"/>
  <c r="K599" i="138"/>
  <c r="K203" i="138"/>
  <c r="K3950" i="138"/>
  <c r="K412" i="138"/>
  <c r="K3833" i="138"/>
  <c r="K4062" i="138"/>
  <c r="M4062" i="138" s="1"/>
  <c r="K3795" i="138"/>
  <c r="M3795" i="138" s="1"/>
  <c r="K3843" i="138"/>
  <c r="M3843" i="138" s="1"/>
  <c r="K3776" i="138"/>
  <c r="K3812" i="138"/>
  <c r="K3828" i="138"/>
  <c r="K3807" i="138"/>
  <c r="M3807" i="138" s="1"/>
  <c r="K3816" i="138"/>
  <c r="K3793" i="138"/>
  <c r="K3850" i="138"/>
  <c r="K4117" i="138"/>
  <c r="K1619" i="138"/>
  <c r="K1703" i="138"/>
  <c r="K3861" i="138"/>
  <c r="K3790" i="138"/>
  <c r="K3822" i="138"/>
  <c r="K850" i="138"/>
  <c r="K3786" i="138"/>
  <c r="M3786" i="138" s="1"/>
  <c r="K1642" i="138"/>
  <c r="K804" i="138"/>
  <c r="K3982" i="138"/>
  <c r="K1615" i="138"/>
  <c r="K3851" i="138"/>
  <c r="K1629" i="138"/>
  <c r="K1668" i="138"/>
  <c r="K1672" i="138"/>
  <c r="K1675" i="138"/>
  <c r="K1676" i="138"/>
  <c r="K3867" i="138"/>
  <c r="M3867" i="138" s="1"/>
  <c r="K3885" i="138"/>
  <c r="K3908" i="138"/>
  <c r="K3907" i="138"/>
  <c r="K1660" i="138"/>
  <c r="K3876" i="138"/>
  <c r="K3872" i="138"/>
  <c r="K352" i="138"/>
  <c r="K3902" i="138"/>
  <c r="K3922" i="138"/>
  <c r="K1662" i="138"/>
  <c r="K3886" i="138"/>
  <c r="K3931" i="138"/>
  <c r="K437" i="138"/>
  <c r="K3909" i="138"/>
  <c r="K3869" i="138"/>
  <c r="K3921" i="138"/>
  <c r="K3891" i="138"/>
  <c r="M3891" i="138" s="1"/>
  <c r="K3893" i="138"/>
  <c r="K786" i="138"/>
  <c r="K3889" i="138"/>
  <c r="K3930" i="138"/>
  <c r="M3930" i="138" s="1"/>
  <c r="K3899" i="138"/>
  <c r="K3916" i="138"/>
  <c r="K3905" i="138"/>
  <c r="K3900" i="138"/>
  <c r="K4058" i="138"/>
  <c r="K3881" i="138"/>
  <c r="K3875" i="138"/>
  <c r="K1673" i="138"/>
  <c r="K3883" i="138"/>
  <c r="K3896" i="138"/>
  <c r="K3887" i="138"/>
  <c r="K3926" i="138"/>
  <c r="K4003" i="138"/>
  <c r="K1659" i="138"/>
  <c r="K1666" i="138"/>
  <c r="K1681" i="138"/>
  <c r="K1682" i="138"/>
  <c r="K3884" i="138"/>
  <c r="K3910" i="138"/>
  <c r="K3923" i="138"/>
  <c r="K3894" i="138"/>
  <c r="K3911" i="138"/>
  <c r="K3866" i="138"/>
  <c r="K3864" i="138"/>
  <c r="K3906" i="138"/>
  <c r="K1664" i="138"/>
  <c r="K1661" i="138"/>
  <c r="K1677" i="138"/>
  <c r="K3928" i="138"/>
  <c r="K3892" i="138"/>
  <c r="K3914" i="138"/>
  <c r="K3874" i="138"/>
  <c r="K3877" i="138"/>
  <c r="K1678" i="138"/>
  <c r="K381" i="138"/>
  <c r="K1658" i="138"/>
  <c r="K1674" i="138"/>
  <c r="K1679" i="138"/>
  <c r="K3868" i="138"/>
  <c r="K3897" i="138"/>
  <c r="K3901" i="138"/>
  <c r="K1683" i="138"/>
  <c r="K3917" i="138"/>
  <c r="K1743" i="138"/>
  <c r="K1704" i="138"/>
  <c r="K3865" i="138"/>
  <c r="K3879" i="138"/>
  <c r="K851" i="138"/>
  <c r="K1670" i="138"/>
  <c r="K3863" i="138"/>
  <c r="K3880" i="138"/>
  <c r="K3927" i="138"/>
  <c r="M3927" i="138" s="1"/>
  <c r="K1722" i="138"/>
  <c r="K3915" i="138"/>
  <c r="K3862" i="138"/>
  <c r="K3882" i="138"/>
  <c r="M3882" i="138" s="1"/>
  <c r="K3878" i="138"/>
  <c r="K1669" i="138"/>
  <c r="K3912" i="138"/>
  <c r="K61" i="138"/>
  <c r="K524" i="138"/>
  <c r="K290" i="138"/>
  <c r="K600" i="138"/>
  <c r="K413" i="138"/>
  <c r="K4060" i="138"/>
  <c r="K3903" i="138"/>
  <c r="M3903" i="138" s="1"/>
  <c r="K875" i="138"/>
  <c r="K193" i="138"/>
  <c r="K4038" i="138"/>
  <c r="K525" i="138"/>
  <c r="K267" i="138"/>
  <c r="K60" i="138"/>
  <c r="K4059" i="138"/>
  <c r="K4039" i="138"/>
  <c r="M4039" i="138" s="1"/>
  <c r="K51" i="138"/>
  <c r="K3951" i="138"/>
  <c r="M3951" i="138" s="1"/>
  <c r="K3888" i="138"/>
  <c r="K3918" i="138"/>
  <c r="K50" i="138"/>
  <c r="K3871" i="138"/>
  <c r="K3924" i="138"/>
  <c r="K3925" i="138"/>
  <c r="K3898" i="138"/>
  <c r="K4112" i="138"/>
  <c r="K1663" i="138"/>
  <c r="K3870" i="138"/>
  <c r="K3929" i="138"/>
  <c r="K805" i="138"/>
  <c r="K3983" i="138"/>
  <c r="M3983" i="138" s="1"/>
  <c r="K1665" i="138"/>
  <c r="K3904" i="138"/>
  <c r="K1671" i="138"/>
  <c r="K1680" i="138"/>
  <c r="K455" i="138"/>
  <c r="K3873" i="138"/>
  <c r="K3919" i="138"/>
  <c r="M3919" i="138" s="1"/>
  <c r="K3895" i="138"/>
  <c r="K3920" i="138"/>
  <c r="K3913" i="138"/>
  <c r="M3913" i="138" s="1"/>
  <c r="K1667" i="138"/>
  <c r="K3890" i="138"/>
  <c r="K632" i="138"/>
  <c r="K1827" i="138"/>
  <c r="K4097" i="138"/>
  <c r="K1868" i="138"/>
  <c r="K1839" i="138"/>
  <c r="M4059" i="138" l="1"/>
  <c r="M4035" i="138"/>
  <c r="M3922" i="138"/>
  <c r="M3838" i="138"/>
  <c r="M3610" i="138"/>
  <c r="M3538" i="138"/>
  <c r="M3478" i="138"/>
  <c r="M3430" i="138"/>
  <c r="M3826" i="138"/>
  <c r="M3853" i="138"/>
  <c r="M2914" i="138"/>
  <c r="M3406" i="138"/>
  <c r="M3166" i="138"/>
  <c r="M3898" i="138"/>
  <c r="M3850" i="138"/>
  <c r="M3622" i="138"/>
  <c r="M3550" i="138"/>
  <c r="M4114" i="138"/>
  <c r="M3454" i="138"/>
  <c r="M3874" i="138"/>
  <c r="M3862" i="138"/>
  <c r="M3910" i="138"/>
  <c r="M3793" i="138"/>
  <c r="M4057" i="138"/>
  <c r="M3963" i="138"/>
  <c r="M4023" i="138"/>
  <c r="M3181" i="138"/>
  <c r="M3154" i="138"/>
  <c r="M3037" i="138"/>
  <c r="M3754" i="138"/>
  <c r="M3526" i="138"/>
  <c r="M3358" i="138"/>
  <c r="M3346" i="138"/>
  <c r="M3322" i="138"/>
  <c r="M3250" i="138"/>
  <c r="M3142" i="138"/>
  <c r="M3202" i="138"/>
  <c r="M3975" i="138"/>
  <c r="M3686" i="138"/>
  <c r="M3650" i="138"/>
  <c r="M3602" i="138"/>
  <c r="M3590" i="138"/>
  <c r="M2918" i="138"/>
  <c r="M3374" i="138"/>
  <c r="M3410" i="138"/>
  <c r="M3170" i="138"/>
  <c r="M3110" i="138"/>
  <c r="M4055" i="138"/>
  <c r="M3895" i="138"/>
  <c r="M4003" i="138"/>
  <c r="M3899" i="138"/>
  <c r="M3635" i="138"/>
  <c r="M3947" i="138"/>
  <c r="M3539" i="138"/>
  <c r="M3571" i="138"/>
  <c r="M3547" i="138"/>
  <c r="M3583" i="138"/>
  <c r="M3575" i="138"/>
  <c r="M3479" i="138"/>
  <c r="M3383" i="138"/>
  <c r="M3191" i="138"/>
  <c r="M3071" i="138"/>
  <c r="M3347" i="138"/>
  <c r="M3743" i="138"/>
  <c r="M3962" i="138"/>
  <c r="M3866" i="138"/>
  <c r="M3887" i="138"/>
  <c r="M3806" i="138"/>
  <c r="M3801" i="138"/>
  <c r="M3719" i="138"/>
  <c r="M3755" i="138"/>
  <c r="M3741" i="138"/>
  <c r="M3611" i="138"/>
  <c r="M3623" i="138"/>
  <c r="M3643" i="138"/>
  <c r="M3511" i="138"/>
  <c r="M3499" i="138"/>
  <c r="M3287" i="138"/>
  <c r="M3203" i="138"/>
  <c r="M3419" i="138"/>
  <c r="M3179" i="138"/>
  <c r="M3859" i="138"/>
  <c r="M3767" i="138"/>
  <c r="M4063" i="138"/>
  <c r="M3607" i="138"/>
  <c r="M3535" i="138"/>
  <c r="M3431" i="138"/>
  <c r="M3451" i="138"/>
  <c r="M3379" i="138"/>
  <c r="M3239" i="138"/>
  <c r="M3731" i="138"/>
  <c r="M3467" i="138"/>
  <c r="M4079" i="138"/>
  <c r="M3883" i="138"/>
  <c r="M3851" i="138"/>
  <c r="M3839" i="138"/>
  <c r="M4115" i="138"/>
  <c r="M3527" i="138"/>
  <c r="M3427" i="138"/>
  <c r="M4027" i="138"/>
  <c r="M3355" i="138"/>
  <c r="M3311" i="138"/>
  <c r="M3995" i="138"/>
  <c r="M3863" i="138"/>
  <c r="M3926" i="138"/>
  <c r="M3779" i="138"/>
  <c r="M3871" i="138"/>
  <c r="M3923" i="138"/>
  <c r="M3950" i="138"/>
  <c r="M3794" i="138"/>
  <c r="M3791" i="138"/>
  <c r="M3823" i="138"/>
  <c r="M3763" i="138"/>
  <c r="M3614" i="138"/>
  <c r="M4031" i="138"/>
  <c r="M3506" i="138"/>
  <c r="M3563" i="138"/>
  <c r="M3455" i="138"/>
  <c r="M3338" i="138"/>
  <c r="M3391" i="138"/>
  <c r="M3407" i="138"/>
  <c r="M3326" i="138"/>
  <c r="M3254" i="138"/>
  <c r="M3215" i="138"/>
  <c r="M3134" i="138"/>
  <c r="M3359" i="138"/>
  <c r="M3875" i="138"/>
  <c r="M3273" i="138"/>
  <c r="M3671" i="138"/>
  <c r="M3587" i="138"/>
  <c r="M3323" i="138"/>
  <c r="M3695" i="138"/>
  <c r="M3619" i="138"/>
  <c r="M3979" i="138"/>
  <c r="M3931" i="138"/>
  <c r="M3715" i="138"/>
  <c r="M3683" i="138"/>
  <c r="M3638" i="138"/>
  <c r="M3631" i="138"/>
  <c r="M3647" i="138"/>
  <c r="M3599" i="138"/>
  <c r="M3551" i="138"/>
  <c r="O3551" i="138" s="1"/>
  <c r="M4087" i="138"/>
  <c r="M3523" i="138"/>
  <c r="M3331" i="138"/>
  <c r="M3398" i="138"/>
  <c r="M3395" i="138"/>
  <c r="M4022" i="138"/>
  <c r="M3155" i="138"/>
  <c r="M3047" i="138"/>
  <c r="M3038" i="138"/>
  <c r="N3873" i="138"/>
  <c r="N50" i="138"/>
  <c r="M50" i="138"/>
  <c r="N600" i="138"/>
  <c r="M600" i="138"/>
  <c r="N3879" i="138"/>
  <c r="N3914" i="138"/>
  <c r="N1666" i="138"/>
  <c r="M1666" i="138"/>
  <c r="O1666" i="138" s="1"/>
  <c r="N3889" i="138"/>
  <c r="N3902" i="138"/>
  <c r="N3982" i="138"/>
  <c r="N3812" i="138"/>
  <c r="N4036" i="138"/>
  <c r="N4002" i="138"/>
  <c r="N3803" i="138"/>
  <c r="N1655" i="138"/>
  <c r="M1655" i="138"/>
  <c r="N1656" i="138"/>
  <c r="M1656" i="138"/>
  <c r="N615" i="138"/>
  <c r="M615" i="138"/>
  <c r="N707" i="138"/>
  <c r="M707" i="138"/>
  <c r="N4064" i="138"/>
  <c r="N1741" i="138"/>
  <c r="M1741" i="138"/>
  <c r="O1741" i="138" s="1"/>
  <c r="N1593" i="138"/>
  <c r="M1593" i="138"/>
  <c r="N1578" i="138"/>
  <c r="M1578" i="138"/>
  <c r="N3730" i="138"/>
  <c r="N1606" i="138"/>
  <c r="M1606" i="138"/>
  <c r="N1587" i="138"/>
  <c r="M1587" i="138"/>
  <c r="N3708" i="138"/>
  <c r="N3691" i="138"/>
  <c r="N470" i="138"/>
  <c r="M470" i="138"/>
  <c r="N3705" i="138"/>
  <c r="N4034" i="138"/>
  <c r="N702" i="138"/>
  <c r="M702" i="138"/>
  <c r="N3598" i="138"/>
  <c r="N3633" i="138"/>
  <c r="N1572" i="138"/>
  <c r="M1572" i="138"/>
  <c r="N287" i="138"/>
  <c r="M287" i="138"/>
  <c r="O287" i="138" s="1"/>
  <c r="N4089" i="138"/>
  <c r="N1539" i="138"/>
  <c r="M1539" i="138"/>
  <c r="N1574" i="138"/>
  <c r="M1574" i="138"/>
  <c r="N1565" i="138"/>
  <c r="M1565" i="138"/>
  <c r="N735" i="138"/>
  <c r="M735" i="138"/>
  <c r="N865" i="138"/>
  <c r="M865" i="138"/>
  <c r="N3618" i="138"/>
  <c r="N1538" i="138"/>
  <c r="M1538" i="138"/>
  <c r="N3948" i="138"/>
  <c r="N3677" i="138"/>
  <c r="N3568" i="138"/>
  <c r="N3530" i="138"/>
  <c r="N1534" i="138"/>
  <c r="M1534" i="138"/>
  <c r="N3505" i="138"/>
  <c r="N468" i="138"/>
  <c r="M468" i="138"/>
  <c r="N1513" i="138"/>
  <c r="M1513" i="138"/>
  <c r="N76" i="138"/>
  <c r="M76" i="138"/>
  <c r="N3596" i="138"/>
  <c r="N782" i="138"/>
  <c r="M782" i="138"/>
  <c r="N1521" i="138"/>
  <c r="M1521" i="138"/>
  <c r="N1510" i="138"/>
  <c r="M1510" i="138"/>
  <c r="N864" i="138"/>
  <c r="M864" i="138"/>
  <c r="O864" i="138" s="1"/>
  <c r="N3503" i="138"/>
  <c r="N1518" i="138"/>
  <c r="M1518" i="138"/>
  <c r="N3436" i="138"/>
  <c r="N694" i="138"/>
  <c r="M694" i="138"/>
  <c r="N3439" i="138"/>
  <c r="N3441" i="138"/>
  <c r="N1474" i="138"/>
  <c r="M1474" i="138"/>
  <c r="O1474" i="138" s="1"/>
  <c r="N723" i="138"/>
  <c r="M723" i="138"/>
  <c r="O723" i="138" s="1"/>
  <c r="N1464" i="138"/>
  <c r="M1464" i="138"/>
  <c r="N3459" i="138"/>
  <c r="N1491" i="138"/>
  <c r="M1491" i="138"/>
  <c r="O1491" i="138" s="1"/>
  <c r="N4028" i="138"/>
  <c r="N3421" i="138"/>
  <c r="N3435" i="138"/>
  <c r="N3449" i="138"/>
  <c r="N75" i="138"/>
  <c r="M75" i="138"/>
  <c r="N3409" i="138"/>
  <c r="N3399" i="138"/>
  <c r="N4083" i="138"/>
  <c r="N555" i="138"/>
  <c r="M555" i="138"/>
  <c r="N3375" i="138"/>
  <c r="N513" i="138"/>
  <c r="M513" i="138"/>
  <c r="O513" i="138" s="1"/>
  <c r="N1446" i="138"/>
  <c r="M1446" i="138"/>
  <c r="N2912" i="138"/>
  <c r="N1427" i="138"/>
  <c r="M1427" i="138"/>
  <c r="N3341" i="138"/>
  <c r="N3334" i="138"/>
  <c r="N3945" i="138"/>
  <c r="N3339" i="138"/>
  <c r="N3387" i="138"/>
  <c r="N1697" i="138"/>
  <c r="M1697" i="138"/>
  <c r="O1697" i="138" s="1"/>
  <c r="N1402" i="138"/>
  <c r="M1402" i="138"/>
  <c r="N1416" i="138"/>
  <c r="M1416" i="138"/>
  <c r="N3229" i="138"/>
  <c r="N3944" i="138"/>
  <c r="N1385" i="138"/>
  <c r="M1385" i="138"/>
  <c r="N3961" i="138"/>
  <c r="N3226" i="138"/>
  <c r="N3279" i="138"/>
  <c r="N3303" i="138"/>
  <c r="N3318" i="138"/>
  <c r="N1380" i="138"/>
  <c r="M1380" i="138"/>
  <c r="O1380" i="138" s="1"/>
  <c r="N3305" i="138"/>
  <c r="N3277" i="138"/>
  <c r="N3212" i="138"/>
  <c r="N3186" i="138"/>
  <c r="N1370" i="138"/>
  <c r="M1370" i="138"/>
  <c r="N1714" i="138"/>
  <c r="M1714" i="138"/>
  <c r="N3127" i="138"/>
  <c r="N3190" i="138"/>
  <c r="N3209" i="138"/>
  <c r="N3165" i="138"/>
  <c r="N812" i="138"/>
  <c r="M812" i="138"/>
  <c r="N3174" i="138"/>
  <c r="N3139" i="138"/>
  <c r="N3133" i="138"/>
  <c r="N3145" i="138"/>
  <c r="N3143" i="138"/>
  <c r="N1311" i="138"/>
  <c r="M1311" i="138"/>
  <c r="N632" i="138"/>
  <c r="M632" i="138"/>
  <c r="N455" i="138"/>
  <c r="O455" i="138" s="1"/>
  <c r="M455" i="138"/>
  <c r="N3870" i="138"/>
  <c r="N3918" i="138"/>
  <c r="N525" i="138"/>
  <c r="M525" i="138"/>
  <c r="N290" i="138"/>
  <c r="M290" i="138"/>
  <c r="N3915" i="138"/>
  <c r="N3865" i="138"/>
  <c r="N1679" i="138"/>
  <c r="M1679" i="138"/>
  <c r="N3892" i="138"/>
  <c r="N3911" i="138"/>
  <c r="N1659" i="138"/>
  <c r="M1659" i="138"/>
  <c r="N3881" i="138"/>
  <c r="N786" i="138"/>
  <c r="M786" i="138"/>
  <c r="N3886" i="138"/>
  <c r="N3907" i="138"/>
  <c r="N1629" i="138"/>
  <c r="M1629" i="138"/>
  <c r="N3822" i="138"/>
  <c r="N3816" i="138"/>
  <c r="N3833" i="138"/>
  <c r="N3783" i="138"/>
  <c r="N885" i="138"/>
  <c r="O885" i="138" s="1"/>
  <c r="M885" i="138"/>
  <c r="N1624" i="138"/>
  <c r="M1624" i="138"/>
  <c r="N1627" i="138"/>
  <c r="M1627" i="138"/>
  <c r="N3770" i="138"/>
  <c r="N3830" i="138"/>
  <c r="N1614" i="138"/>
  <c r="M1614" i="138"/>
  <c r="N3855" i="138"/>
  <c r="N3848" i="138"/>
  <c r="N3857" i="138"/>
  <c r="N3858" i="138"/>
  <c r="N3837" i="138"/>
  <c r="N3789" i="138"/>
  <c r="N1653" i="138"/>
  <c r="O1653" i="138" s="1"/>
  <c r="M1653" i="138"/>
  <c r="N3825" i="138"/>
  <c r="N1646" i="138"/>
  <c r="M1646" i="138"/>
  <c r="N523" i="138"/>
  <c r="M523" i="138"/>
  <c r="N3834" i="138"/>
  <c r="N1640" i="138"/>
  <c r="M1640" i="138"/>
  <c r="N1621" i="138"/>
  <c r="M1621" i="138"/>
  <c r="N3765" i="138"/>
  <c r="N3747" i="138"/>
  <c r="N3726" i="138"/>
  <c r="N3706" i="138"/>
  <c r="N3712" i="138"/>
  <c r="N1580" i="138"/>
  <c r="M1580" i="138"/>
  <c r="N3751" i="138"/>
  <c r="N4056" i="138"/>
  <c r="N1590" i="138"/>
  <c r="M1590" i="138"/>
  <c r="N3714" i="138"/>
  <c r="N3685" i="138"/>
  <c r="N3744" i="138"/>
  <c r="N3694" i="138"/>
  <c r="N145" i="138"/>
  <c r="M145" i="138"/>
  <c r="N3740" i="138"/>
  <c r="N598" i="138"/>
  <c r="M598" i="138"/>
  <c r="N521" i="138"/>
  <c r="M521" i="138"/>
  <c r="N47" i="138"/>
  <c r="M47" i="138"/>
  <c r="N1611" i="138"/>
  <c r="M1611" i="138"/>
  <c r="N1603" i="138"/>
  <c r="M1603" i="138"/>
  <c r="N755" i="138"/>
  <c r="M755" i="138"/>
  <c r="N1560" i="138"/>
  <c r="M1560" i="138"/>
  <c r="O1560" i="138" s="1"/>
  <c r="N3667" i="138"/>
  <c r="N3625" i="138"/>
  <c r="N3641" i="138"/>
  <c r="N1570" i="138"/>
  <c r="M1570" i="138"/>
  <c r="N3670" i="138"/>
  <c r="N201" i="138"/>
  <c r="M201" i="138"/>
  <c r="N45" i="138"/>
  <c r="M45" i="138"/>
  <c r="N3656" i="138"/>
  <c r="N3680" i="138"/>
  <c r="N434" i="138"/>
  <c r="M434" i="138"/>
  <c r="N3682" i="138"/>
  <c r="N1563" i="138"/>
  <c r="M1563" i="138"/>
  <c r="N558" i="138"/>
  <c r="M558" i="138"/>
  <c r="N698" i="138"/>
  <c r="M698" i="138"/>
  <c r="N754" i="138"/>
  <c r="O754" i="138" s="1"/>
  <c r="M754" i="138"/>
  <c r="N241" i="138"/>
  <c r="M241" i="138"/>
  <c r="N3668" i="138"/>
  <c r="N3665" i="138"/>
  <c r="N1561" i="138"/>
  <c r="M1561" i="138"/>
  <c r="O1561" i="138" s="1"/>
  <c r="N3612" i="138"/>
  <c r="N597" i="138"/>
  <c r="M597" i="138"/>
  <c r="N1700" i="138"/>
  <c r="M1700" i="138"/>
  <c r="O1700" i="138" s="1"/>
  <c r="N173" i="138"/>
  <c r="M173" i="138"/>
  <c r="N1504" i="138"/>
  <c r="M1504" i="138"/>
  <c r="N1528" i="138"/>
  <c r="M1528" i="138"/>
  <c r="N3579" i="138"/>
  <c r="N3502" i="138"/>
  <c r="N3595" i="138"/>
  <c r="N171" i="138"/>
  <c r="M171" i="138"/>
  <c r="N3512" i="138"/>
  <c r="N3577" i="138"/>
  <c r="N4030" i="138"/>
  <c r="N3566" i="138"/>
  <c r="N822" i="138"/>
  <c r="M822" i="138"/>
  <c r="N1529" i="138"/>
  <c r="M1529" i="138"/>
  <c r="O1529" i="138" s="1"/>
  <c r="N697" i="138"/>
  <c r="M697" i="138"/>
  <c r="N3556" i="138"/>
  <c r="N3516" i="138"/>
  <c r="N3562" i="138"/>
  <c r="N1500" i="138"/>
  <c r="M1500" i="138"/>
  <c r="N3545" i="138"/>
  <c r="N1523" i="138"/>
  <c r="M1523" i="138"/>
  <c r="O1523" i="138" s="1"/>
  <c r="N3558" i="138"/>
  <c r="N3414" i="138"/>
  <c r="N3429" i="138"/>
  <c r="N1490" i="138"/>
  <c r="M1490" i="138"/>
  <c r="N1487" i="138"/>
  <c r="M1487" i="138"/>
  <c r="O1487" i="138" s="1"/>
  <c r="N3417" i="138"/>
  <c r="N3462" i="138"/>
  <c r="N3469" i="138"/>
  <c r="N3418" i="138"/>
  <c r="N3471" i="138"/>
  <c r="N408" i="138"/>
  <c r="M408" i="138"/>
  <c r="N752" i="138"/>
  <c r="M752" i="138"/>
  <c r="O752" i="138" s="1"/>
  <c r="N3497" i="138"/>
  <c r="N3443" i="138"/>
  <c r="N800" i="138"/>
  <c r="M800" i="138"/>
  <c r="N1477" i="138"/>
  <c r="M1477" i="138"/>
  <c r="N167" i="138"/>
  <c r="M167" i="138"/>
  <c r="N4113" i="138"/>
  <c r="N3422" i="138"/>
  <c r="N1717" i="138"/>
  <c r="M1717" i="138"/>
  <c r="O1717" i="138" s="1"/>
  <c r="N1492" i="138"/>
  <c r="M1492" i="138"/>
  <c r="N74" i="138"/>
  <c r="O74" i="138" s="1"/>
  <c r="M74" i="138"/>
  <c r="N3412" i="138"/>
  <c r="N3487" i="138"/>
  <c r="N3327" i="138"/>
  <c r="N1433" i="138"/>
  <c r="M1433" i="138"/>
  <c r="N3328" i="138"/>
  <c r="N1435" i="138"/>
  <c r="M1435" i="138"/>
  <c r="N163" i="138"/>
  <c r="M163" i="138"/>
  <c r="N3354" i="138"/>
  <c r="N330" i="138"/>
  <c r="M330" i="138"/>
  <c r="N1455" i="138"/>
  <c r="M1455" i="138"/>
  <c r="N820" i="138"/>
  <c r="M820" i="138"/>
  <c r="N3403" i="138"/>
  <c r="N3349" i="138"/>
  <c r="N845" i="138"/>
  <c r="M845" i="138"/>
  <c r="N3362" i="138"/>
  <c r="N3397" i="138"/>
  <c r="N3360" i="138"/>
  <c r="N3393" i="138"/>
  <c r="N862" i="138"/>
  <c r="M862" i="138"/>
  <c r="N3386" i="138"/>
  <c r="N3357" i="138"/>
  <c r="N1432" i="138"/>
  <c r="M1432" i="138"/>
  <c r="N3332" i="138"/>
  <c r="N780" i="138"/>
  <c r="M780" i="138"/>
  <c r="N3385" i="138"/>
  <c r="N3333" i="138"/>
  <c r="N3238" i="138"/>
  <c r="N2876" i="138"/>
  <c r="N3258" i="138"/>
  <c r="N3285" i="138"/>
  <c r="N1407" i="138"/>
  <c r="M1407" i="138"/>
  <c r="N3264" i="138"/>
  <c r="N3257" i="138"/>
  <c r="N3281" i="138"/>
  <c r="N3293" i="138"/>
  <c r="N1390" i="138"/>
  <c r="O1390" i="138" s="1"/>
  <c r="M1390" i="138"/>
  <c r="N3312" i="138"/>
  <c r="N1411" i="138"/>
  <c r="M1411" i="138"/>
  <c r="N3295" i="138"/>
  <c r="N798" i="138"/>
  <c r="M798" i="138"/>
  <c r="N3236" i="138"/>
  <c r="N1399" i="138"/>
  <c r="M1399" i="138"/>
  <c r="N3292" i="138"/>
  <c r="N3263" i="138"/>
  <c r="N229" i="138"/>
  <c r="M229" i="138"/>
  <c r="N779" i="138"/>
  <c r="M779" i="138"/>
  <c r="N1378" i="138"/>
  <c r="M1378" i="138"/>
  <c r="N3310" i="138"/>
  <c r="N156" i="138"/>
  <c r="M156" i="138"/>
  <c r="O156" i="138" s="1"/>
  <c r="N155" i="138"/>
  <c r="M155" i="138"/>
  <c r="N3218" i="138"/>
  <c r="N536" i="138"/>
  <c r="M536" i="138"/>
  <c r="N272" i="138"/>
  <c r="M272" i="138"/>
  <c r="N1358" i="138"/>
  <c r="M1358" i="138"/>
  <c r="N3211" i="138"/>
  <c r="N3141" i="138"/>
  <c r="N1372" i="138"/>
  <c r="M1372" i="138"/>
  <c r="N3151" i="138"/>
  <c r="N3180" i="138"/>
  <c r="N3167" i="138"/>
  <c r="N3220" i="138"/>
  <c r="N3157" i="138"/>
  <c r="N259" i="138"/>
  <c r="M259" i="138"/>
  <c r="N3216" i="138"/>
  <c r="N3195" i="138"/>
  <c r="N1351" i="138"/>
  <c r="M1351" i="138"/>
  <c r="N1348" i="138"/>
  <c r="M1348" i="138"/>
  <c r="N3193" i="138"/>
  <c r="N3214" i="138"/>
  <c r="N4110" i="138"/>
  <c r="N3122" i="138"/>
  <c r="N3035" i="138"/>
  <c r="N3036" i="138"/>
  <c r="N3087" i="138"/>
  <c r="N3042" i="138"/>
  <c r="N1308" i="138"/>
  <c r="M1308" i="138"/>
  <c r="N607" i="138"/>
  <c r="M607" i="138"/>
  <c r="N1329" i="138"/>
  <c r="M1329" i="138"/>
  <c r="N223" i="138"/>
  <c r="M223" i="138"/>
  <c r="O223" i="138" s="1"/>
  <c r="N3076" i="138"/>
  <c r="N1325" i="138"/>
  <c r="M1325" i="138"/>
  <c r="M4083" i="138"/>
  <c r="M3915" i="138"/>
  <c r="O3915" i="138" s="1"/>
  <c r="M3911" i="138"/>
  <c r="O3911" i="138" s="1"/>
  <c r="M3907" i="138"/>
  <c r="O3907" i="138" s="1"/>
  <c r="M3879" i="138"/>
  <c r="M3855" i="138"/>
  <c r="M3803" i="138"/>
  <c r="M3783" i="138"/>
  <c r="O3783" i="138" s="1"/>
  <c r="M3751" i="138"/>
  <c r="M3747" i="138"/>
  <c r="O3747" i="138" s="1"/>
  <c r="M3691" i="138"/>
  <c r="O3691" i="138" s="1"/>
  <c r="M3667" i="138"/>
  <c r="M3595" i="138"/>
  <c r="O3595" i="138" s="1"/>
  <c r="M3579" i="138"/>
  <c r="M3503" i="138"/>
  <c r="M3487" i="138"/>
  <c r="M3471" i="138"/>
  <c r="M3459" i="138"/>
  <c r="M3443" i="138"/>
  <c r="O3443" i="138" s="1"/>
  <c r="M3439" i="138"/>
  <c r="O3439" i="138" s="1"/>
  <c r="M3435" i="138"/>
  <c r="O3435" i="138" s="1"/>
  <c r="M3403" i="138"/>
  <c r="M3399" i="138"/>
  <c r="O3399" i="138" s="1"/>
  <c r="M3387" i="138"/>
  <c r="O3387" i="138" s="1"/>
  <c r="M3375" i="138"/>
  <c r="O3375" i="138" s="1"/>
  <c r="M3339" i="138"/>
  <c r="O3339" i="138" s="1"/>
  <c r="M3327" i="138"/>
  <c r="M3303" i="138"/>
  <c r="M3295" i="138"/>
  <c r="M3279" i="138"/>
  <c r="M3263" i="138"/>
  <c r="M3211" i="138"/>
  <c r="O3211" i="138" s="1"/>
  <c r="M3195" i="138"/>
  <c r="M3167" i="138"/>
  <c r="O3167" i="138" s="1"/>
  <c r="M3151" i="138"/>
  <c r="M3143" i="138"/>
  <c r="M3139" i="138"/>
  <c r="M3127" i="138"/>
  <c r="O3127" i="138" s="1"/>
  <c r="M3087" i="138"/>
  <c r="O3087" i="138" s="1"/>
  <c r="M3035" i="138"/>
  <c r="N1827" i="138"/>
  <c r="M1827" i="138"/>
  <c r="N3904" i="138"/>
  <c r="N51" i="138"/>
  <c r="M51" i="138"/>
  <c r="N3912" i="138"/>
  <c r="N3917" i="138"/>
  <c r="N1661" i="138"/>
  <c r="M1661" i="138"/>
  <c r="N3887" i="138"/>
  <c r="O3887" i="138" s="1"/>
  <c r="N3921" i="138"/>
  <c r="N3867" i="138"/>
  <c r="O3867" i="138" s="1"/>
  <c r="N1703" i="138"/>
  <c r="M1703" i="138"/>
  <c r="N203" i="138"/>
  <c r="M203" i="138"/>
  <c r="N1645" i="138"/>
  <c r="M1645" i="138"/>
  <c r="N3785" i="138"/>
  <c r="N3802" i="138"/>
  <c r="N3856" i="138"/>
  <c r="N3813" i="138"/>
  <c r="N3818" i="138"/>
  <c r="N246" i="138"/>
  <c r="M246" i="138"/>
  <c r="N1644" i="138"/>
  <c r="M1644" i="138"/>
  <c r="O1644" i="138" s="1"/>
  <c r="N703" i="138"/>
  <c r="M703" i="138"/>
  <c r="N3732" i="138"/>
  <c r="N3764" i="138"/>
  <c r="N3693" i="138"/>
  <c r="N3711" i="138"/>
  <c r="O3711" i="138" s="1"/>
  <c r="N1595" i="138"/>
  <c r="M1595" i="138"/>
  <c r="N3733" i="138"/>
  <c r="N1601" i="138"/>
  <c r="M1601" i="138"/>
  <c r="N1583" i="138"/>
  <c r="M1583" i="138"/>
  <c r="N1598" i="138"/>
  <c r="M1598" i="138"/>
  <c r="N243" i="138"/>
  <c r="O243" i="138" s="1"/>
  <c r="M243" i="138"/>
  <c r="N202" i="138"/>
  <c r="O202" i="138" s="1"/>
  <c r="M202" i="138"/>
  <c r="N1608" i="138"/>
  <c r="M1608" i="138"/>
  <c r="O1608" i="138" s="1"/>
  <c r="N3674" i="138"/>
  <c r="N3679" i="138"/>
  <c r="O3679" i="138" s="1"/>
  <c r="N3609" i="138"/>
  <c r="N3658" i="138"/>
  <c r="N4033" i="138"/>
  <c r="N3611" i="138"/>
  <c r="N3604" i="138"/>
  <c r="N1571" i="138"/>
  <c r="M1571" i="138"/>
  <c r="N3671" i="138"/>
  <c r="O3671" i="138" s="1"/>
  <c r="N572" i="138"/>
  <c r="M572" i="138"/>
  <c r="O572" i="138" s="1"/>
  <c r="N3647" i="138"/>
  <c r="O3647" i="138" s="1"/>
  <c r="N3678" i="138"/>
  <c r="N3599" i="138"/>
  <c r="O3599" i="138" s="1"/>
  <c r="N1526" i="138"/>
  <c r="M1526" i="138"/>
  <c r="O1526" i="138" s="1"/>
  <c r="N3514" i="138"/>
  <c r="N451" i="138"/>
  <c r="M451" i="138"/>
  <c r="N3519" i="138"/>
  <c r="O3519" i="138" s="1"/>
  <c r="N3508" i="138"/>
  <c r="N3587" i="138"/>
  <c r="N3534" i="138"/>
  <c r="N3537" i="138"/>
  <c r="N3523" i="138"/>
  <c r="N728" i="138"/>
  <c r="M728" i="138"/>
  <c r="N847" i="138"/>
  <c r="M847" i="138"/>
  <c r="N3565" i="138"/>
  <c r="N730" i="138"/>
  <c r="M730" i="138"/>
  <c r="N3520" i="138"/>
  <c r="N1494" i="138"/>
  <c r="M1494" i="138"/>
  <c r="O1494" i="138" s="1"/>
  <c r="N3470" i="138"/>
  <c r="N692" i="138"/>
  <c r="M692" i="138"/>
  <c r="N515" i="138"/>
  <c r="M515" i="138"/>
  <c r="O515" i="138" s="1"/>
  <c r="N3494" i="138"/>
  <c r="N3488" i="138"/>
  <c r="N3458" i="138"/>
  <c r="N3498" i="138"/>
  <c r="N3423" i="138"/>
  <c r="O3423" i="138" s="1"/>
  <c r="N1489" i="138"/>
  <c r="M1489" i="138"/>
  <c r="N3490" i="138"/>
  <c r="N3434" i="138"/>
  <c r="N3356" i="138"/>
  <c r="N3331" i="138"/>
  <c r="N72" i="138"/>
  <c r="M72" i="138"/>
  <c r="N198" i="138"/>
  <c r="M198" i="138"/>
  <c r="N1438" i="138"/>
  <c r="O1438" i="138" s="1"/>
  <c r="M1438" i="138"/>
  <c r="N3337" i="138"/>
  <c r="N721" i="138"/>
  <c r="M721" i="138"/>
  <c r="N880" i="138"/>
  <c r="M880" i="138"/>
  <c r="O880" i="138" s="1"/>
  <c r="N1430" i="138"/>
  <c r="M1430" i="138"/>
  <c r="N3368" i="138"/>
  <c r="N3404" i="138"/>
  <c r="N1441" i="138"/>
  <c r="M1441" i="138"/>
  <c r="N3378" i="138"/>
  <c r="N3329" i="138"/>
  <c r="N3276" i="138"/>
  <c r="N4025" i="138"/>
  <c r="N3302" i="138"/>
  <c r="N1417" i="138"/>
  <c r="O1417" i="138" s="1"/>
  <c r="M1417" i="138"/>
  <c r="N3317" i="138"/>
  <c r="N4081" i="138"/>
  <c r="N3235" i="138"/>
  <c r="O3235" i="138" s="1"/>
  <c r="N593" i="138"/>
  <c r="M593" i="138"/>
  <c r="N844" i="138"/>
  <c r="M844" i="138"/>
  <c r="N3996" i="138"/>
  <c r="N3287" i="138"/>
  <c r="O3287" i="138" s="1"/>
  <c r="N1410" i="138"/>
  <c r="M1410" i="138"/>
  <c r="N430" i="138"/>
  <c r="M430" i="138"/>
  <c r="N1763" i="138"/>
  <c r="M1763" i="138"/>
  <c r="N1415" i="138"/>
  <c r="M1415" i="138"/>
  <c r="N4023" i="138"/>
  <c r="O4023" i="138" s="1"/>
  <c r="N3206" i="138"/>
  <c r="N3159" i="138"/>
  <c r="O3159" i="138" s="1"/>
  <c r="N3173" i="138"/>
  <c r="N1361" i="138"/>
  <c r="M1361" i="138"/>
  <c r="N3146" i="138"/>
  <c r="N3155" i="138"/>
  <c r="O3155" i="138" s="1"/>
  <c r="N1342" i="138"/>
  <c r="M1342" i="138"/>
  <c r="N3135" i="138"/>
  <c r="O3135" i="138" s="1"/>
  <c r="N3148" i="138"/>
  <c r="N1369" i="138"/>
  <c r="M1369" i="138"/>
  <c r="O1369" i="138" s="1"/>
  <c r="N608" i="138"/>
  <c r="M608" i="138"/>
  <c r="N1344" i="138"/>
  <c r="M1344" i="138"/>
  <c r="N1359" i="138"/>
  <c r="M1359" i="138"/>
  <c r="N447" i="138"/>
  <c r="M447" i="138"/>
  <c r="N506" i="138"/>
  <c r="O506" i="138" s="1"/>
  <c r="M506" i="138"/>
  <c r="N3047" i="138"/>
  <c r="O3047" i="138" s="1"/>
  <c r="N3113" i="138"/>
  <c r="N3039" i="138"/>
  <c r="O3039" i="138" s="1"/>
  <c r="N1334" i="138"/>
  <c r="M1334" i="138"/>
  <c r="N3123" i="138"/>
  <c r="O3123" i="138" s="1"/>
  <c r="N1839" i="138"/>
  <c r="M1839" i="138"/>
  <c r="N3920" i="138"/>
  <c r="N1665" i="138"/>
  <c r="M1665" i="138"/>
  <c r="N3925" i="138"/>
  <c r="N4039" i="138"/>
  <c r="O4039" i="138" s="1"/>
  <c r="N3903" i="138"/>
  <c r="O3903" i="138" s="1"/>
  <c r="N1669" i="138"/>
  <c r="M1669" i="138"/>
  <c r="N3863" i="138"/>
  <c r="O3863" i="138" s="1"/>
  <c r="N1683" i="138"/>
  <c r="M1683" i="138"/>
  <c r="N1678" i="138"/>
  <c r="M1678" i="138"/>
  <c r="N1664" i="138"/>
  <c r="M1664" i="138"/>
  <c r="N3884" i="138"/>
  <c r="N3896" i="138"/>
  <c r="N3916" i="138"/>
  <c r="N3869" i="138"/>
  <c r="N352" i="138"/>
  <c r="M352" i="138"/>
  <c r="O352" i="138" s="1"/>
  <c r="N1676" i="138"/>
  <c r="M1676" i="138"/>
  <c r="N804" i="138"/>
  <c r="M804" i="138"/>
  <c r="N1619" i="138"/>
  <c r="M1619" i="138"/>
  <c r="N3776" i="138"/>
  <c r="N599" i="138"/>
  <c r="M599" i="138"/>
  <c r="N351" i="138"/>
  <c r="M351" i="138"/>
  <c r="O351" i="138" s="1"/>
  <c r="N3799" i="138"/>
  <c r="O3799" i="138" s="1"/>
  <c r="N1648" i="138"/>
  <c r="M1648" i="138"/>
  <c r="N3778" i="138"/>
  <c r="N1635" i="138"/>
  <c r="M1635" i="138"/>
  <c r="N3780" i="138"/>
  <c r="N3845" i="138"/>
  <c r="N1628" i="138"/>
  <c r="M1628" i="138"/>
  <c r="N3804" i="138"/>
  <c r="N1616" i="138"/>
  <c r="M1616" i="138"/>
  <c r="O1616" i="138" s="1"/>
  <c r="N3781" i="138"/>
  <c r="N3771" i="138"/>
  <c r="O3771" i="138" s="1"/>
  <c r="N867" i="138"/>
  <c r="M867" i="138"/>
  <c r="N3797" i="138"/>
  <c r="N756" i="138"/>
  <c r="M756" i="138"/>
  <c r="N247" i="138"/>
  <c r="M247" i="138"/>
  <c r="N736" i="138"/>
  <c r="M736" i="138"/>
  <c r="O736" i="138" s="1"/>
  <c r="N3809" i="138"/>
  <c r="N3859" i="138"/>
  <c r="N265" i="138"/>
  <c r="M265" i="138"/>
  <c r="N3767" i="138"/>
  <c r="N3731" i="138"/>
  <c r="O3731" i="138" s="1"/>
  <c r="N3766" i="138"/>
  <c r="N3752" i="138"/>
  <c r="N1604" i="138"/>
  <c r="M1604" i="138"/>
  <c r="N3750" i="138"/>
  <c r="N3698" i="138"/>
  <c r="N3689" i="138"/>
  <c r="N3700" i="138"/>
  <c r="N4116" i="138"/>
  <c r="N3704" i="138"/>
  <c r="N3695" i="138"/>
  <c r="N379" i="138"/>
  <c r="M379" i="138"/>
  <c r="N3710" i="138"/>
  <c r="N3748" i="138"/>
  <c r="N520" i="138"/>
  <c r="M520" i="138"/>
  <c r="N3723" i="138"/>
  <c r="O3723" i="138" s="1"/>
  <c r="N542" i="138"/>
  <c r="M542" i="138"/>
  <c r="N4063" i="138"/>
  <c r="N701" i="138"/>
  <c r="M701" i="138"/>
  <c r="N3692" i="138"/>
  <c r="N3980" i="138"/>
  <c r="N3657" i="138"/>
  <c r="N1540" i="138"/>
  <c r="M1540" i="138"/>
  <c r="N802" i="138"/>
  <c r="M802" i="138"/>
  <c r="O802" i="138" s="1"/>
  <c r="N3661" i="138"/>
  <c r="N1537" i="138"/>
  <c r="M1537" i="138"/>
  <c r="N883" i="138"/>
  <c r="M883" i="138"/>
  <c r="N175" i="138"/>
  <c r="M175" i="138"/>
  <c r="N3619" i="138"/>
  <c r="N1556" i="138"/>
  <c r="M1556" i="138"/>
  <c r="N1719" i="138"/>
  <c r="M1719" i="138"/>
  <c r="O1719" i="138" s="1"/>
  <c r="N3636" i="138"/>
  <c r="N541" i="138"/>
  <c r="M541" i="138"/>
  <c r="N3648" i="138"/>
  <c r="N3652" i="138"/>
  <c r="N3644" i="138"/>
  <c r="N3630" i="138"/>
  <c r="N452" i="138"/>
  <c r="M452" i="138"/>
  <c r="N3646" i="138"/>
  <c r="N3628" i="138"/>
  <c r="N3607" i="138"/>
  <c r="N3626" i="138"/>
  <c r="N4000" i="138"/>
  <c r="N1530" i="138"/>
  <c r="M1530" i="138"/>
  <c r="N3573" i="138"/>
  <c r="N3560" i="138"/>
  <c r="N3585" i="138"/>
  <c r="N1524" i="138"/>
  <c r="M1524" i="138"/>
  <c r="N3578" i="138"/>
  <c r="N3535" i="138"/>
  <c r="O3535" i="138" s="1"/>
  <c r="N42" i="138"/>
  <c r="M42" i="138"/>
  <c r="N3554" i="138"/>
  <c r="N3572" i="138"/>
  <c r="N3548" i="138"/>
  <c r="N1517" i="138"/>
  <c r="O1517" i="138" s="1"/>
  <c r="M1517" i="138"/>
  <c r="N3569" i="138"/>
  <c r="N516" i="138"/>
  <c r="M516" i="138"/>
  <c r="N3979" i="138"/>
  <c r="O3979" i="138" s="1"/>
  <c r="N1533" i="138"/>
  <c r="M1533" i="138"/>
  <c r="O1533" i="138" s="1"/>
  <c r="N729" i="138"/>
  <c r="M729" i="138"/>
  <c r="N3546" i="138"/>
  <c r="N3510" i="138"/>
  <c r="N433" i="138"/>
  <c r="M433" i="138"/>
  <c r="N1516" i="138"/>
  <c r="M1516" i="138"/>
  <c r="N1514" i="138"/>
  <c r="M1514" i="138"/>
  <c r="N695" i="138"/>
  <c r="M695" i="138"/>
  <c r="N1458" i="138"/>
  <c r="M1458" i="138"/>
  <c r="N3461" i="138"/>
  <c r="N3442" i="138"/>
  <c r="N1476" i="138"/>
  <c r="M1476" i="138"/>
  <c r="N3431" i="138"/>
  <c r="O3431" i="138" s="1"/>
  <c r="N3460" i="138"/>
  <c r="N724" i="138"/>
  <c r="M724" i="138"/>
  <c r="N514" i="138"/>
  <c r="M514" i="138"/>
  <c r="N3456" i="138"/>
  <c r="N3500" i="138"/>
  <c r="N3452" i="138"/>
  <c r="N1461" i="138"/>
  <c r="M1461" i="138"/>
  <c r="O1461" i="138" s="1"/>
  <c r="N3447" i="138"/>
  <c r="O3447" i="138" s="1"/>
  <c r="N472" i="138"/>
  <c r="M472" i="138"/>
  <c r="N3413" i="138"/>
  <c r="N1465" i="138"/>
  <c r="O1465" i="138" s="1"/>
  <c r="M1465" i="138"/>
  <c r="N4086" i="138"/>
  <c r="N1470" i="138"/>
  <c r="M1470" i="138"/>
  <c r="N3501" i="138"/>
  <c r="N1473" i="138"/>
  <c r="M1473" i="138"/>
  <c r="O1473" i="138" s="1"/>
  <c r="N3451" i="138"/>
  <c r="O3451" i="138" s="1"/>
  <c r="N3483" i="138"/>
  <c r="O3483" i="138" s="1"/>
  <c r="N3444" i="138"/>
  <c r="N199" i="138"/>
  <c r="M199" i="138"/>
  <c r="N3359" i="138"/>
  <c r="O3359" i="138" s="1"/>
  <c r="N1698" i="138"/>
  <c r="M1698" i="138"/>
  <c r="N39" i="138"/>
  <c r="M39" i="138"/>
  <c r="O39" i="138" s="1"/>
  <c r="N164" i="138"/>
  <c r="M164" i="138"/>
  <c r="N284" i="138"/>
  <c r="M284" i="138"/>
  <c r="N3372" i="138"/>
  <c r="N1452" i="138"/>
  <c r="M1452" i="138"/>
  <c r="N3321" i="138"/>
  <c r="N3394" i="138"/>
  <c r="O3363" i="138"/>
  <c r="N3363" i="138"/>
  <c r="N3402" i="138"/>
  <c r="N1423" i="138"/>
  <c r="M1423" i="138"/>
  <c r="O1423" i="138" s="1"/>
  <c r="N3350" i="138"/>
  <c r="N3343" i="138"/>
  <c r="O3343" i="138" s="1"/>
  <c r="N3351" i="138"/>
  <c r="O3351" i="138" s="1"/>
  <c r="N3347" i="138"/>
  <c r="O3347" i="138" s="1"/>
  <c r="N3997" i="138"/>
  <c r="N3353" i="138"/>
  <c r="N3388" i="138"/>
  <c r="N3408" i="138"/>
  <c r="N3379" i="138"/>
  <c r="O3379" i="138" s="1"/>
  <c r="N346" i="138"/>
  <c r="M346" i="138"/>
  <c r="O346" i="138" s="1"/>
  <c r="N3344" i="138"/>
  <c r="N1448" i="138"/>
  <c r="M1448" i="138"/>
  <c r="N716" i="138"/>
  <c r="M716" i="138"/>
  <c r="N3265" i="138"/>
  <c r="N3308" i="138"/>
  <c r="N1413" i="138"/>
  <c r="M1413" i="138"/>
  <c r="N750" i="138"/>
  <c r="M750" i="138"/>
  <c r="N712" i="138"/>
  <c r="M712" i="138"/>
  <c r="N1406" i="138"/>
  <c r="M1406" i="138"/>
  <c r="N3224" i="138"/>
  <c r="N3289" i="138"/>
  <c r="N511" i="138"/>
  <c r="M511" i="138"/>
  <c r="N228" i="138"/>
  <c r="M228" i="138"/>
  <c r="N70" i="138"/>
  <c r="M70" i="138"/>
  <c r="N1393" i="138"/>
  <c r="M1393" i="138"/>
  <c r="N345" i="138"/>
  <c r="M345" i="138"/>
  <c r="N681" i="138"/>
  <c r="M681" i="138"/>
  <c r="N3283" i="138"/>
  <c r="O3283" i="138" s="1"/>
  <c r="N3976" i="138"/>
  <c r="N3307" i="138"/>
  <c r="O3307" i="138" s="1"/>
  <c r="N1408" i="138"/>
  <c r="M1408" i="138"/>
  <c r="O1408" i="138" s="1"/>
  <c r="N3278" i="138"/>
  <c r="N3296" i="138"/>
  <c r="N3239" i="138"/>
  <c r="O3239" i="138" s="1"/>
  <c r="N1412" i="138"/>
  <c r="M1412" i="138"/>
  <c r="N260" i="138"/>
  <c r="M260" i="138"/>
  <c r="O260" i="138" s="1"/>
  <c r="N3237" i="138"/>
  <c r="N3266" i="138"/>
  <c r="N3262" i="138"/>
  <c r="N448" i="138"/>
  <c r="M448" i="138"/>
  <c r="O448" i="138" s="1"/>
  <c r="N35" i="138"/>
  <c r="M35" i="138"/>
  <c r="N778" i="138"/>
  <c r="M778" i="138"/>
  <c r="N3187" i="138"/>
  <c r="O3187" i="138" s="1"/>
  <c r="N1735" i="138"/>
  <c r="M1735" i="138"/>
  <c r="O1735" i="138" s="1"/>
  <c r="N1345" i="138"/>
  <c r="M1345" i="138"/>
  <c r="N313" i="138"/>
  <c r="M313" i="138"/>
  <c r="N1355" i="138"/>
  <c r="M1355" i="138"/>
  <c r="N3182" i="138"/>
  <c r="N3132" i="138"/>
  <c r="N3168" i="138"/>
  <c r="N3177" i="138"/>
  <c r="N1356" i="138"/>
  <c r="M1356" i="138"/>
  <c r="O1356" i="138" s="1"/>
  <c r="N3199" i="138"/>
  <c r="O3199" i="138" s="1"/>
  <c r="N1354" i="138"/>
  <c r="M1354" i="138"/>
  <c r="O1354" i="138" s="1"/>
  <c r="N675" i="138"/>
  <c r="M675" i="138"/>
  <c r="O675" i="138" s="1"/>
  <c r="N3201" i="138"/>
  <c r="N509" i="138"/>
  <c r="M509" i="138"/>
  <c r="N1366" i="138"/>
  <c r="M1366" i="138"/>
  <c r="O1366" i="138" s="1"/>
  <c r="N3129" i="138"/>
  <c r="N3156" i="138"/>
  <c r="N3162" i="138"/>
  <c r="N1371" i="138"/>
  <c r="M1371" i="138"/>
  <c r="O1371" i="138" s="1"/>
  <c r="N344" i="138"/>
  <c r="M344" i="138"/>
  <c r="O344" i="138" s="1"/>
  <c r="N3213" i="138"/>
  <c r="N1376" i="138"/>
  <c r="M1376" i="138"/>
  <c r="N4050" i="138"/>
  <c r="N3065" i="138"/>
  <c r="N312" i="138"/>
  <c r="M312" i="138"/>
  <c r="O312" i="138" s="1"/>
  <c r="N1319" i="138"/>
  <c r="M1319" i="138"/>
  <c r="N3098" i="138"/>
  <c r="N3049" i="138"/>
  <c r="N3086" i="138"/>
  <c r="N3067" i="138"/>
  <c r="O3067" i="138" s="1"/>
  <c r="N3066" i="138"/>
  <c r="N3077" i="138"/>
  <c r="N766" i="138"/>
  <c r="M766" i="138"/>
  <c r="N291" i="138"/>
  <c r="M291" i="138"/>
  <c r="N295" i="138"/>
  <c r="M295" i="138"/>
  <c r="N1868" i="138"/>
  <c r="M1868" i="138"/>
  <c r="N3890" i="138"/>
  <c r="N3895" i="138"/>
  <c r="O3895" i="138" s="1"/>
  <c r="N1680" i="138"/>
  <c r="M1680" i="138"/>
  <c r="N3983" i="138"/>
  <c r="O3983" i="138" s="1"/>
  <c r="N1663" i="138"/>
  <c r="M1663" i="138"/>
  <c r="N3924" i="138"/>
  <c r="N3888" i="138"/>
  <c r="N4059" i="138"/>
  <c r="O4059" i="138" s="1"/>
  <c r="N4038" i="138"/>
  <c r="N4060" i="138"/>
  <c r="N524" i="138"/>
  <c r="M524" i="138"/>
  <c r="N3878" i="138"/>
  <c r="N1722" i="138"/>
  <c r="M1722" i="138"/>
  <c r="N1670" i="138"/>
  <c r="M1670" i="138"/>
  <c r="O1670" i="138" s="1"/>
  <c r="N1704" i="138"/>
  <c r="M1704" i="138"/>
  <c r="N3901" i="138"/>
  <c r="N1674" i="138"/>
  <c r="M1674" i="138"/>
  <c r="O1674" i="138" s="1"/>
  <c r="N3877" i="138"/>
  <c r="N3928" i="138"/>
  <c r="N3906" i="138"/>
  <c r="N3894" i="138"/>
  <c r="N1682" i="138"/>
  <c r="M1682" i="138"/>
  <c r="N4003" i="138"/>
  <c r="O4003" i="138" s="1"/>
  <c r="N3883" i="138"/>
  <c r="N4058" i="138"/>
  <c r="N3899" i="138"/>
  <c r="O3899" i="138" s="1"/>
  <c r="N3893" i="138"/>
  <c r="N3909" i="138"/>
  <c r="N1662" i="138"/>
  <c r="M1662" i="138"/>
  <c r="N3872" i="138"/>
  <c r="N3908" i="138"/>
  <c r="N1675" i="138"/>
  <c r="M1675" i="138"/>
  <c r="N3851" i="138"/>
  <c r="N1642" i="138"/>
  <c r="M1642" i="138"/>
  <c r="N3790" i="138"/>
  <c r="N4117" i="138"/>
  <c r="N3807" i="138"/>
  <c r="O3807" i="138" s="1"/>
  <c r="N3843" i="138"/>
  <c r="O3843" i="138" s="1"/>
  <c r="N412" i="138"/>
  <c r="M412" i="138"/>
  <c r="N63" i="138"/>
  <c r="M63" i="138"/>
  <c r="O63" i="138" s="1"/>
  <c r="N4061" i="138"/>
  <c r="N62" i="138"/>
  <c r="M62" i="138"/>
  <c r="O62" i="138" s="1"/>
  <c r="N1632" i="138"/>
  <c r="M1632" i="138"/>
  <c r="O1632" i="138" s="1"/>
  <c r="N3840" i="138"/>
  <c r="N3860" i="138"/>
  <c r="N1636" i="138"/>
  <c r="M1636" i="138"/>
  <c r="N3772" i="138"/>
  <c r="N3798" i="138"/>
  <c r="N3774" i="138"/>
  <c r="N3820" i="138"/>
  <c r="N3829" i="138"/>
  <c r="N3836" i="138"/>
  <c r="N380" i="138"/>
  <c r="M380" i="138"/>
  <c r="O380" i="138" s="1"/>
  <c r="N3839" i="138"/>
  <c r="N3835" i="138"/>
  <c r="O3835" i="138" s="1"/>
  <c r="N1618" i="138"/>
  <c r="M1618" i="138"/>
  <c r="N3777" i="138"/>
  <c r="N3815" i="138"/>
  <c r="O3815" i="138" s="1"/>
  <c r="N3788" i="138"/>
  <c r="N3814" i="138"/>
  <c r="N1742" i="138"/>
  <c r="M1742" i="138"/>
  <c r="N3831" i="138"/>
  <c r="O3831" i="138" s="1"/>
  <c r="N3782" i="138"/>
  <c r="N3847" i="138"/>
  <c r="O3847" i="138" s="1"/>
  <c r="N711" i="138"/>
  <c r="M711" i="138"/>
  <c r="N1650" i="138"/>
  <c r="M1650" i="138"/>
  <c r="N1631" i="138"/>
  <c r="M1631" i="138"/>
  <c r="N1637" i="138"/>
  <c r="M1637" i="138"/>
  <c r="N825" i="138"/>
  <c r="M825" i="138"/>
  <c r="N3852" i="138"/>
  <c r="N3844" i="138"/>
  <c r="N491" i="138"/>
  <c r="M491" i="138"/>
  <c r="N522" i="138"/>
  <c r="M522" i="138"/>
  <c r="N3810" i="138"/>
  <c r="N704" i="138"/>
  <c r="M704" i="138"/>
  <c r="N3854" i="138"/>
  <c r="N705" i="138"/>
  <c r="M705" i="138"/>
  <c r="N3841" i="138"/>
  <c r="N3739" i="138"/>
  <c r="O3739" i="138" s="1"/>
  <c r="N46" i="138"/>
  <c r="M46" i="138"/>
  <c r="N1581" i="138"/>
  <c r="M1581" i="138"/>
  <c r="N3688" i="138"/>
  <c r="N3757" i="138"/>
  <c r="N3720" i="138"/>
  <c r="N1600" i="138"/>
  <c r="M1600" i="138"/>
  <c r="O1600" i="138" s="1"/>
  <c r="N3756" i="138"/>
  <c r="N3697" i="138"/>
  <c r="N803" i="138"/>
  <c r="M803" i="138"/>
  <c r="N3690" i="138"/>
  <c r="N3737" i="138"/>
  <c r="N3703" i="138"/>
  <c r="O3703" i="138" s="1"/>
  <c r="N3713" i="138"/>
  <c r="N3746" i="138"/>
  <c r="N3734" i="138"/>
  <c r="N3699" i="138"/>
  <c r="O3699" i="138" s="1"/>
  <c r="N3736" i="138"/>
  <c r="N3768" i="138"/>
  <c r="O1588" i="138"/>
  <c r="N1588" i="138"/>
  <c r="M1588" i="138"/>
  <c r="N3728" i="138"/>
  <c r="N3707" i="138"/>
  <c r="O3707" i="138" s="1"/>
  <c r="N4001" i="138"/>
  <c r="N3749" i="138"/>
  <c r="N3742" i="138"/>
  <c r="N3762" i="138"/>
  <c r="N3981" i="138"/>
  <c r="N1577" i="138"/>
  <c r="M1577" i="138"/>
  <c r="N3701" i="138"/>
  <c r="N3722" i="138"/>
  <c r="N1612" i="138"/>
  <c r="M1612" i="138"/>
  <c r="N3753" i="138"/>
  <c r="N3965" i="138"/>
  <c r="N573" i="138"/>
  <c r="M573" i="138"/>
  <c r="N614" i="138"/>
  <c r="M614" i="138"/>
  <c r="O614" i="138" s="1"/>
  <c r="N1613" i="138"/>
  <c r="M1613" i="138"/>
  <c r="N435" i="138"/>
  <c r="M435" i="138"/>
  <c r="N4035" i="138"/>
  <c r="O4035" i="138" s="1"/>
  <c r="N143" i="138"/>
  <c r="M143" i="138"/>
  <c r="N142" i="138"/>
  <c r="M142" i="138"/>
  <c r="N1582" i="138"/>
  <c r="M1582" i="138"/>
  <c r="N1605" i="138"/>
  <c r="M1605" i="138"/>
  <c r="O1605" i="138" s="1"/>
  <c r="N866" i="138"/>
  <c r="M866" i="138"/>
  <c r="O866" i="138" s="1"/>
  <c r="N1591" i="138"/>
  <c r="M1591" i="138"/>
  <c r="O1591" i="138" s="1"/>
  <c r="N3664" i="138"/>
  <c r="N3655" i="138"/>
  <c r="O3655" i="138" s="1"/>
  <c r="N3613" i="138"/>
  <c r="N3673" i="138"/>
  <c r="N3629" i="138"/>
  <c r="N3615" i="138"/>
  <c r="O3615" i="138" s="1"/>
  <c r="N3627" i="138"/>
  <c r="O3627" i="138" s="1"/>
  <c r="N3639" i="138"/>
  <c r="O3639" i="138" s="1"/>
  <c r="N3597" i="138"/>
  <c r="N1564" i="138"/>
  <c r="M1564" i="138"/>
  <c r="N378" i="138"/>
  <c r="M378" i="138"/>
  <c r="N1566" i="138"/>
  <c r="O1566" i="138" s="1"/>
  <c r="M1566" i="138"/>
  <c r="N4090" i="138"/>
  <c r="N3669" i="138"/>
  <c r="N264" i="138"/>
  <c r="M264" i="138"/>
  <c r="O264" i="138" s="1"/>
  <c r="N79" i="138"/>
  <c r="M79" i="138"/>
  <c r="O79" i="138" s="1"/>
  <c r="N3605" i="138"/>
  <c r="N3672" i="138"/>
  <c r="N1546" i="138"/>
  <c r="M1546" i="138"/>
  <c r="O1546" i="138" s="1"/>
  <c r="N4055" i="138"/>
  <c r="N3634" i="138"/>
  <c r="N3601" i="138"/>
  <c r="N1701" i="138"/>
  <c r="M1701" i="138"/>
  <c r="N3635" i="138"/>
  <c r="O3635" i="138" s="1"/>
  <c r="N3666" i="138"/>
  <c r="N734" i="138"/>
  <c r="O734" i="138" s="1"/>
  <c r="M734" i="138"/>
  <c r="N3676" i="138"/>
  <c r="N823" i="138"/>
  <c r="M823" i="138"/>
  <c r="N1573" i="138"/>
  <c r="O1573" i="138" s="1"/>
  <c r="M1573" i="138"/>
  <c r="N1562" i="138"/>
  <c r="M1562" i="138"/>
  <c r="N1548" i="138"/>
  <c r="M1548" i="138"/>
  <c r="N733" i="138"/>
  <c r="M733" i="138"/>
  <c r="N1553" i="138"/>
  <c r="M1553" i="138"/>
  <c r="N519" i="138"/>
  <c r="M519" i="138"/>
  <c r="N1568" i="138"/>
  <c r="M1568" i="138"/>
  <c r="N1740" i="138"/>
  <c r="M1740" i="138"/>
  <c r="N3651" i="138"/>
  <c r="O3651" i="138" s="1"/>
  <c r="N1544" i="138"/>
  <c r="M1544" i="138"/>
  <c r="N848" i="138"/>
  <c r="M848" i="138"/>
  <c r="N4115" i="138"/>
  <c r="N1554" i="138"/>
  <c r="M1554" i="138"/>
  <c r="N3662" i="138"/>
  <c r="N1558" i="138"/>
  <c r="M1558" i="138"/>
  <c r="N783" i="138"/>
  <c r="M783" i="138"/>
  <c r="N3531" i="138"/>
  <c r="O3531" i="138" s="1"/>
  <c r="N1509" i="138"/>
  <c r="M1509" i="138"/>
  <c r="N1739" i="138"/>
  <c r="M1739" i="138"/>
  <c r="N3561" i="138"/>
  <c r="N172" i="138"/>
  <c r="M172" i="138"/>
  <c r="N1525" i="138"/>
  <c r="M1525" i="138"/>
  <c r="N3947" i="138"/>
  <c r="O3947" i="138" s="1"/>
  <c r="N3574" i="138"/>
  <c r="N1508" i="138"/>
  <c r="M1508" i="138"/>
  <c r="N3518" i="138"/>
  <c r="N3564" i="138"/>
  <c r="N43" i="138"/>
  <c r="M43" i="138"/>
  <c r="N3513" i="138"/>
  <c r="N3540" i="138"/>
  <c r="N596" i="138"/>
  <c r="M596" i="138"/>
  <c r="N200" i="138"/>
  <c r="M200" i="138"/>
  <c r="N4088" i="138"/>
  <c r="N1519" i="138"/>
  <c r="M1519" i="138"/>
  <c r="N3539" i="138"/>
  <c r="O3539" i="138" s="1"/>
  <c r="N3581" i="138"/>
  <c r="N3542" i="138"/>
  <c r="N377" i="138"/>
  <c r="M377" i="138"/>
  <c r="N170" i="138"/>
  <c r="M170" i="138"/>
  <c r="N3584" i="138"/>
  <c r="N3571" i="138"/>
  <c r="O3571" i="138" s="1"/>
  <c r="N3586" i="138"/>
  <c r="N1520" i="138"/>
  <c r="M1520" i="138"/>
  <c r="N517" i="138"/>
  <c r="O517" i="138" s="1"/>
  <c r="M517" i="138"/>
  <c r="N1527" i="138"/>
  <c r="M1527" i="138"/>
  <c r="N1499" i="138"/>
  <c r="M1499" i="138"/>
  <c r="O1499" i="138" s="1"/>
  <c r="N3547" i="138"/>
  <c r="O3547" i="138" s="1"/>
  <c r="N3582" i="138"/>
  <c r="N3544" i="138"/>
  <c r="N3592" i="138"/>
  <c r="N1531" i="138"/>
  <c r="O1531" i="138" s="1"/>
  <c r="M1531" i="138"/>
  <c r="N1498" i="138"/>
  <c r="M1498" i="138"/>
  <c r="N3583" i="138"/>
  <c r="O3583" i="138" s="1"/>
  <c r="O3527" i="138"/>
  <c r="N3527" i="138"/>
  <c r="N4054" i="138"/>
  <c r="N3552" i="138"/>
  <c r="N3509" i="138"/>
  <c r="N727" i="138"/>
  <c r="M727" i="138"/>
  <c r="N1535" i="138"/>
  <c r="M1535" i="138"/>
  <c r="N3580" i="138"/>
  <c r="N753" i="138"/>
  <c r="M753" i="138"/>
  <c r="N3575" i="138"/>
  <c r="N1481" i="138"/>
  <c r="M1481" i="138"/>
  <c r="N3466" i="138"/>
  <c r="N1467" i="138"/>
  <c r="M1467" i="138"/>
  <c r="O1467" i="138" s="1"/>
  <c r="N3440" i="138"/>
  <c r="N1480" i="138"/>
  <c r="M1480" i="138"/>
  <c r="N3479" i="138"/>
  <c r="N1488" i="138"/>
  <c r="M1488" i="138"/>
  <c r="N3492" i="138"/>
  <c r="N450" i="138"/>
  <c r="M450" i="138"/>
  <c r="N3486" i="138"/>
  <c r="N3482" i="138"/>
  <c r="N3457" i="138"/>
  <c r="N881" i="138"/>
  <c r="M881" i="138"/>
  <c r="N3445" i="138"/>
  <c r="N236" i="138"/>
  <c r="M236" i="138"/>
  <c r="N556" i="138"/>
  <c r="M556" i="138"/>
  <c r="N3485" i="138"/>
  <c r="N331" i="138"/>
  <c r="M331" i="138"/>
  <c r="N821" i="138"/>
  <c r="M821" i="138"/>
  <c r="O821" i="138" s="1"/>
  <c r="N1460" i="138"/>
  <c r="M1460" i="138"/>
  <c r="N1462" i="138"/>
  <c r="M1462" i="138"/>
  <c r="O1462" i="138" s="1"/>
  <c r="N1475" i="138"/>
  <c r="M1475" i="138"/>
  <c r="N1497" i="138"/>
  <c r="M1497" i="138"/>
  <c r="N285" i="138"/>
  <c r="M285" i="138"/>
  <c r="N3468" i="138"/>
  <c r="N3496" i="138"/>
  <c r="N4029" i="138"/>
  <c r="N1472" i="138"/>
  <c r="M1472" i="138"/>
  <c r="N3491" i="138"/>
  <c r="O3491" i="138" s="1"/>
  <c r="N1459" i="138"/>
  <c r="M1459" i="138"/>
  <c r="N4085" i="138"/>
  <c r="N262" i="138"/>
  <c r="M262" i="138"/>
  <c r="N3477" i="138"/>
  <c r="N40" i="138"/>
  <c r="M40" i="138"/>
  <c r="O40" i="138" s="1"/>
  <c r="N3978" i="138"/>
  <c r="N1699" i="138"/>
  <c r="M1699" i="138"/>
  <c r="N3426" i="138"/>
  <c r="N1469" i="138"/>
  <c r="M1469" i="138"/>
  <c r="N3420" i="138"/>
  <c r="N3480" i="138"/>
  <c r="N1468" i="138"/>
  <c r="M1468" i="138"/>
  <c r="N1478" i="138"/>
  <c r="M1478" i="138"/>
  <c r="O1478" i="138" s="1"/>
  <c r="N4053" i="138"/>
  <c r="N376" i="138"/>
  <c r="M376" i="138"/>
  <c r="N3946" i="138"/>
  <c r="N3427" i="138"/>
  <c r="O3427" i="138" s="1"/>
  <c r="N3371" i="138"/>
  <c r="O3371" i="138" s="1"/>
  <c r="N751" i="138"/>
  <c r="M751" i="138"/>
  <c r="N1421" i="138"/>
  <c r="M1421" i="138"/>
  <c r="N687" i="138"/>
  <c r="M687" i="138"/>
  <c r="O687" i="138" s="1"/>
  <c r="N431" i="138"/>
  <c r="M431" i="138"/>
  <c r="O431" i="138" s="1"/>
  <c r="N3364" i="138"/>
  <c r="N690" i="138"/>
  <c r="M690" i="138"/>
  <c r="N165" i="138"/>
  <c r="M165" i="138"/>
  <c r="N4027" i="138"/>
  <c r="O4027" i="138" s="1"/>
  <c r="N1434" i="138"/>
  <c r="M1434" i="138"/>
  <c r="N73" i="138"/>
  <c r="M73" i="138"/>
  <c r="O73" i="138" s="1"/>
  <c r="N512" i="138"/>
  <c r="M512" i="138"/>
  <c r="N3324" i="138"/>
  <c r="N1764" i="138"/>
  <c r="M1764" i="138"/>
  <c r="N3355" i="138"/>
  <c r="O3355" i="138" s="1"/>
  <c r="N1444" i="138"/>
  <c r="M1444" i="138"/>
  <c r="N1442" i="138"/>
  <c r="M1442" i="138"/>
  <c r="N1453" i="138"/>
  <c r="M1453" i="138"/>
  <c r="N232" i="138"/>
  <c r="M232" i="138"/>
  <c r="N1456" i="138"/>
  <c r="M1456" i="138"/>
  <c r="O1456" i="138" s="1"/>
  <c r="N718" i="138"/>
  <c r="M718" i="138"/>
  <c r="N720" i="138"/>
  <c r="M720" i="138"/>
  <c r="N3383" i="138"/>
  <c r="N814" i="138"/>
  <c r="M814" i="138"/>
  <c r="N3335" i="138"/>
  <c r="O3335" i="138" s="1"/>
  <c r="N3370" i="138"/>
  <c r="N3380" i="138"/>
  <c r="N2920" i="138"/>
  <c r="N1422" i="138"/>
  <c r="M1422" i="138"/>
  <c r="N3342" i="138"/>
  <c r="N3369" i="138"/>
  <c r="N2916" i="138"/>
  <c r="N1420" i="138"/>
  <c r="M1420" i="138"/>
  <c r="N3366" i="138"/>
  <c r="N1429" i="138"/>
  <c r="M1429" i="138"/>
  <c r="N3373" i="138"/>
  <c r="N3392" i="138"/>
  <c r="N1716" i="138"/>
  <c r="M1716" i="138"/>
  <c r="N3382" i="138"/>
  <c r="N1419" i="138"/>
  <c r="M1419" i="138"/>
  <c r="N1437" i="138"/>
  <c r="M1437" i="138"/>
  <c r="N3376" i="138"/>
  <c r="N3336" i="138"/>
  <c r="N3377" i="138"/>
  <c r="N1424" i="138"/>
  <c r="M1424" i="138"/>
  <c r="N1440" i="138"/>
  <c r="M1440" i="138"/>
  <c r="N3348" i="138"/>
  <c r="N1445" i="138"/>
  <c r="M1445" i="138"/>
  <c r="N3400" i="138"/>
  <c r="N3272" i="138"/>
  <c r="N3313" i="138"/>
  <c r="N609" i="138"/>
  <c r="M609" i="138"/>
  <c r="N568" i="138"/>
  <c r="M568" i="138"/>
  <c r="N1389" i="138"/>
  <c r="O1389" i="138" s="1"/>
  <c r="M1389" i="138"/>
  <c r="N3234" i="138"/>
  <c r="N3301" i="138"/>
  <c r="N3245" i="138"/>
  <c r="N1382" i="138"/>
  <c r="M1382" i="138"/>
  <c r="N554" i="138"/>
  <c r="M554" i="138"/>
  <c r="N3316" i="138"/>
  <c r="N768" i="138"/>
  <c r="M768" i="138"/>
  <c r="N3255" i="138"/>
  <c r="O3255" i="138" s="1"/>
  <c r="N2881" i="138"/>
  <c r="O3275" i="138"/>
  <c r="N3275" i="138"/>
  <c r="N3288" i="138"/>
  <c r="N1383" i="138"/>
  <c r="O1383" i="138" s="1"/>
  <c r="M1383" i="138"/>
  <c r="N3227" i="138"/>
  <c r="O3227" i="138" s="1"/>
  <c r="N161" i="138"/>
  <c r="M161" i="138"/>
  <c r="N3284" i="138"/>
  <c r="N3230" i="138"/>
  <c r="N197" i="138"/>
  <c r="O197" i="138" s="1"/>
  <c r="M197" i="138"/>
  <c r="N4082" i="138"/>
  <c r="N71" i="138"/>
  <c r="M71" i="138"/>
  <c r="N158" i="138"/>
  <c r="M158" i="138"/>
  <c r="N3311" i="138"/>
  <c r="O3311" i="138" s="1"/>
  <c r="N3294" i="138"/>
  <c r="N3249" i="138"/>
  <c r="N1377" i="138"/>
  <c r="M1377" i="138"/>
  <c r="N3274" i="138"/>
  <c r="N3242" i="138"/>
  <c r="N3261" i="138"/>
  <c r="N3298" i="138"/>
  <c r="N3306" i="138"/>
  <c r="N1379" i="138"/>
  <c r="M1379" i="138"/>
  <c r="N374" i="138"/>
  <c r="M374" i="138"/>
  <c r="N1397" i="138"/>
  <c r="M1397" i="138"/>
  <c r="O1397" i="138" s="1"/>
  <c r="N1386" i="138"/>
  <c r="M1386" i="138"/>
  <c r="N3251" i="138"/>
  <c r="O3251" i="138" s="1"/>
  <c r="N3314" i="138"/>
  <c r="N813" i="138"/>
  <c r="M813" i="138"/>
  <c r="O813" i="138" s="1"/>
  <c r="N510" i="138"/>
  <c r="M510" i="138"/>
  <c r="N879" i="138"/>
  <c r="M879" i="138"/>
  <c r="O879" i="138" s="1"/>
  <c r="N715" i="138"/>
  <c r="M715" i="138"/>
  <c r="N1398" i="138"/>
  <c r="M1398" i="138"/>
  <c r="N3240" i="138"/>
  <c r="N1736" i="138"/>
  <c r="M1736" i="138"/>
  <c r="N1401" i="138"/>
  <c r="M1401" i="138"/>
  <c r="N3233" i="138"/>
  <c r="N1391" i="138"/>
  <c r="M1391" i="138"/>
  <c r="N157" i="138"/>
  <c r="M157" i="138"/>
  <c r="N466" i="138"/>
  <c r="M466" i="138"/>
  <c r="N69" i="138"/>
  <c r="M69" i="138"/>
  <c r="N3160" i="138"/>
  <c r="N3975" i="138"/>
  <c r="O3975" i="138" s="1"/>
  <c r="N3125" i="138"/>
  <c r="N3960" i="138"/>
  <c r="N3222" i="138"/>
  <c r="N3189" i="138"/>
  <c r="N1762" i="138"/>
  <c r="M1762" i="138"/>
  <c r="N878" i="138"/>
  <c r="M878" i="138"/>
  <c r="N373" i="138"/>
  <c r="M373" i="138"/>
  <c r="O373" i="138" s="1"/>
  <c r="N1357" i="138"/>
  <c r="M1357" i="138"/>
  <c r="N3164" i="138"/>
  <c r="N3140" i="138"/>
  <c r="N3205" i="138"/>
  <c r="N843" i="138"/>
  <c r="M843" i="138"/>
  <c r="N3995" i="138"/>
  <c r="O3995" i="138" s="1"/>
  <c r="N3200" i="138"/>
  <c r="N3191" i="138"/>
  <c r="N3150" i="138"/>
  <c r="N3158" i="138"/>
  <c r="N3176" i="138"/>
  <c r="N3223" i="138"/>
  <c r="O3223" i="138" s="1"/>
  <c r="N3128" i="138"/>
  <c r="N3184" i="138"/>
  <c r="N1364" i="138"/>
  <c r="M1364" i="138"/>
  <c r="O1364" i="138" s="1"/>
  <c r="N226" i="138"/>
  <c r="M226" i="138"/>
  <c r="N3153" i="138"/>
  <c r="N328" i="138"/>
  <c r="M328" i="138"/>
  <c r="N3130" i="138"/>
  <c r="N553" i="138"/>
  <c r="M553" i="138"/>
  <c r="N1373" i="138"/>
  <c r="M1373" i="138"/>
  <c r="N567" i="138"/>
  <c r="M567" i="138"/>
  <c r="O567" i="138" s="1"/>
  <c r="N1375" i="138"/>
  <c r="M1375" i="138"/>
  <c r="O1375" i="138" s="1"/>
  <c r="N3183" i="138"/>
  <c r="O3183" i="138" s="1"/>
  <c r="N1363" i="138"/>
  <c r="M1363" i="138"/>
  <c r="N1368" i="138"/>
  <c r="O1368" i="138" s="1"/>
  <c r="M1368" i="138"/>
  <c r="N3194" i="138"/>
  <c r="N1350" i="138"/>
  <c r="M1350" i="138"/>
  <c r="N1374" i="138"/>
  <c r="M1374" i="138"/>
  <c r="N3138" i="138"/>
  <c r="N1362" i="138"/>
  <c r="M1362" i="138"/>
  <c r="N1696" i="138"/>
  <c r="M1696" i="138"/>
  <c r="N3207" i="138"/>
  <c r="O3207" i="138" s="1"/>
  <c r="N3204" i="138"/>
  <c r="N429" i="138"/>
  <c r="M429" i="138"/>
  <c r="N3178" i="138"/>
  <c r="N332" i="138"/>
  <c r="M332" i="138"/>
  <c r="N3103" i="138"/>
  <c r="O3103" i="138" s="1"/>
  <c r="N535" i="138"/>
  <c r="M535" i="138"/>
  <c r="N552" i="138"/>
  <c r="M552" i="138"/>
  <c r="N3029" i="138"/>
  <c r="N3034" i="138"/>
  <c r="N673" i="138"/>
  <c r="M673" i="138"/>
  <c r="N3097" i="138"/>
  <c r="N3027" i="138"/>
  <c r="O3027" i="138" s="1"/>
  <c r="N3120" i="138"/>
  <c r="O1327" i="138"/>
  <c r="N1327" i="138"/>
  <c r="M1327" i="138"/>
  <c r="N3064" i="138"/>
  <c r="N3117" i="138"/>
  <c r="N3096" i="138"/>
  <c r="N3116" i="138"/>
  <c r="N3054" i="138"/>
  <c r="N3071" i="138"/>
  <c r="O3071" i="138" s="1"/>
  <c r="N222" i="138"/>
  <c r="M222" i="138"/>
  <c r="N409" i="138"/>
  <c r="M409" i="138"/>
  <c r="N3057" i="138"/>
  <c r="N1340" i="138"/>
  <c r="M1340" i="138"/>
  <c r="N292" i="138"/>
  <c r="M292" i="138"/>
  <c r="N296" i="138"/>
  <c r="M296" i="138"/>
  <c r="M4110" i="138"/>
  <c r="O4110" i="138" s="1"/>
  <c r="M4090" i="138"/>
  <c r="O4090" i="138" s="1"/>
  <c r="M4086" i="138"/>
  <c r="M4082" i="138"/>
  <c r="O4082" i="138" s="1"/>
  <c r="M4058" i="138"/>
  <c r="M4054" i="138"/>
  <c r="M4050" i="138"/>
  <c r="O4050" i="138" s="1"/>
  <c r="M4038" i="138"/>
  <c r="M4034" i="138"/>
  <c r="M4030" i="138"/>
  <c r="O4030" i="138" s="1"/>
  <c r="M4002" i="138"/>
  <c r="M3982" i="138"/>
  <c r="O3982" i="138" s="1"/>
  <c r="M3978" i="138"/>
  <c r="M3946" i="138"/>
  <c r="O3946" i="138" s="1"/>
  <c r="M3918" i="138"/>
  <c r="O3918" i="138" s="1"/>
  <c r="M3914" i="138"/>
  <c r="O3914" i="138" s="1"/>
  <c r="M3906" i="138"/>
  <c r="O3906" i="138" s="1"/>
  <c r="M3902" i="138"/>
  <c r="O3902" i="138" s="1"/>
  <c r="M3894" i="138"/>
  <c r="M3890" i="138"/>
  <c r="O3890" i="138" s="1"/>
  <c r="M3886" i="138"/>
  <c r="O3886" i="138" s="1"/>
  <c r="M3878" i="138"/>
  <c r="M3870" i="138"/>
  <c r="M3858" i="138"/>
  <c r="O3858" i="138" s="1"/>
  <c r="M3854" i="138"/>
  <c r="M3834" i="138"/>
  <c r="O3834" i="138" s="1"/>
  <c r="M3830" i="138"/>
  <c r="M3822" i="138"/>
  <c r="O3822" i="138" s="1"/>
  <c r="M3818" i="138"/>
  <c r="O3818" i="138" s="1"/>
  <c r="M3814" i="138"/>
  <c r="O3814" i="138" s="1"/>
  <c r="M3810" i="138"/>
  <c r="O3810" i="138" s="1"/>
  <c r="M3802" i="138"/>
  <c r="M3798" i="138"/>
  <c r="O3798" i="138" s="1"/>
  <c r="M3790" i="138"/>
  <c r="M3782" i="138"/>
  <c r="M3778" i="138"/>
  <c r="M3774" i="138"/>
  <c r="M3770" i="138"/>
  <c r="O3770" i="138" s="1"/>
  <c r="M3766" i="138"/>
  <c r="M3762" i="138"/>
  <c r="O3762" i="138" s="1"/>
  <c r="M3750" i="138"/>
  <c r="O3750" i="138" s="1"/>
  <c r="M3746" i="138"/>
  <c r="M3742" i="138"/>
  <c r="O3742" i="138" s="1"/>
  <c r="M3734" i="138"/>
  <c r="O3734" i="138" s="1"/>
  <c r="M3730" i="138"/>
  <c r="O3730" i="138" s="1"/>
  <c r="M3726" i="138"/>
  <c r="O3726" i="138" s="1"/>
  <c r="M3722" i="138"/>
  <c r="O3722" i="138" s="1"/>
  <c r="M3714" i="138"/>
  <c r="M3710" i="138"/>
  <c r="O3710" i="138" s="1"/>
  <c r="M3706" i="138"/>
  <c r="O3706" i="138" s="1"/>
  <c r="M3698" i="138"/>
  <c r="M3694" i="138"/>
  <c r="O3694" i="138" s="1"/>
  <c r="M3690" i="138"/>
  <c r="M3682" i="138"/>
  <c r="M3678" i="138"/>
  <c r="M3674" i="138"/>
  <c r="M3670" i="138"/>
  <c r="O3670" i="138" s="1"/>
  <c r="M3666" i="138"/>
  <c r="M3662" i="138"/>
  <c r="O3662" i="138" s="1"/>
  <c r="M3658" i="138"/>
  <c r="O3658" i="138" s="1"/>
  <c r="M3646" i="138"/>
  <c r="O3646" i="138" s="1"/>
  <c r="M3634" i="138"/>
  <c r="O3634" i="138" s="1"/>
  <c r="M3630" i="138"/>
  <c r="O3630" i="138" s="1"/>
  <c r="M3626" i="138"/>
  <c r="M3618" i="138"/>
  <c r="M3598" i="138"/>
  <c r="O3598" i="138" s="1"/>
  <c r="M3586" i="138"/>
  <c r="M3582" i="138"/>
  <c r="M3578" i="138"/>
  <c r="O3578" i="138" s="1"/>
  <c r="M3574" i="138"/>
  <c r="M3566" i="138"/>
  <c r="M3562" i="138"/>
  <c r="M3558" i="138"/>
  <c r="O3558" i="138" s="1"/>
  <c r="M3554" i="138"/>
  <c r="O3554" i="138" s="1"/>
  <c r="M3546" i="138"/>
  <c r="M3542" i="138"/>
  <c r="M3534" i="138"/>
  <c r="O3534" i="138" s="1"/>
  <c r="M3530" i="138"/>
  <c r="M3518" i="138"/>
  <c r="M3514" i="138"/>
  <c r="M3510" i="138"/>
  <c r="O3510" i="138" s="1"/>
  <c r="M3502" i="138"/>
  <c r="O3502" i="138" s="1"/>
  <c r="M3498" i="138"/>
  <c r="O3498" i="138" s="1"/>
  <c r="M3494" i="138"/>
  <c r="M3490" i="138"/>
  <c r="O3490" i="138" s="1"/>
  <c r="M3486" i="138"/>
  <c r="O3486" i="138" s="1"/>
  <c r="M3482" i="138"/>
  <c r="O3482" i="138" s="1"/>
  <c r="M3470" i="138"/>
  <c r="O3470" i="138" s="1"/>
  <c r="M3466" i="138"/>
  <c r="M3462" i="138"/>
  <c r="O3462" i="138" s="1"/>
  <c r="M3458" i="138"/>
  <c r="M3442" i="138"/>
  <c r="O3442" i="138" s="1"/>
  <c r="M3434" i="138"/>
  <c r="O3434" i="138" s="1"/>
  <c r="M3426" i="138"/>
  <c r="M3422" i="138"/>
  <c r="O3422" i="138" s="1"/>
  <c r="M3418" i="138"/>
  <c r="O3418" i="138" s="1"/>
  <c r="M3414" i="138"/>
  <c r="O3414" i="138" s="1"/>
  <c r="M3402" i="138"/>
  <c r="O3402" i="138" s="1"/>
  <c r="M3394" i="138"/>
  <c r="O3394" i="138" s="1"/>
  <c r="M3386" i="138"/>
  <c r="M3382" i="138"/>
  <c r="O3382" i="138" s="1"/>
  <c r="M3378" i="138"/>
  <c r="O3378" i="138" s="1"/>
  <c r="M3370" i="138"/>
  <c r="M3366" i="138"/>
  <c r="M3362" i="138"/>
  <c r="O3362" i="138" s="1"/>
  <c r="M3354" i="138"/>
  <c r="M3350" i="138"/>
  <c r="O3350" i="138" s="1"/>
  <c r="M3342" i="138"/>
  <c r="M3334" i="138"/>
  <c r="M3318" i="138"/>
  <c r="O3318" i="138" s="1"/>
  <c r="M3314" i="138"/>
  <c r="O3314" i="138" s="1"/>
  <c r="M3310" i="138"/>
  <c r="O3310" i="138" s="1"/>
  <c r="M3306" i="138"/>
  <c r="O3306" i="138" s="1"/>
  <c r="M3302" i="138"/>
  <c r="O3302" i="138" s="1"/>
  <c r="M3298" i="138"/>
  <c r="M3294" i="138"/>
  <c r="M3278" i="138"/>
  <c r="M3274" i="138"/>
  <c r="M3266" i="138"/>
  <c r="M3262" i="138"/>
  <c r="M3258" i="138"/>
  <c r="O3258" i="138" s="1"/>
  <c r="M3242" i="138"/>
  <c r="M3238" i="138"/>
  <c r="O3238" i="138" s="1"/>
  <c r="M3234" i="138"/>
  <c r="O3234" i="138" s="1"/>
  <c r="M3230" i="138"/>
  <c r="M3226" i="138"/>
  <c r="O3226" i="138" s="1"/>
  <c r="M3222" i="138"/>
  <c r="M3218" i="138"/>
  <c r="M3214" i="138"/>
  <c r="O3214" i="138" s="1"/>
  <c r="M3206" i="138"/>
  <c r="O3206" i="138" s="1"/>
  <c r="M3194" i="138"/>
  <c r="M3190" i="138"/>
  <c r="O3190" i="138" s="1"/>
  <c r="M3186" i="138"/>
  <c r="O3186" i="138" s="1"/>
  <c r="M3182" i="138"/>
  <c r="O3182" i="138" s="1"/>
  <c r="M3178" i="138"/>
  <c r="M3174" i="138"/>
  <c r="M3162" i="138"/>
  <c r="O3162" i="138" s="1"/>
  <c r="M3158" i="138"/>
  <c r="M3150" i="138"/>
  <c r="M3146" i="138"/>
  <c r="M3138" i="138"/>
  <c r="M3130" i="138"/>
  <c r="M3122" i="138"/>
  <c r="M3098" i="138"/>
  <c r="M3086" i="138"/>
  <c r="O3086" i="138" s="1"/>
  <c r="M3066" i="138"/>
  <c r="O3066" i="138" s="1"/>
  <c r="M3054" i="138"/>
  <c r="M3042" i="138"/>
  <c r="O3042" i="138" s="1"/>
  <c r="M3034" i="138"/>
  <c r="N3929" i="138"/>
  <c r="N267" i="138"/>
  <c r="M267" i="138"/>
  <c r="N3862" i="138"/>
  <c r="O3862" i="138" s="1"/>
  <c r="N381" i="138"/>
  <c r="M381" i="138"/>
  <c r="N3910" i="138"/>
  <c r="N3905" i="138"/>
  <c r="N1660" i="138"/>
  <c r="M1660" i="138"/>
  <c r="N850" i="138"/>
  <c r="M850" i="138"/>
  <c r="N4062" i="138"/>
  <c r="O4062" i="138" s="1"/>
  <c r="N49" i="138"/>
  <c r="M49" i="138"/>
  <c r="N454" i="138"/>
  <c r="M454" i="138"/>
  <c r="N3806" i="138"/>
  <c r="O3806" i="138" s="1"/>
  <c r="N1630" i="138"/>
  <c r="M1630" i="138"/>
  <c r="N3796" i="138"/>
  <c r="N1625" i="138"/>
  <c r="M1625" i="138"/>
  <c r="N3792" i="138"/>
  <c r="N3800" i="138"/>
  <c r="N1639" i="138"/>
  <c r="M1639" i="138"/>
  <c r="N3808" i="138"/>
  <c r="N3719" i="138"/>
  <c r="N3715" i="138"/>
  <c r="O3715" i="138" s="1"/>
  <c r="N3725" i="138"/>
  <c r="N3687" i="138"/>
  <c r="O3687" i="138" s="1"/>
  <c r="N3758" i="138"/>
  <c r="O3758" i="138" s="1"/>
  <c r="N3727" i="138"/>
  <c r="O3727" i="138" s="1"/>
  <c r="N1610" i="138"/>
  <c r="O1610" i="138" s="1"/>
  <c r="M1610" i="138"/>
  <c r="N490" i="138"/>
  <c r="M490" i="138"/>
  <c r="N288" i="138"/>
  <c r="M288" i="138"/>
  <c r="N1607" i="138"/>
  <c r="M1607" i="138"/>
  <c r="N3608" i="138"/>
  <c r="N3638" i="138"/>
  <c r="O3638" i="138" s="1"/>
  <c r="N410" i="138"/>
  <c r="M410" i="138"/>
  <c r="N3631" i="138"/>
  <c r="O3631" i="138" s="1"/>
  <c r="N3663" i="138"/>
  <c r="O3663" i="138" s="1"/>
  <c r="N613" i="138"/>
  <c r="M613" i="138"/>
  <c r="N1557" i="138"/>
  <c r="M1557" i="138"/>
  <c r="N3654" i="138"/>
  <c r="O3654" i="138" s="1"/>
  <c r="N1547" i="138"/>
  <c r="M1547" i="138"/>
  <c r="N77" i="138"/>
  <c r="M77" i="138"/>
  <c r="N3517" i="138"/>
  <c r="N4087" i="138"/>
  <c r="N348" i="138"/>
  <c r="M348" i="138"/>
  <c r="N3536" i="138"/>
  <c r="N1503" i="138"/>
  <c r="M1503" i="138"/>
  <c r="N3570" i="138"/>
  <c r="O3570" i="138" s="1"/>
  <c r="N3543" i="138"/>
  <c r="O3543" i="138" s="1"/>
  <c r="N3591" i="138"/>
  <c r="O3591" i="138" s="1"/>
  <c r="N3415" i="138"/>
  <c r="O3415" i="138" s="1"/>
  <c r="O3474" i="138"/>
  <c r="N3474" i="138"/>
  <c r="N3464" i="138"/>
  <c r="N611" i="138"/>
  <c r="M611" i="138"/>
  <c r="N235" i="138"/>
  <c r="M235" i="138"/>
  <c r="N846" i="138"/>
  <c r="M846" i="138"/>
  <c r="N1486" i="138"/>
  <c r="M1486" i="138"/>
  <c r="N3428" i="138"/>
  <c r="N3481" i="138"/>
  <c r="N781" i="138"/>
  <c r="M781" i="138"/>
  <c r="N3365" i="138"/>
  <c r="N3384" i="138"/>
  <c r="N3325" i="138"/>
  <c r="N3390" i="138"/>
  <c r="O3390" i="138" s="1"/>
  <c r="N569" i="138"/>
  <c r="M569" i="138"/>
  <c r="N3398" i="138"/>
  <c r="O3398" i="138" s="1"/>
  <c r="N3352" i="138"/>
  <c r="N1443" i="138"/>
  <c r="M1443" i="138"/>
  <c r="N3395" i="138"/>
  <c r="O3395" i="138" s="1"/>
  <c r="N375" i="138"/>
  <c r="M375" i="138"/>
  <c r="N1431" i="138"/>
  <c r="M1431" i="138"/>
  <c r="N537" i="138"/>
  <c r="M537" i="138"/>
  <c r="N3271" i="138"/>
  <c r="O3271" i="138" s="1"/>
  <c r="N3319" i="138"/>
  <c r="O3319" i="138" s="1"/>
  <c r="N3225" i="138"/>
  <c r="N160" i="138"/>
  <c r="M160" i="138"/>
  <c r="N3304" i="138"/>
  <c r="O3286" i="138"/>
  <c r="N3286" i="138"/>
  <c r="N3244" i="138"/>
  <c r="N3241" i="138"/>
  <c r="N1388" i="138"/>
  <c r="M1388" i="138"/>
  <c r="N3309" i="138"/>
  <c r="N4022" i="138"/>
  <c r="O4022" i="138" s="1"/>
  <c r="N3147" i="138"/>
  <c r="O3147" i="138" s="1"/>
  <c r="N4080" i="138"/>
  <c r="N3192" i="138"/>
  <c r="N2911" i="138"/>
  <c r="O2911" i="138" s="1"/>
  <c r="N679" i="138"/>
  <c r="M679" i="138"/>
  <c r="N1367" i="138"/>
  <c r="M1367" i="138"/>
  <c r="N1360" i="138"/>
  <c r="M1360" i="138"/>
  <c r="N3154" i="138"/>
  <c r="O3154" i="138" s="1"/>
  <c r="N3197" i="138"/>
  <c r="N224" i="138"/>
  <c r="M224" i="138"/>
  <c r="N3114" i="138"/>
  <c r="O3114" i="138" s="1"/>
  <c r="N3038" i="138"/>
  <c r="O3038" i="138" s="1"/>
  <c r="N4049" i="138"/>
  <c r="N725" i="138"/>
  <c r="M725" i="138"/>
  <c r="N3084" i="138"/>
  <c r="N566" i="138"/>
  <c r="O566" i="138" s="1"/>
  <c r="M566" i="138"/>
  <c r="N507" i="138"/>
  <c r="M507" i="138"/>
  <c r="N274" i="138"/>
  <c r="M274" i="138"/>
  <c r="N294" i="138"/>
  <c r="M294" i="138"/>
  <c r="N4097" i="138"/>
  <c r="N1667" i="138"/>
  <c r="M1667" i="138"/>
  <c r="O1667" i="138" s="1"/>
  <c r="N3919" i="138"/>
  <c r="O3919" i="138" s="1"/>
  <c r="N1671" i="138"/>
  <c r="M1671" i="138"/>
  <c r="N805" i="138"/>
  <c r="M805" i="138"/>
  <c r="N4112" i="138"/>
  <c r="N3871" i="138"/>
  <c r="N3951" i="138"/>
  <c r="O3951" i="138" s="1"/>
  <c r="N60" i="138"/>
  <c r="M60" i="138"/>
  <c r="N193" i="138"/>
  <c r="M193" i="138"/>
  <c r="N413" i="138"/>
  <c r="M413" i="138"/>
  <c r="N61" i="138"/>
  <c r="M61" i="138"/>
  <c r="N3882" i="138"/>
  <c r="O3882" i="138" s="1"/>
  <c r="N3927" i="138"/>
  <c r="O3927" i="138" s="1"/>
  <c r="N851" i="138"/>
  <c r="M851" i="138"/>
  <c r="N1743" i="138"/>
  <c r="M1743" i="138"/>
  <c r="N3897" i="138"/>
  <c r="N1658" i="138"/>
  <c r="M1658" i="138"/>
  <c r="N3874" i="138"/>
  <c r="O3874" i="138" s="1"/>
  <c r="N1677" i="138"/>
  <c r="M1677" i="138"/>
  <c r="O1677" i="138" s="1"/>
  <c r="N3864" i="138"/>
  <c r="N3923" i="138"/>
  <c r="N1681" i="138"/>
  <c r="O1681" i="138" s="1"/>
  <c r="M1681" i="138"/>
  <c r="N3926" i="138"/>
  <c r="O3926" i="138" s="1"/>
  <c r="N1673" i="138"/>
  <c r="M1673" i="138"/>
  <c r="O1673" i="138" s="1"/>
  <c r="N3900" i="138"/>
  <c r="N3930" i="138"/>
  <c r="O3930" i="138" s="1"/>
  <c r="N3891" i="138"/>
  <c r="O3891" i="138" s="1"/>
  <c r="N437" i="138"/>
  <c r="M437" i="138"/>
  <c r="N3922" i="138"/>
  <c r="O3922" i="138" s="1"/>
  <c r="N3876" i="138"/>
  <c r="N3885" i="138"/>
  <c r="N1672" i="138"/>
  <c r="M1672" i="138"/>
  <c r="O1672" i="138" s="1"/>
  <c r="N1615" i="138"/>
  <c r="M1615" i="138"/>
  <c r="N3786" i="138"/>
  <c r="O3786" i="138" s="1"/>
  <c r="N3861" i="138"/>
  <c r="N3850" i="138"/>
  <c r="O3850" i="138" s="1"/>
  <c r="N3828" i="138"/>
  <c r="N3795" i="138"/>
  <c r="O3795" i="138" s="1"/>
  <c r="N3950" i="138"/>
  <c r="N48" i="138"/>
  <c r="M48" i="138"/>
  <c r="O48" i="138" s="1"/>
  <c r="N289" i="138"/>
  <c r="M289" i="138"/>
  <c r="N4037" i="138"/>
  <c r="O3827" i="138"/>
  <c r="N3827" i="138"/>
  <c r="N1654" i="138"/>
  <c r="M1654" i="138"/>
  <c r="N3794" i="138"/>
  <c r="O3794" i="138" s="1"/>
  <c r="N1623" i="138"/>
  <c r="O1623" i="138" s="1"/>
  <c r="M1623" i="138"/>
  <c r="N3832" i="138"/>
  <c r="N3805" i="138"/>
  <c r="N3849" i="138"/>
  <c r="N3811" i="138"/>
  <c r="O3811" i="138" s="1"/>
  <c r="N3791" i="138"/>
  <c r="O3791" i="138" s="1"/>
  <c r="N3773" i="138"/>
  <c r="N3779" i="138"/>
  <c r="N1651" i="138"/>
  <c r="M1651" i="138"/>
  <c r="N1638" i="138"/>
  <c r="O1638" i="138" s="1"/>
  <c r="M1638" i="138"/>
  <c r="N1622" i="138"/>
  <c r="M1622" i="138"/>
  <c r="N3769" i="138"/>
  <c r="N1721" i="138"/>
  <c r="M1721" i="138"/>
  <c r="N1643" i="138"/>
  <c r="M1643" i="138"/>
  <c r="N1620" i="138"/>
  <c r="M1620" i="138"/>
  <c r="N3787" i="138"/>
  <c r="O3787" i="138" s="1"/>
  <c r="N3838" i="138"/>
  <c r="O3838" i="138" s="1"/>
  <c r="N3823" i="138"/>
  <c r="O3823" i="138" s="1"/>
  <c r="N1617" i="138"/>
  <c r="M1617" i="138"/>
  <c r="N3775" i="138"/>
  <c r="O3775" i="138" s="1"/>
  <c r="N1641" i="138"/>
  <c r="M1641" i="138"/>
  <c r="N1626" i="138"/>
  <c r="M1626" i="138"/>
  <c r="O1626" i="138" s="1"/>
  <c r="O3846" i="138"/>
  <c r="N3846" i="138"/>
  <c r="N1657" i="138"/>
  <c r="M1657" i="138"/>
  <c r="N1647" i="138"/>
  <c r="M1647" i="138"/>
  <c r="O1647" i="138" s="1"/>
  <c r="N248" i="138"/>
  <c r="M248" i="138"/>
  <c r="O248" i="138" s="1"/>
  <c r="N574" i="138"/>
  <c r="M574" i="138"/>
  <c r="N1649" i="138"/>
  <c r="M1649" i="138"/>
  <c r="N737" i="138"/>
  <c r="M737" i="138"/>
  <c r="N710" i="138"/>
  <c r="M710" i="138"/>
  <c r="N3817" i="138"/>
  <c r="N708" i="138"/>
  <c r="M708" i="138"/>
  <c r="N3824" i="138"/>
  <c r="N1592" i="138"/>
  <c r="M1592" i="138"/>
  <c r="N3743" i="138"/>
  <c r="O3743" i="138" s="1"/>
  <c r="N3763" i="138"/>
  <c r="O3763" i="138" s="1"/>
  <c r="N3702" i="138"/>
  <c r="O3702" i="138" s="1"/>
  <c r="N350" i="138"/>
  <c r="M350" i="138"/>
  <c r="O350" i="138" s="1"/>
  <c r="N1720" i="138"/>
  <c r="M1720" i="138"/>
  <c r="N1585" i="138"/>
  <c r="M1585" i="138"/>
  <c r="N1596" i="138"/>
  <c r="M1596" i="138"/>
  <c r="N3738" i="138"/>
  <c r="O3738" i="138" s="1"/>
  <c r="N1575" i="138"/>
  <c r="M1575" i="138"/>
  <c r="N3686" i="138"/>
  <c r="O3686" i="138" s="1"/>
  <c r="N3735" i="138"/>
  <c r="O3735" i="138" s="1"/>
  <c r="N3709" i="138"/>
  <c r="N784" i="138"/>
  <c r="M784" i="138"/>
  <c r="N1589" i="138"/>
  <c r="M1589" i="138"/>
  <c r="N3724" i="138"/>
  <c r="N3696" i="138"/>
  <c r="N1602" i="138"/>
  <c r="M1602" i="138"/>
  <c r="N3729" i="138"/>
  <c r="N1597" i="138"/>
  <c r="M1597" i="138"/>
  <c r="N3717" i="138"/>
  <c r="N849" i="138"/>
  <c r="M849" i="138"/>
  <c r="N1586" i="138"/>
  <c r="M1586" i="138"/>
  <c r="N411" i="138"/>
  <c r="M411" i="138"/>
  <c r="N3760" i="138"/>
  <c r="N3745" i="138"/>
  <c r="N1576" i="138"/>
  <c r="M1576" i="138"/>
  <c r="O1576" i="138" s="1"/>
  <c r="N453" i="138"/>
  <c r="M453" i="138"/>
  <c r="N3721" i="138"/>
  <c r="N144" i="138"/>
  <c r="O144" i="138" s="1"/>
  <c r="M144" i="138"/>
  <c r="N3754" i="138"/>
  <c r="O3754" i="138" s="1"/>
  <c r="N1599" i="138"/>
  <c r="M1599" i="138"/>
  <c r="O1599" i="138" s="1"/>
  <c r="N559" i="138"/>
  <c r="M559" i="138"/>
  <c r="N244" i="138"/>
  <c r="M244" i="138"/>
  <c r="N245" i="138"/>
  <c r="M245" i="138"/>
  <c r="N1579" i="138"/>
  <c r="M1579" i="138"/>
  <c r="N3949" i="138"/>
  <c r="N80" i="138"/>
  <c r="M80" i="138"/>
  <c r="N81" i="138"/>
  <c r="M81" i="138"/>
  <c r="N1609" i="138"/>
  <c r="M1609" i="138"/>
  <c r="O1609" i="138" s="1"/>
  <c r="N3759" i="138"/>
  <c r="O3759" i="138" s="1"/>
  <c r="N3761" i="138"/>
  <c r="N1594" i="138"/>
  <c r="M1594" i="138"/>
  <c r="N3650" i="138"/>
  <c r="O3650" i="138" s="1"/>
  <c r="N3622" i="138"/>
  <c r="O3622" i="138" s="1"/>
  <c r="N3681" i="138"/>
  <c r="N3649" i="138"/>
  <c r="N1550" i="138"/>
  <c r="M1550" i="138"/>
  <c r="N349" i="138"/>
  <c r="M349" i="138"/>
  <c r="N3675" i="138"/>
  <c r="O3675" i="138" s="1"/>
  <c r="N3642" i="138"/>
  <c r="O3642" i="138" s="1"/>
  <c r="N3659" i="138"/>
  <c r="O3659" i="138" s="1"/>
  <c r="N3602" i="138"/>
  <c r="O3602" i="138" s="1"/>
  <c r="N1552" i="138"/>
  <c r="M1552" i="138"/>
  <c r="O1552" i="138" s="1"/>
  <c r="N177" i="138"/>
  <c r="M177" i="138"/>
  <c r="N78" i="138"/>
  <c r="M78" i="138"/>
  <c r="O78" i="138" s="1"/>
  <c r="N176" i="138"/>
  <c r="M176" i="138"/>
  <c r="N469" i="138"/>
  <c r="M469" i="138"/>
  <c r="N44" i="138"/>
  <c r="M44" i="138"/>
  <c r="N174" i="138"/>
  <c r="M174" i="138"/>
  <c r="O174" i="138" s="1"/>
  <c r="N3660" i="138"/>
  <c r="N3684" i="138"/>
  <c r="N1551" i="138"/>
  <c r="M1551" i="138"/>
  <c r="O1551" i="138" s="1"/>
  <c r="N3617" i="138"/>
  <c r="N3632" i="138"/>
  <c r="N3614" i="138"/>
  <c r="O3614" i="138" s="1"/>
  <c r="N3603" i="138"/>
  <c r="O3603" i="138" s="1"/>
  <c r="N700" i="138"/>
  <c r="M700" i="138"/>
  <c r="N3637" i="138"/>
  <c r="N3621" i="138"/>
  <c r="N518" i="138"/>
  <c r="M518" i="138"/>
  <c r="N3624" i="138"/>
  <c r="N3964" i="138"/>
  <c r="N1569" i="138"/>
  <c r="M1569" i="138"/>
  <c r="N1567" i="138"/>
  <c r="M1567" i="138"/>
  <c r="N1559" i="138"/>
  <c r="M1559" i="138"/>
  <c r="O1559" i="138" s="1"/>
  <c r="N1541" i="138"/>
  <c r="M1541" i="138"/>
  <c r="N242" i="138"/>
  <c r="M242" i="138"/>
  <c r="N3616" i="138"/>
  <c r="N1542" i="138"/>
  <c r="M1542" i="138"/>
  <c r="N3653" i="138"/>
  <c r="N1543" i="138"/>
  <c r="M1543" i="138"/>
  <c r="O1543" i="138" s="1"/>
  <c r="N3610" i="138"/>
  <c r="O3610" i="138" s="1"/>
  <c r="N240" i="138"/>
  <c r="M240" i="138"/>
  <c r="N3645" i="138"/>
  <c r="N3620" i="138"/>
  <c r="N1555" i="138"/>
  <c r="M1555" i="138"/>
  <c r="O1555" i="138" s="1"/>
  <c r="N1549" i="138"/>
  <c r="M1549" i="138"/>
  <c r="N3521" i="138"/>
  <c r="N1512" i="138"/>
  <c r="M1512" i="138"/>
  <c r="N1502" i="138"/>
  <c r="M1502" i="138"/>
  <c r="N612" i="138"/>
  <c r="M612" i="138"/>
  <c r="N4031" i="138"/>
  <c r="O4031" i="138" s="1"/>
  <c r="N3999" i="138"/>
  <c r="O3999" i="138" s="1"/>
  <c r="N801" i="138"/>
  <c r="M801" i="138"/>
  <c r="O801" i="138" s="1"/>
  <c r="N3550" i="138"/>
  <c r="O3550" i="138" s="1"/>
  <c r="N1507" i="138"/>
  <c r="M1507" i="138"/>
  <c r="N3590" i="138"/>
  <c r="O3590" i="138" s="1"/>
  <c r="N3506" i="138"/>
  <c r="O3506" i="138" s="1"/>
  <c r="N3549" i="138"/>
  <c r="N3589" i="138"/>
  <c r="N882" i="138"/>
  <c r="M882" i="138"/>
  <c r="O882" i="138" s="1"/>
  <c r="N1515" i="138"/>
  <c r="M1515" i="138"/>
  <c r="O1515" i="138" s="1"/>
  <c r="N286" i="138"/>
  <c r="M286" i="138"/>
  <c r="N263" i="138"/>
  <c r="M263" i="138"/>
  <c r="N3515" i="138"/>
  <c r="O3515" i="138" s="1"/>
  <c r="N3553" i="138"/>
  <c r="N4114" i="138"/>
  <c r="O4114" i="138" s="1"/>
  <c r="N1718" i="138"/>
  <c r="M1718" i="138"/>
  <c r="N1506" i="138"/>
  <c r="M1506" i="138"/>
  <c r="N3504" i="138"/>
  <c r="N3529" i="138"/>
  <c r="N3528" i="138"/>
  <c r="N3576" i="138"/>
  <c r="N237" i="138"/>
  <c r="M237" i="138"/>
  <c r="N239" i="138"/>
  <c r="M239" i="138"/>
  <c r="N3533" i="138"/>
  <c r="N1522" i="138"/>
  <c r="M1522" i="138"/>
  <c r="N3538" i="138"/>
  <c r="O3538" i="138" s="1"/>
  <c r="N3594" i="138"/>
  <c r="O3594" i="138" s="1"/>
  <c r="N1532" i="138"/>
  <c r="M1532" i="138"/>
  <c r="N3524" i="138"/>
  <c r="N3588" i="138"/>
  <c r="N3526" i="138"/>
  <c r="O3526" i="138" s="1"/>
  <c r="N3522" i="138"/>
  <c r="O3522" i="138" s="1"/>
  <c r="N1501" i="138"/>
  <c r="M1501" i="138"/>
  <c r="N3525" i="138"/>
  <c r="N3541" i="138"/>
  <c r="N3563" i="138"/>
  <c r="O3563" i="138" s="1"/>
  <c r="N3555" i="138"/>
  <c r="O3555" i="138" s="1"/>
  <c r="N731" i="138"/>
  <c r="M731" i="138"/>
  <c r="N3557" i="138"/>
  <c r="N1505" i="138"/>
  <c r="M1505" i="138"/>
  <c r="N3593" i="138"/>
  <c r="N3432" i="138"/>
  <c r="N3465" i="138"/>
  <c r="N3453" i="138"/>
  <c r="N3454" i="138"/>
  <c r="O3454" i="138" s="1"/>
  <c r="N3446" i="138"/>
  <c r="O3446" i="138" s="1"/>
  <c r="N3438" i="138"/>
  <c r="O3438" i="138" s="1"/>
  <c r="N3493" i="138"/>
  <c r="N3489" i="138"/>
  <c r="N1471" i="138"/>
  <c r="M1471" i="138"/>
  <c r="N1738" i="138"/>
  <c r="M1738" i="138"/>
  <c r="N3473" i="138"/>
  <c r="N863" i="138"/>
  <c r="M863" i="138"/>
  <c r="N726" i="138"/>
  <c r="M726" i="138"/>
  <c r="N722" i="138"/>
  <c r="M722" i="138"/>
  <c r="N570" i="138"/>
  <c r="M570" i="138"/>
  <c r="N234" i="138"/>
  <c r="M234" i="138"/>
  <c r="N3472" i="138"/>
  <c r="N539" i="138"/>
  <c r="M539" i="138"/>
  <c r="N1496" i="138"/>
  <c r="M1496" i="138"/>
  <c r="N1493" i="138"/>
  <c r="M1493" i="138"/>
  <c r="N3419" i="138"/>
  <c r="O3419" i="138" s="1"/>
  <c r="N3455" i="138"/>
  <c r="N3433" i="138"/>
  <c r="N1463" i="138"/>
  <c r="M1463" i="138"/>
  <c r="N3416" i="138"/>
  <c r="N3476" i="138"/>
  <c r="N3478" i="138"/>
  <c r="O3478" i="138" s="1"/>
  <c r="N1482" i="138"/>
  <c r="M1482" i="138"/>
  <c r="N3475" i="138"/>
  <c r="O3475" i="138" s="1"/>
  <c r="N1466" i="138"/>
  <c r="M1466" i="138"/>
  <c r="N169" i="138"/>
  <c r="M169" i="138"/>
  <c r="N166" i="138"/>
  <c r="M166" i="138"/>
  <c r="O166" i="138" s="1"/>
  <c r="N3467" i="138"/>
  <c r="O3467" i="138" s="1"/>
  <c r="N432" i="138"/>
  <c r="M432" i="138"/>
  <c r="N3448" i="138"/>
  <c r="N3430" i="138"/>
  <c r="O3430" i="138" s="1"/>
  <c r="N3437" i="138"/>
  <c r="N1484" i="138"/>
  <c r="M1484" i="138"/>
  <c r="N3463" i="138"/>
  <c r="O3463" i="138" s="1"/>
  <c r="N3495" i="138"/>
  <c r="O3495" i="138" s="1"/>
  <c r="N3425" i="138"/>
  <c r="N347" i="138"/>
  <c r="M347" i="138"/>
  <c r="N1483" i="138"/>
  <c r="M1483" i="138"/>
  <c r="N3998" i="138"/>
  <c r="O3998" i="138" s="1"/>
  <c r="N41" i="138"/>
  <c r="M41" i="138"/>
  <c r="N595" i="138"/>
  <c r="M595" i="138"/>
  <c r="N3405" i="138"/>
  <c r="N3345" i="138"/>
  <c r="N3367" i="138"/>
  <c r="O3367" i="138" s="1"/>
  <c r="N3358" i="138"/>
  <c r="O3358" i="138" s="1"/>
  <c r="N3962" i="138"/>
  <c r="O3962" i="138" s="1"/>
  <c r="N3401" i="138"/>
  <c r="N471" i="138"/>
  <c r="M471" i="138"/>
  <c r="O471" i="138" s="1"/>
  <c r="N594" i="138"/>
  <c r="M594" i="138"/>
  <c r="N4084" i="138"/>
  <c r="N38" i="138"/>
  <c r="M38" i="138"/>
  <c r="O38" i="138" s="1"/>
  <c r="N4026" i="138"/>
  <c r="O4026" i="138" s="1"/>
  <c r="N3338" i="138"/>
  <c r="N1439" i="138"/>
  <c r="O1439" i="138" s="1"/>
  <c r="M1439" i="138"/>
  <c r="N3340" i="138"/>
  <c r="N1449" i="138"/>
  <c r="M1449" i="138"/>
  <c r="N2921" i="138"/>
  <c r="N1447" i="138"/>
  <c r="M1447" i="138"/>
  <c r="N610" i="138"/>
  <c r="M610" i="138"/>
  <c r="N261" i="138"/>
  <c r="M261" i="138"/>
  <c r="O261" i="138" s="1"/>
  <c r="N407" i="138"/>
  <c r="M407" i="138"/>
  <c r="N717" i="138"/>
  <c r="M717" i="138"/>
  <c r="N233" i="138"/>
  <c r="M233" i="138"/>
  <c r="N1428" i="138"/>
  <c r="M1428" i="138"/>
  <c r="N231" i="138"/>
  <c r="M231" i="138"/>
  <c r="N4052" i="138"/>
  <c r="N3389" i="138"/>
  <c r="N3391" i="138"/>
  <c r="N449" i="138"/>
  <c r="M449" i="138"/>
  <c r="N2918" i="138"/>
  <c r="O2918" i="138" s="1"/>
  <c r="N3396" i="138"/>
  <c r="N1426" i="138"/>
  <c r="M1426" i="138"/>
  <c r="N3374" i="138"/>
  <c r="O3374" i="138" s="1"/>
  <c r="N3407" i="138"/>
  <c r="N3361" i="138"/>
  <c r="N2917" i="138"/>
  <c r="N3330" i="138"/>
  <c r="O3330" i="138" s="1"/>
  <c r="N3346" i="138"/>
  <c r="O3346" i="138" s="1"/>
  <c r="N3410" i="138"/>
  <c r="O3410" i="138" s="1"/>
  <c r="N3326" i="138"/>
  <c r="O3326" i="138" s="1"/>
  <c r="N1425" i="138"/>
  <c r="M1425" i="138"/>
  <c r="N3411" i="138"/>
  <c r="O3411" i="138" s="1"/>
  <c r="N3381" i="138"/>
  <c r="N3322" i="138"/>
  <c r="N1737" i="138"/>
  <c r="M1737" i="138"/>
  <c r="N1454" i="138"/>
  <c r="M1454" i="138"/>
  <c r="O1454" i="138" s="1"/>
  <c r="N1418" i="138"/>
  <c r="M1418" i="138"/>
  <c r="N3977" i="138"/>
  <c r="N1450" i="138"/>
  <c r="M1450" i="138"/>
  <c r="N714" i="138"/>
  <c r="M714" i="138"/>
  <c r="N1395" i="138"/>
  <c r="M1395" i="138"/>
  <c r="O1395" i="138" s="1"/>
  <c r="N1403" i="138"/>
  <c r="M1403" i="138"/>
  <c r="N3299" i="138"/>
  <c r="O3299" i="138" s="1"/>
  <c r="N1400" i="138"/>
  <c r="M1400" i="138"/>
  <c r="N1409" i="138"/>
  <c r="O1409" i="138" s="1"/>
  <c r="M1409" i="138"/>
  <c r="N1384" i="138"/>
  <c r="M1384" i="138"/>
  <c r="O1384" i="138" s="1"/>
  <c r="N1414" i="138"/>
  <c r="M1414" i="138"/>
  <c r="N3270" i="138"/>
  <c r="O3270" i="138" s="1"/>
  <c r="N1405" i="138"/>
  <c r="M1405" i="138"/>
  <c r="O1405" i="138" s="1"/>
  <c r="N4111" i="138"/>
  <c r="O4111" i="138" s="1"/>
  <c r="N3269" i="138"/>
  <c r="N3290" i="138"/>
  <c r="O3290" i="138" s="1"/>
  <c r="N3247" i="138"/>
  <c r="O3247" i="138" s="1"/>
  <c r="N3246" i="138"/>
  <c r="O3246" i="138" s="1"/>
  <c r="N37" i="138"/>
  <c r="M37" i="138"/>
  <c r="N3232" i="138"/>
  <c r="N3254" i="138"/>
  <c r="O3254" i="138" s="1"/>
  <c r="N230" i="138"/>
  <c r="M230" i="138"/>
  <c r="N467" i="138"/>
  <c r="M467" i="138"/>
  <c r="N1404" i="138"/>
  <c r="M1404" i="138"/>
  <c r="O1404" i="138" s="1"/>
  <c r="N4024" i="138"/>
  <c r="N3280" i="138"/>
  <c r="N283" i="138"/>
  <c r="O283" i="138" s="1"/>
  <c r="M283" i="138"/>
  <c r="N159" i="138"/>
  <c r="M159" i="138"/>
  <c r="O159" i="138" s="1"/>
  <c r="N3228" i="138"/>
  <c r="N861" i="138"/>
  <c r="M861" i="138"/>
  <c r="N3300" i="138"/>
  <c r="N3248" i="138"/>
  <c r="N1392" i="138"/>
  <c r="M1392" i="138"/>
  <c r="N3231" i="138"/>
  <c r="O3231" i="138" s="1"/>
  <c r="N4051" i="138"/>
  <c r="O4051" i="138" s="1"/>
  <c r="N3268" i="138"/>
  <c r="N1396" i="138"/>
  <c r="M1396" i="138"/>
  <c r="N3297" i="138"/>
  <c r="N3291" i="138"/>
  <c r="O3291" i="138" s="1"/>
  <c r="N3252" i="138"/>
  <c r="N1387" i="138"/>
  <c r="M1387" i="138"/>
  <c r="N3253" i="138"/>
  <c r="N3256" i="138"/>
  <c r="N1381" i="138"/>
  <c r="M1381" i="138"/>
  <c r="N685" i="138"/>
  <c r="M685" i="138"/>
  <c r="O685" i="138" s="1"/>
  <c r="N819" i="138"/>
  <c r="M819" i="138"/>
  <c r="N406" i="138"/>
  <c r="O406" i="138" s="1"/>
  <c r="M406" i="138"/>
  <c r="N1394" i="138"/>
  <c r="M1394" i="138"/>
  <c r="N2879" i="138"/>
  <c r="O2879" i="138" s="1"/>
  <c r="N3267" i="138"/>
  <c r="O3267" i="138" s="1"/>
  <c r="N3243" i="138"/>
  <c r="O3243" i="138" s="1"/>
  <c r="N3250" i="138"/>
  <c r="O3250" i="138" s="1"/>
  <c r="N3320" i="138"/>
  <c r="N282" i="138"/>
  <c r="M282" i="138"/>
  <c r="N3219" i="138"/>
  <c r="O3219" i="138" s="1"/>
  <c r="N4079" i="138"/>
  <c r="O4079" i="138" s="1"/>
  <c r="N34" i="138"/>
  <c r="M34" i="138"/>
  <c r="N592" i="138"/>
  <c r="M592" i="138"/>
  <c r="N797" i="138"/>
  <c r="M797" i="138"/>
  <c r="N154" i="138"/>
  <c r="O154" i="138" s="1"/>
  <c r="M154" i="138"/>
  <c r="N3943" i="138"/>
  <c r="O3943" i="138" s="1"/>
  <c r="N1349" i="138"/>
  <c r="M1349" i="138"/>
  <c r="N749" i="138"/>
  <c r="M749" i="138"/>
  <c r="N767" i="138"/>
  <c r="O767" i="138" s="1"/>
  <c r="M767" i="138"/>
  <c r="N196" i="138"/>
  <c r="M196" i="138"/>
  <c r="N860" i="138"/>
  <c r="M860" i="138"/>
  <c r="N3142" i="138"/>
  <c r="N3172" i="138"/>
  <c r="N3144" i="138"/>
  <c r="N3202" i="138"/>
  <c r="O3202" i="138" s="1"/>
  <c r="N1352" i="138"/>
  <c r="M1352" i="138"/>
  <c r="N3163" i="138"/>
  <c r="O3163" i="138" s="1"/>
  <c r="N3210" i="138"/>
  <c r="O3210" i="138" s="1"/>
  <c r="N3185" i="138"/>
  <c r="N1353" i="138"/>
  <c r="M1353" i="138"/>
  <c r="O1353" i="138" s="1"/>
  <c r="N2915" i="138"/>
  <c r="O2915" i="138" s="1"/>
  <c r="N3179" i="138"/>
  <c r="O3179" i="138" s="1"/>
  <c r="N3171" i="138"/>
  <c r="O3171" i="138" s="1"/>
  <c r="N709" i="138"/>
  <c r="M709" i="138"/>
  <c r="N3175" i="138"/>
  <c r="O3175" i="138" s="1"/>
  <c r="N1346" i="138"/>
  <c r="M1346" i="138"/>
  <c r="N225" i="138"/>
  <c r="M225" i="138"/>
  <c r="O225" i="138" s="1"/>
  <c r="N3208" i="138"/>
  <c r="N508" i="138"/>
  <c r="M508" i="138"/>
  <c r="N3131" i="138"/>
  <c r="O3131" i="138" s="1"/>
  <c r="N405" i="138"/>
  <c r="M405" i="138"/>
  <c r="N2913" i="138"/>
  <c r="N3221" i="138"/>
  <c r="N3170" i="138"/>
  <c r="N3215" i="138"/>
  <c r="O3215" i="138" s="1"/>
  <c r="N3137" i="138"/>
  <c r="N3161" i="138"/>
  <c r="N3134" i="138"/>
  <c r="O3134" i="138" s="1"/>
  <c r="N1365" i="138"/>
  <c r="M1365" i="138"/>
  <c r="N3196" i="138"/>
  <c r="N3198" i="138"/>
  <c r="O3198" i="138" s="1"/>
  <c r="N3188" i="138"/>
  <c r="N706" i="138"/>
  <c r="M706" i="138"/>
  <c r="O706" i="138" s="1"/>
  <c r="N3169" i="138"/>
  <c r="N3126" i="138"/>
  <c r="O3126" i="138" s="1"/>
  <c r="N1347" i="138"/>
  <c r="M1347" i="138"/>
  <c r="O1347" i="138" s="1"/>
  <c r="N1343" i="138"/>
  <c r="O1343" i="138" s="1"/>
  <c r="M1343" i="138"/>
  <c r="N1326" i="138"/>
  <c r="O1326" i="138" s="1"/>
  <c r="M1326" i="138"/>
  <c r="N1734" i="138"/>
  <c r="M1734" i="138"/>
  <c r="N3073" i="138"/>
  <c r="N3111" i="138"/>
  <c r="O3111" i="138" s="1"/>
  <c r="N3110" i="138"/>
  <c r="N446" i="138"/>
  <c r="M446" i="138"/>
  <c r="N1331" i="138"/>
  <c r="M1331" i="138"/>
  <c r="N3090" i="138"/>
  <c r="O3090" i="138" s="1"/>
  <c r="N343" i="138"/>
  <c r="O343" i="138" s="1"/>
  <c r="M343" i="138"/>
  <c r="N3059" i="138"/>
  <c r="O3059" i="138" s="1"/>
  <c r="N2875" i="138"/>
  <c r="O2875" i="138" s="1"/>
  <c r="N3072" i="138"/>
  <c r="O3030" i="138"/>
  <c r="N3030" i="138"/>
  <c r="N1332" i="138"/>
  <c r="M1332" i="138"/>
  <c r="N3041" i="138"/>
  <c r="N3085" i="138"/>
  <c r="N1314" i="138"/>
  <c r="M1314" i="138"/>
  <c r="N3109" i="138"/>
  <c r="N3083" i="138"/>
  <c r="O3083" i="138" s="1"/>
  <c r="N3060" i="138"/>
  <c r="N3051" i="138"/>
  <c r="O3051" i="138" s="1"/>
  <c r="N293" i="138"/>
  <c r="M293" i="138"/>
  <c r="N297" i="138"/>
  <c r="M297" i="138"/>
  <c r="M4117" i="138"/>
  <c r="O4117" i="138" s="1"/>
  <c r="M4113" i="138"/>
  <c r="O4113" i="138" s="1"/>
  <c r="M4097" i="138"/>
  <c r="M4089" i="138"/>
  <c r="M4085" i="138"/>
  <c r="M4081" i="138"/>
  <c r="M4061" i="138"/>
  <c r="O4061" i="138" s="1"/>
  <c r="M4053" i="138"/>
  <c r="O4053" i="138" s="1"/>
  <c r="M4049" i="138"/>
  <c r="O4049" i="138" s="1"/>
  <c r="M4037" i="138"/>
  <c r="M4033" i="138"/>
  <c r="M4029" i="138"/>
  <c r="M4025" i="138"/>
  <c r="O4025" i="138" s="1"/>
  <c r="M4001" i="138"/>
  <c r="O4001" i="138" s="1"/>
  <c r="M3997" i="138"/>
  <c r="M3981" i="138"/>
  <c r="M3977" i="138"/>
  <c r="M3965" i="138"/>
  <c r="O3965" i="138" s="1"/>
  <c r="M3961" i="138"/>
  <c r="O3961" i="138" s="1"/>
  <c r="M3949" i="138"/>
  <c r="O3949" i="138" s="1"/>
  <c r="M3945" i="138"/>
  <c r="O3945" i="138" s="1"/>
  <c r="M3929" i="138"/>
  <c r="O3929" i="138" s="1"/>
  <c r="M3925" i="138"/>
  <c r="O3925" i="138" s="1"/>
  <c r="M3921" i="138"/>
  <c r="M3917" i="138"/>
  <c r="M3909" i="138"/>
  <c r="O3909" i="138" s="1"/>
  <c r="M3905" i="138"/>
  <c r="M3901" i="138"/>
  <c r="M3897" i="138"/>
  <c r="O3897" i="138" s="1"/>
  <c r="M3893" i="138"/>
  <c r="M3889" i="138"/>
  <c r="O3889" i="138" s="1"/>
  <c r="M3885" i="138"/>
  <c r="M3881" i="138"/>
  <c r="O3881" i="138" s="1"/>
  <c r="M3877" i="138"/>
  <c r="O3877" i="138" s="1"/>
  <c r="M3873" i="138"/>
  <c r="O3873" i="138" s="1"/>
  <c r="M3869" i="138"/>
  <c r="O3869" i="138" s="1"/>
  <c r="M3865" i="138"/>
  <c r="O3865" i="138" s="1"/>
  <c r="M3861" i="138"/>
  <c r="O3861" i="138" s="1"/>
  <c r="M3857" i="138"/>
  <c r="M3849" i="138"/>
  <c r="M3845" i="138"/>
  <c r="O3845" i="138" s="1"/>
  <c r="M3841" i="138"/>
  <c r="M3837" i="138"/>
  <c r="M3833" i="138"/>
  <c r="M3829" i="138"/>
  <c r="M3825" i="138"/>
  <c r="O3825" i="138" s="1"/>
  <c r="M3817" i="138"/>
  <c r="O3817" i="138" s="1"/>
  <c r="M3813" i="138"/>
  <c r="M3809" i="138"/>
  <c r="M3805" i="138"/>
  <c r="M3797" i="138"/>
  <c r="O3797" i="138" s="1"/>
  <c r="M3789" i="138"/>
  <c r="O3789" i="138" s="1"/>
  <c r="M3785" i="138"/>
  <c r="M3781" i="138"/>
  <c r="O3781" i="138" s="1"/>
  <c r="M3777" i="138"/>
  <c r="O3777" i="138" s="1"/>
  <c r="M3773" i="138"/>
  <c r="M3769" i="138"/>
  <c r="M3765" i="138"/>
  <c r="O3765" i="138" s="1"/>
  <c r="M3761" i="138"/>
  <c r="O3761" i="138" s="1"/>
  <c r="M3757" i="138"/>
  <c r="O3757" i="138" s="1"/>
  <c r="M3753" i="138"/>
  <c r="O3753" i="138" s="1"/>
  <c r="M3749" i="138"/>
  <c r="O3749" i="138" s="1"/>
  <c r="M3745" i="138"/>
  <c r="O3745" i="138" s="1"/>
  <c r="M3737" i="138"/>
  <c r="O3737" i="138" s="1"/>
  <c r="M3733" i="138"/>
  <c r="O3733" i="138" s="1"/>
  <c r="M3729" i="138"/>
  <c r="O3729" i="138" s="1"/>
  <c r="M3725" i="138"/>
  <c r="O3725" i="138" s="1"/>
  <c r="M3721" i="138"/>
  <c r="M3717" i="138"/>
  <c r="M3713" i="138"/>
  <c r="O3713" i="138" s="1"/>
  <c r="M3709" i="138"/>
  <c r="M3705" i="138"/>
  <c r="M3701" i="138"/>
  <c r="M3697" i="138"/>
  <c r="M3693" i="138"/>
  <c r="M3689" i="138"/>
  <c r="M3685" i="138"/>
  <c r="O3685" i="138" s="1"/>
  <c r="M3681" i="138"/>
  <c r="M3677" i="138"/>
  <c r="O3677" i="138" s="1"/>
  <c r="M3673" i="138"/>
  <c r="O3673" i="138" s="1"/>
  <c r="M3669" i="138"/>
  <c r="O3669" i="138" s="1"/>
  <c r="M3665" i="138"/>
  <c r="M3661" i="138"/>
  <c r="M3657" i="138"/>
  <c r="O3657" i="138" s="1"/>
  <c r="M3653" i="138"/>
  <c r="O3653" i="138" s="1"/>
  <c r="M3649" i="138"/>
  <c r="O3649" i="138" s="1"/>
  <c r="M3645" i="138"/>
  <c r="O3645" i="138" s="1"/>
  <c r="M3641" i="138"/>
  <c r="M3637" i="138"/>
  <c r="O3637" i="138" s="1"/>
  <c r="M3633" i="138"/>
  <c r="O3633" i="138" s="1"/>
  <c r="M3629" i="138"/>
  <c r="O3629" i="138" s="1"/>
  <c r="M3625" i="138"/>
  <c r="O3625" i="138" s="1"/>
  <c r="M3621" i="138"/>
  <c r="M3617" i="138"/>
  <c r="M3613" i="138"/>
  <c r="M3609" i="138"/>
  <c r="M3605" i="138"/>
  <c r="O3605" i="138" s="1"/>
  <c r="M3601" i="138"/>
  <c r="O3601" i="138" s="1"/>
  <c r="M3597" i="138"/>
  <c r="M3593" i="138"/>
  <c r="M3589" i="138"/>
  <c r="M3585" i="138"/>
  <c r="O3585" i="138" s="1"/>
  <c r="M3581" i="138"/>
  <c r="M3577" i="138"/>
  <c r="O3577" i="138" s="1"/>
  <c r="M3573" i="138"/>
  <c r="O3573" i="138" s="1"/>
  <c r="M3569" i="138"/>
  <c r="O3569" i="138" s="1"/>
  <c r="M3565" i="138"/>
  <c r="O3565" i="138" s="1"/>
  <c r="M3561" i="138"/>
  <c r="O3561" i="138" s="1"/>
  <c r="M3557" i="138"/>
  <c r="M3553" i="138"/>
  <c r="M3549" i="138"/>
  <c r="M3545" i="138"/>
  <c r="M3541" i="138"/>
  <c r="M3537" i="138"/>
  <c r="O3537" i="138" s="1"/>
  <c r="M3533" i="138"/>
  <c r="O3533" i="138" s="1"/>
  <c r="M3529" i="138"/>
  <c r="M3525" i="138"/>
  <c r="M3521" i="138"/>
  <c r="M3517" i="138"/>
  <c r="M3513" i="138"/>
  <c r="O3513" i="138" s="1"/>
  <c r="M3509" i="138"/>
  <c r="O3509" i="138" s="1"/>
  <c r="M3505" i="138"/>
  <c r="O3505" i="138" s="1"/>
  <c r="M3501" i="138"/>
  <c r="M3497" i="138"/>
  <c r="M3493" i="138"/>
  <c r="M3489" i="138"/>
  <c r="O3489" i="138" s="1"/>
  <c r="M3485" i="138"/>
  <c r="O3485" i="138" s="1"/>
  <c r="M3481" i="138"/>
  <c r="M3477" i="138"/>
  <c r="O3477" i="138" s="1"/>
  <c r="M3473" i="138"/>
  <c r="M3469" i="138"/>
  <c r="M3465" i="138"/>
  <c r="M3461" i="138"/>
  <c r="M3457" i="138"/>
  <c r="M3453" i="138"/>
  <c r="M3449" i="138"/>
  <c r="O3449" i="138" s="1"/>
  <c r="M3445" i="138"/>
  <c r="O3445" i="138" s="1"/>
  <c r="M3441" i="138"/>
  <c r="O3441" i="138" s="1"/>
  <c r="M3437" i="138"/>
  <c r="M3433" i="138"/>
  <c r="M3429" i="138"/>
  <c r="O3429" i="138" s="1"/>
  <c r="M3425" i="138"/>
  <c r="M3421" i="138"/>
  <c r="O3421" i="138" s="1"/>
  <c r="M3417" i="138"/>
  <c r="O3417" i="138" s="1"/>
  <c r="M3413" i="138"/>
  <c r="O3413" i="138" s="1"/>
  <c r="M3409" i="138"/>
  <c r="M3405" i="138"/>
  <c r="M3401" i="138"/>
  <c r="M3397" i="138"/>
  <c r="M3393" i="138"/>
  <c r="O3393" i="138" s="1"/>
  <c r="M3389" i="138"/>
  <c r="M3385" i="138"/>
  <c r="M3381" i="138"/>
  <c r="M3377" i="138"/>
  <c r="M3373" i="138"/>
  <c r="M3369" i="138"/>
  <c r="M3365" i="138"/>
  <c r="O3365" i="138" s="1"/>
  <c r="M3361" i="138"/>
  <c r="M3357" i="138"/>
  <c r="O3357" i="138" s="1"/>
  <c r="M3353" i="138"/>
  <c r="O3353" i="138" s="1"/>
  <c r="M3349" i="138"/>
  <c r="O3349" i="138" s="1"/>
  <c r="M3345" i="138"/>
  <c r="M3341" i="138"/>
  <c r="O3341" i="138" s="1"/>
  <c r="M3337" i="138"/>
  <c r="O3337" i="138" s="1"/>
  <c r="M3333" i="138"/>
  <c r="O3333" i="138" s="1"/>
  <c r="M3329" i="138"/>
  <c r="O3329" i="138" s="1"/>
  <c r="M3325" i="138"/>
  <c r="O3325" i="138" s="1"/>
  <c r="M3321" i="138"/>
  <c r="M3317" i="138"/>
  <c r="M3313" i="138"/>
  <c r="O3313" i="138" s="1"/>
  <c r="M3309" i="138"/>
  <c r="M3305" i="138"/>
  <c r="M3301" i="138"/>
  <c r="O3301" i="138" s="1"/>
  <c r="M3297" i="138"/>
  <c r="M3293" i="138"/>
  <c r="O3293" i="138" s="1"/>
  <c r="M3289" i="138"/>
  <c r="O3289" i="138" s="1"/>
  <c r="M3285" i="138"/>
  <c r="O3285" i="138" s="1"/>
  <c r="M3281" i="138"/>
  <c r="M3277" i="138"/>
  <c r="O3277" i="138" s="1"/>
  <c r="M3269" i="138"/>
  <c r="M3265" i="138"/>
  <c r="M3261" i="138"/>
  <c r="O3261" i="138" s="1"/>
  <c r="M3257" i="138"/>
  <c r="M3253" i="138"/>
  <c r="M3249" i="138"/>
  <c r="M3245" i="138"/>
  <c r="O3245" i="138" s="1"/>
  <c r="M3241" i="138"/>
  <c r="O3241" i="138" s="1"/>
  <c r="M3237" i="138"/>
  <c r="M3233" i="138"/>
  <c r="O3233" i="138" s="1"/>
  <c r="M3229" i="138"/>
  <c r="O3229" i="138" s="1"/>
  <c r="M3225" i="138"/>
  <c r="M3221" i="138"/>
  <c r="M3213" i="138"/>
  <c r="O3213" i="138" s="1"/>
  <c r="M3209" i="138"/>
  <c r="O3209" i="138" s="1"/>
  <c r="M3205" i="138"/>
  <c r="M3201" i="138"/>
  <c r="O3201" i="138" s="1"/>
  <c r="M3197" i="138"/>
  <c r="M3193" i="138"/>
  <c r="O3193" i="138" s="1"/>
  <c r="M3189" i="138"/>
  <c r="M3185" i="138"/>
  <c r="M3177" i="138"/>
  <c r="O3177" i="138" s="1"/>
  <c r="M3173" i="138"/>
  <c r="O3173" i="138" s="1"/>
  <c r="M3169" i="138"/>
  <c r="M3165" i="138"/>
  <c r="M3161" i="138"/>
  <c r="O3161" i="138" s="1"/>
  <c r="M3157" i="138"/>
  <c r="M3153" i="138"/>
  <c r="O3153" i="138" s="1"/>
  <c r="M3145" i="138"/>
  <c r="O3145" i="138" s="1"/>
  <c r="M3141" i="138"/>
  <c r="M3137" i="138"/>
  <c r="O3137" i="138" s="1"/>
  <c r="M3133" i="138"/>
  <c r="M3129" i="138"/>
  <c r="O3129" i="138" s="1"/>
  <c r="M3125" i="138"/>
  <c r="O3125" i="138" s="1"/>
  <c r="M3117" i="138"/>
  <c r="O3117" i="138" s="1"/>
  <c r="M3113" i="138"/>
  <c r="O3113" i="138" s="1"/>
  <c r="M3109" i="138"/>
  <c r="O3109" i="138" s="1"/>
  <c r="M3097" i="138"/>
  <c r="O3097" i="138" s="1"/>
  <c r="M3085" i="138"/>
  <c r="M3077" i="138"/>
  <c r="O3077" i="138" s="1"/>
  <c r="M3073" i="138"/>
  <c r="M3065" i="138"/>
  <c r="O3065" i="138" s="1"/>
  <c r="M3057" i="138"/>
  <c r="O3057" i="138" s="1"/>
  <c r="M3049" i="138"/>
  <c r="M3041" i="138"/>
  <c r="M3029" i="138"/>
  <c r="O3029" i="138" s="1"/>
  <c r="M2921" i="138"/>
  <c r="M2917" i="138"/>
  <c r="M2913" i="138"/>
  <c r="M2881" i="138"/>
  <c r="N3913" i="138"/>
  <c r="O3913" i="138" s="1"/>
  <c r="N3898" i="138"/>
  <c r="O3898" i="138" s="1"/>
  <c r="N875" i="138"/>
  <c r="M875" i="138"/>
  <c r="N3880" i="138"/>
  <c r="N3868" i="138"/>
  <c r="N3866" i="138"/>
  <c r="O3866" i="138" s="1"/>
  <c r="N3875" i="138"/>
  <c r="O3875" i="138" s="1"/>
  <c r="N3931" i="138"/>
  <c r="O3931" i="138" s="1"/>
  <c r="N1668" i="138"/>
  <c r="M1668" i="138"/>
  <c r="N3793" i="138"/>
  <c r="O3793" i="138" s="1"/>
  <c r="N266" i="138"/>
  <c r="M266" i="138"/>
  <c r="N3784" i="138"/>
  <c r="N785" i="138"/>
  <c r="M785" i="138"/>
  <c r="N3842" i="138"/>
  <c r="O3842" i="138" s="1"/>
  <c r="N3821" i="138"/>
  <c r="O3821" i="138" s="1"/>
  <c r="N3819" i="138"/>
  <c r="O3819" i="138" s="1"/>
  <c r="N1633" i="138"/>
  <c r="M1633" i="138"/>
  <c r="N3826" i="138"/>
  <c r="O3826" i="138" s="1"/>
  <c r="N3853" i="138"/>
  <c r="N4057" i="138"/>
  <c r="N1652" i="138"/>
  <c r="M1652" i="138"/>
  <c r="N3801" i="138"/>
  <c r="O3801" i="138" s="1"/>
  <c r="N1634" i="138"/>
  <c r="M1634" i="138"/>
  <c r="O1634" i="138" s="1"/>
  <c r="N1702" i="138"/>
  <c r="M1702" i="138"/>
  <c r="N3716" i="138"/>
  <c r="N3718" i="138"/>
  <c r="O3718" i="138" s="1"/>
  <c r="N3755" i="138"/>
  <c r="O3755" i="138" s="1"/>
  <c r="N1584" i="138"/>
  <c r="M1584" i="138"/>
  <c r="N3741" i="138"/>
  <c r="N824" i="138"/>
  <c r="M824" i="138"/>
  <c r="N884" i="138"/>
  <c r="M884" i="138"/>
  <c r="O884" i="138" s="1"/>
  <c r="N3683" i="138"/>
  <c r="O3683" i="138" s="1"/>
  <c r="N3606" i="138"/>
  <c r="O3606" i="138" s="1"/>
  <c r="N1545" i="138"/>
  <c r="M1545" i="138"/>
  <c r="N4032" i="138"/>
  <c r="N3600" i="138"/>
  <c r="N732" i="138"/>
  <c r="M732" i="138"/>
  <c r="N3623" i="138"/>
  <c r="O3623" i="138" s="1"/>
  <c r="N3643" i="138"/>
  <c r="O3643" i="138" s="1"/>
  <c r="N3640" i="138"/>
  <c r="N3551" i="138"/>
  <c r="N3567" i="138"/>
  <c r="O3567" i="138" s="1"/>
  <c r="N1511" i="138"/>
  <c r="M1511" i="138"/>
  <c r="O1511" i="138" s="1"/>
  <c r="N3511" i="138"/>
  <c r="O3511" i="138" s="1"/>
  <c r="N3507" i="138"/>
  <c r="O3507" i="138" s="1"/>
  <c r="N238" i="138"/>
  <c r="M238" i="138"/>
  <c r="N1536" i="138"/>
  <c r="M1536" i="138"/>
  <c r="N3532" i="138"/>
  <c r="N3559" i="138"/>
  <c r="O3559" i="138" s="1"/>
  <c r="N3499" i="138"/>
  <c r="O3499" i="138" s="1"/>
  <c r="N3450" i="138"/>
  <c r="O3450" i="138" s="1"/>
  <c r="N1479" i="138"/>
  <c r="M1479" i="138"/>
  <c r="N3424" i="138"/>
  <c r="N1485" i="138"/>
  <c r="M1485" i="138"/>
  <c r="N3484" i="138"/>
  <c r="N168" i="138"/>
  <c r="M168" i="138"/>
  <c r="N1495" i="138"/>
  <c r="M1495" i="138"/>
  <c r="N1457" i="138"/>
  <c r="M1457" i="138"/>
  <c r="N3963" i="138"/>
  <c r="O3963" i="138" s="1"/>
  <c r="N2914" i="138"/>
  <c r="O2914" i="138" s="1"/>
  <c r="N162" i="138"/>
  <c r="M162" i="138"/>
  <c r="N719" i="138"/>
  <c r="M719" i="138"/>
  <c r="N538" i="138"/>
  <c r="M538" i="138"/>
  <c r="N3406" i="138"/>
  <c r="N3323" i="138"/>
  <c r="N1451" i="138"/>
  <c r="M1451" i="138"/>
  <c r="N1436" i="138"/>
  <c r="M1436" i="138"/>
  <c r="N799" i="138"/>
  <c r="M799" i="138"/>
  <c r="N713" i="138"/>
  <c r="M713" i="138"/>
  <c r="N489" i="138"/>
  <c r="M489" i="138"/>
  <c r="N329" i="138"/>
  <c r="M329" i="138"/>
  <c r="O329" i="138" s="1"/>
  <c r="N3260" i="138"/>
  <c r="N36" i="138"/>
  <c r="M36" i="138"/>
  <c r="N1715" i="138"/>
  <c r="M1715" i="138"/>
  <c r="N3315" i="138"/>
  <c r="O3315" i="138" s="1"/>
  <c r="N3259" i="138"/>
  <c r="O3259" i="138" s="1"/>
  <c r="N3282" i="138"/>
  <c r="O3282" i="138" s="1"/>
  <c r="N3273" i="138"/>
  <c r="O3273" i="138" s="1"/>
  <c r="N68" i="138"/>
  <c r="M68" i="138"/>
  <c r="N3181" i="138"/>
  <c r="O3181" i="138" s="1"/>
  <c r="N3136" i="138"/>
  <c r="O3136" i="138" s="1"/>
  <c r="N3149" i="138"/>
  <c r="O3149" i="138" s="1"/>
  <c r="N3152" i="138"/>
  <c r="N227" i="138"/>
  <c r="M227" i="138"/>
  <c r="N3166" i="138"/>
  <c r="O3166" i="138" s="1"/>
  <c r="N3203" i="138"/>
  <c r="O3203" i="138" s="1"/>
  <c r="N3217" i="138"/>
  <c r="O3217" i="138" s="1"/>
  <c r="N3102" i="138"/>
  <c r="O3102" i="138" s="1"/>
  <c r="N3037" i="138"/>
  <c r="O3037" i="138" s="1"/>
  <c r="N777" i="138"/>
  <c r="M777" i="138"/>
  <c r="N3089" i="138"/>
  <c r="O3089" i="138" s="1"/>
  <c r="N3082" i="138"/>
  <c r="O3082" i="138" s="1"/>
  <c r="N3052" i="138"/>
  <c r="M4116" i="138"/>
  <c r="M4112" i="138"/>
  <c r="O4112" i="138" s="1"/>
  <c r="M4088" i="138"/>
  <c r="M4084" i="138"/>
  <c r="M4080" i="138"/>
  <c r="M4064" i="138"/>
  <c r="O4064" i="138" s="1"/>
  <c r="M4060" i="138"/>
  <c r="M4056" i="138"/>
  <c r="M4052" i="138"/>
  <c r="O4052" i="138" s="1"/>
  <c r="M4036" i="138"/>
  <c r="O4036" i="138" s="1"/>
  <c r="M4032" i="138"/>
  <c r="M4028" i="138"/>
  <c r="O4028" i="138" s="1"/>
  <c r="M4024" i="138"/>
  <c r="O4024" i="138" s="1"/>
  <c r="M4000" i="138"/>
  <c r="M3996" i="138"/>
  <c r="O3996" i="138" s="1"/>
  <c r="M3980" i="138"/>
  <c r="O3980" i="138" s="1"/>
  <c r="M3976" i="138"/>
  <c r="O3976" i="138" s="1"/>
  <c r="M3964" i="138"/>
  <c r="M3960" i="138"/>
  <c r="O3960" i="138" s="1"/>
  <c r="M3948" i="138"/>
  <c r="M3944" i="138"/>
  <c r="O3944" i="138" s="1"/>
  <c r="M3928" i="138"/>
  <c r="O3928" i="138" s="1"/>
  <c r="M3924" i="138"/>
  <c r="O3924" i="138" s="1"/>
  <c r="M3920" i="138"/>
  <c r="M3916" i="138"/>
  <c r="O3916" i="138" s="1"/>
  <c r="M3912" i="138"/>
  <c r="O3912" i="138" s="1"/>
  <c r="M3908" i="138"/>
  <c r="O3908" i="138" s="1"/>
  <c r="M3904" i="138"/>
  <c r="O3904" i="138" s="1"/>
  <c r="M3900" i="138"/>
  <c r="O3900" i="138" s="1"/>
  <c r="M3896" i="138"/>
  <c r="O3896" i="138" s="1"/>
  <c r="M3892" i="138"/>
  <c r="M3888" i="138"/>
  <c r="M3884" i="138"/>
  <c r="O3884" i="138" s="1"/>
  <c r="M3880" i="138"/>
  <c r="M3876" i="138"/>
  <c r="O3876" i="138" s="1"/>
  <c r="M3872" i="138"/>
  <c r="O3872" i="138" s="1"/>
  <c r="M3868" i="138"/>
  <c r="M3864" i="138"/>
  <c r="O3864" i="138" s="1"/>
  <c r="M3860" i="138"/>
  <c r="O3860" i="138" s="1"/>
  <c r="M3856" i="138"/>
  <c r="O3856" i="138" s="1"/>
  <c r="M3852" i="138"/>
  <c r="M3848" i="138"/>
  <c r="O3848" i="138" s="1"/>
  <c r="M3844" i="138"/>
  <c r="O3844" i="138" s="1"/>
  <c r="M3840" i="138"/>
  <c r="O3840" i="138" s="1"/>
  <c r="M3836" i="138"/>
  <c r="O3836" i="138" s="1"/>
  <c r="M3832" i="138"/>
  <c r="M3828" i="138"/>
  <c r="O3828" i="138" s="1"/>
  <c r="M3824" i="138"/>
  <c r="M3820" i="138"/>
  <c r="O3820" i="138" s="1"/>
  <c r="M3816" i="138"/>
  <c r="O3816" i="138" s="1"/>
  <c r="M3812" i="138"/>
  <c r="O3812" i="138" s="1"/>
  <c r="M3808" i="138"/>
  <c r="M3804" i="138"/>
  <c r="O3804" i="138" s="1"/>
  <c r="M3800" i="138"/>
  <c r="O3800" i="138" s="1"/>
  <c r="M3796" i="138"/>
  <c r="M3792" i="138"/>
  <c r="M3788" i="138"/>
  <c r="O3788" i="138" s="1"/>
  <c r="M3784" i="138"/>
  <c r="O3784" i="138" s="1"/>
  <c r="M3780" i="138"/>
  <c r="O3780" i="138" s="1"/>
  <c r="M3776" i="138"/>
  <c r="O3776" i="138" s="1"/>
  <c r="M3772" i="138"/>
  <c r="O3772" i="138" s="1"/>
  <c r="M3768" i="138"/>
  <c r="O3768" i="138" s="1"/>
  <c r="M3764" i="138"/>
  <c r="M3760" i="138"/>
  <c r="M3756" i="138"/>
  <c r="O3756" i="138" s="1"/>
  <c r="M3752" i="138"/>
  <c r="O3752" i="138" s="1"/>
  <c r="M3748" i="138"/>
  <c r="O3748" i="138" s="1"/>
  <c r="M3744" i="138"/>
  <c r="O3744" i="138" s="1"/>
  <c r="M3740" i="138"/>
  <c r="O3740" i="138" s="1"/>
  <c r="M3736" i="138"/>
  <c r="M3732" i="138"/>
  <c r="O3732" i="138" s="1"/>
  <c r="M3728" i="138"/>
  <c r="O3728" i="138" s="1"/>
  <c r="M3724" i="138"/>
  <c r="O3724" i="138" s="1"/>
  <c r="M3720" i="138"/>
  <c r="O3720" i="138" s="1"/>
  <c r="M3716" i="138"/>
  <c r="M3712" i="138"/>
  <c r="O3712" i="138" s="1"/>
  <c r="M3708" i="138"/>
  <c r="O3708" i="138" s="1"/>
  <c r="M3704" i="138"/>
  <c r="O3704" i="138" s="1"/>
  <c r="M3700" i="138"/>
  <c r="O3700" i="138" s="1"/>
  <c r="M3696" i="138"/>
  <c r="O3696" i="138" s="1"/>
  <c r="M3692" i="138"/>
  <c r="O3692" i="138" s="1"/>
  <c r="M3688" i="138"/>
  <c r="O3688" i="138" s="1"/>
  <c r="M3684" i="138"/>
  <c r="O3684" i="138" s="1"/>
  <c r="M3680" i="138"/>
  <c r="O3680" i="138" s="1"/>
  <c r="M3676" i="138"/>
  <c r="O3676" i="138" s="1"/>
  <c r="M3672" i="138"/>
  <c r="O3672" i="138" s="1"/>
  <c r="M3668" i="138"/>
  <c r="O3668" i="138" s="1"/>
  <c r="M3664" i="138"/>
  <c r="O3664" i="138" s="1"/>
  <c r="M3660" i="138"/>
  <c r="M3656" i="138"/>
  <c r="O3656" i="138" s="1"/>
  <c r="M3652" i="138"/>
  <c r="O3652" i="138" s="1"/>
  <c r="M3648" i="138"/>
  <c r="O3648" i="138" s="1"/>
  <c r="M3644" i="138"/>
  <c r="O3644" i="138" s="1"/>
  <c r="M3640" i="138"/>
  <c r="M3636" i="138"/>
  <c r="O3636" i="138" s="1"/>
  <c r="M3632" i="138"/>
  <c r="O3632" i="138" s="1"/>
  <c r="M3628" i="138"/>
  <c r="O3628" i="138" s="1"/>
  <c r="M3624" i="138"/>
  <c r="O3624" i="138" s="1"/>
  <c r="M3620" i="138"/>
  <c r="O3620" i="138" s="1"/>
  <c r="M3616" i="138"/>
  <c r="O3616" i="138" s="1"/>
  <c r="M3612" i="138"/>
  <c r="O3612" i="138" s="1"/>
  <c r="M3608" i="138"/>
  <c r="M3604" i="138"/>
  <c r="M3600" i="138"/>
  <c r="M3596" i="138"/>
  <c r="O3596" i="138" s="1"/>
  <c r="M3592" i="138"/>
  <c r="O3592" i="138" s="1"/>
  <c r="M3588" i="138"/>
  <c r="O3588" i="138" s="1"/>
  <c r="M3584" i="138"/>
  <c r="O3584" i="138" s="1"/>
  <c r="M3580" i="138"/>
  <c r="O3580" i="138" s="1"/>
  <c r="M3576" i="138"/>
  <c r="M3572" i="138"/>
  <c r="M3568" i="138"/>
  <c r="O3568" i="138" s="1"/>
  <c r="M3564" i="138"/>
  <c r="O3564" i="138" s="1"/>
  <c r="M3560" i="138"/>
  <c r="O3560" i="138" s="1"/>
  <c r="M3556" i="138"/>
  <c r="M3552" i="138"/>
  <c r="O3552" i="138" s="1"/>
  <c r="M3548" i="138"/>
  <c r="O3548" i="138" s="1"/>
  <c r="M3544" i="138"/>
  <c r="M3540" i="138"/>
  <c r="O3540" i="138" s="1"/>
  <c r="M3536" i="138"/>
  <c r="O3536" i="138" s="1"/>
  <c r="M3532" i="138"/>
  <c r="M3528" i="138"/>
  <c r="M3524" i="138"/>
  <c r="O3524" i="138" s="1"/>
  <c r="M3520" i="138"/>
  <c r="O3520" i="138" s="1"/>
  <c r="M3516" i="138"/>
  <c r="O3516" i="138" s="1"/>
  <c r="M3512" i="138"/>
  <c r="M3508" i="138"/>
  <c r="O3508" i="138" s="1"/>
  <c r="M3504" i="138"/>
  <c r="M3500" i="138"/>
  <c r="O3500" i="138" s="1"/>
  <c r="M3496" i="138"/>
  <c r="M3492" i="138"/>
  <c r="O3492" i="138" s="1"/>
  <c r="M3488" i="138"/>
  <c r="O3488" i="138" s="1"/>
  <c r="M3484" i="138"/>
  <c r="M3480" i="138"/>
  <c r="O3480" i="138" s="1"/>
  <c r="M3476" i="138"/>
  <c r="O3476" i="138" s="1"/>
  <c r="M3472" i="138"/>
  <c r="O3472" i="138" s="1"/>
  <c r="M3468" i="138"/>
  <c r="O3468" i="138" s="1"/>
  <c r="M3464" i="138"/>
  <c r="M3460" i="138"/>
  <c r="O3460" i="138" s="1"/>
  <c r="M3456" i="138"/>
  <c r="M3452" i="138"/>
  <c r="M3448" i="138"/>
  <c r="M3444" i="138"/>
  <c r="O3444" i="138" s="1"/>
  <c r="M3440" i="138"/>
  <c r="O3440" i="138" s="1"/>
  <c r="M3436" i="138"/>
  <c r="O3436" i="138" s="1"/>
  <c r="M3432" i="138"/>
  <c r="M3428" i="138"/>
  <c r="M3424" i="138"/>
  <c r="O3424" i="138" s="1"/>
  <c r="M3420" i="138"/>
  <c r="M3416" i="138"/>
  <c r="M3412" i="138"/>
  <c r="O3412" i="138" s="1"/>
  <c r="M3408" i="138"/>
  <c r="O3408" i="138" s="1"/>
  <c r="M3404" i="138"/>
  <c r="O3404" i="138" s="1"/>
  <c r="M3400" i="138"/>
  <c r="O3400" i="138" s="1"/>
  <c r="M3396" i="138"/>
  <c r="O3396" i="138" s="1"/>
  <c r="M3392" i="138"/>
  <c r="O3392" i="138" s="1"/>
  <c r="M3388" i="138"/>
  <c r="M3384" i="138"/>
  <c r="O3384" i="138" s="1"/>
  <c r="M3380" i="138"/>
  <c r="M3376" i="138"/>
  <c r="O3376" i="138" s="1"/>
  <c r="M3372" i="138"/>
  <c r="O3372" i="138" s="1"/>
  <c r="M3368" i="138"/>
  <c r="M3364" i="138"/>
  <c r="O3364" i="138" s="1"/>
  <c r="M3360" i="138"/>
  <c r="O3360" i="138" s="1"/>
  <c r="M3356" i="138"/>
  <c r="O3356" i="138" s="1"/>
  <c r="M3352" i="138"/>
  <c r="M3348" i="138"/>
  <c r="O3348" i="138" s="1"/>
  <c r="M3344" i="138"/>
  <c r="O3344" i="138" s="1"/>
  <c r="M3340" i="138"/>
  <c r="M3336" i="138"/>
  <c r="M3332" i="138"/>
  <c r="M3328" i="138"/>
  <c r="O3328" i="138" s="1"/>
  <c r="M3324" i="138"/>
  <c r="O3324" i="138" s="1"/>
  <c r="M3320" i="138"/>
  <c r="M3316" i="138"/>
  <c r="O3316" i="138" s="1"/>
  <c r="M3312" i="138"/>
  <c r="O3312" i="138" s="1"/>
  <c r="M3308" i="138"/>
  <c r="O3308" i="138" s="1"/>
  <c r="M3304" i="138"/>
  <c r="O3304" i="138" s="1"/>
  <c r="M3300" i="138"/>
  <c r="O3300" i="138" s="1"/>
  <c r="M3296" i="138"/>
  <c r="O3296" i="138" s="1"/>
  <c r="M3292" i="138"/>
  <c r="O3292" i="138" s="1"/>
  <c r="M3288" i="138"/>
  <c r="O3288" i="138" s="1"/>
  <c r="M3284" i="138"/>
  <c r="M3280" i="138"/>
  <c r="O3280" i="138" s="1"/>
  <c r="M3276" i="138"/>
  <c r="O3276" i="138" s="1"/>
  <c r="M3272" i="138"/>
  <c r="O3272" i="138" s="1"/>
  <c r="M3268" i="138"/>
  <c r="O3268" i="138" s="1"/>
  <c r="M3264" i="138"/>
  <c r="O3264" i="138" s="1"/>
  <c r="M3260" i="138"/>
  <c r="M3256" i="138"/>
  <c r="O3256" i="138" s="1"/>
  <c r="M3252" i="138"/>
  <c r="O3252" i="138" s="1"/>
  <c r="M3248" i="138"/>
  <c r="O3248" i="138" s="1"/>
  <c r="M3244" i="138"/>
  <c r="O3244" i="138" s="1"/>
  <c r="M3240" i="138"/>
  <c r="O3240" i="138" s="1"/>
  <c r="M3236" i="138"/>
  <c r="M3232" i="138"/>
  <c r="M3228" i="138"/>
  <c r="M3224" i="138"/>
  <c r="O3224" i="138" s="1"/>
  <c r="M3220" i="138"/>
  <c r="O3220" i="138" s="1"/>
  <c r="M3216" i="138"/>
  <c r="O3216" i="138" s="1"/>
  <c r="M3212" i="138"/>
  <c r="O3212" i="138" s="1"/>
  <c r="M3208" i="138"/>
  <c r="M3204" i="138"/>
  <c r="O3204" i="138" s="1"/>
  <c r="M3200" i="138"/>
  <c r="O3200" i="138" s="1"/>
  <c r="M3196" i="138"/>
  <c r="M3192" i="138"/>
  <c r="M3188" i="138"/>
  <c r="M3184" i="138"/>
  <c r="O3184" i="138" s="1"/>
  <c r="M3180" i="138"/>
  <c r="O3180" i="138" s="1"/>
  <c r="M3176" i="138"/>
  <c r="O3176" i="138" s="1"/>
  <c r="M3172" i="138"/>
  <c r="M3168" i="138"/>
  <c r="O3168" i="138" s="1"/>
  <c r="M3164" i="138"/>
  <c r="O3164" i="138" s="1"/>
  <c r="M3160" i="138"/>
  <c r="O3160" i="138" s="1"/>
  <c r="M3156" i="138"/>
  <c r="O3156" i="138" s="1"/>
  <c r="M3152" i="138"/>
  <c r="M3148" i="138"/>
  <c r="O3148" i="138" s="1"/>
  <c r="M3144" i="138"/>
  <c r="M3140" i="138"/>
  <c r="O3140" i="138" s="1"/>
  <c r="M3136" i="138"/>
  <c r="M3132" i="138"/>
  <c r="M3128" i="138"/>
  <c r="O3128" i="138" s="1"/>
  <c r="M3120" i="138"/>
  <c r="M3116" i="138"/>
  <c r="M3096" i="138"/>
  <c r="M3084" i="138"/>
  <c r="O3084" i="138" s="1"/>
  <c r="M3076" i="138"/>
  <c r="O3076" i="138" s="1"/>
  <c r="M3072" i="138"/>
  <c r="M3064" i="138"/>
  <c r="O3064" i="138" s="1"/>
  <c r="M3060" i="138"/>
  <c r="M3052" i="138"/>
  <c r="M3036" i="138"/>
  <c r="M2920" i="138"/>
  <c r="O2920" i="138" s="1"/>
  <c r="M2916" i="138"/>
  <c r="O2916" i="138" s="1"/>
  <c r="M2912" i="138"/>
  <c r="O2912" i="138" s="1"/>
  <c r="M2876" i="138"/>
  <c r="D6" i="137"/>
  <c r="O3496" i="138" l="1"/>
  <c r="O3544" i="138"/>
  <c r="O3237" i="138"/>
  <c r="O3433" i="138"/>
  <c r="O234" i="138"/>
  <c r="O237" i="138"/>
  <c r="O294" i="138"/>
  <c r="O3174" i="138"/>
  <c r="O3386" i="138"/>
  <c r="O727" i="138"/>
  <c r="O1544" i="138"/>
  <c r="O295" i="138"/>
  <c r="O511" i="138"/>
  <c r="O1698" i="138"/>
  <c r="O729" i="138"/>
  <c r="O1676" i="138"/>
  <c r="O1683" i="138"/>
  <c r="O1344" i="138"/>
  <c r="O728" i="138"/>
  <c r="O259" i="138"/>
  <c r="O272" i="138"/>
  <c r="O779" i="138"/>
  <c r="O862" i="138"/>
  <c r="O1455" i="138"/>
  <c r="O434" i="138"/>
  <c r="O521" i="138"/>
  <c r="O525" i="138"/>
  <c r="O470" i="138"/>
  <c r="O1593" i="138"/>
  <c r="O3851" i="138"/>
  <c r="O3888" i="138"/>
  <c r="O4056" i="138"/>
  <c r="O405" i="138"/>
  <c r="O222" i="138"/>
  <c r="O1374" i="138"/>
  <c r="O3222" i="138"/>
  <c r="O554" i="138"/>
  <c r="O1334" i="138"/>
  <c r="O1659" i="138"/>
  <c r="O1513" i="138"/>
  <c r="O2876" i="138"/>
  <c r="O3456" i="138"/>
  <c r="O3948" i="138"/>
  <c r="O3406" i="138"/>
  <c r="O489" i="138"/>
  <c r="O1536" i="138"/>
  <c r="O824" i="138"/>
  <c r="O3197" i="138"/>
  <c r="O3249" i="138"/>
  <c r="O3541" i="138"/>
  <c r="O3142" i="138"/>
  <c r="O3322" i="138"/>
  <c r="O1428" i="138"/>
  <c r="O1466" i="138"/>
  <c r="O1486" i="138"/>
  <c r="O3774" i="138"/>
  <c r="O3854" i="138"/>
  <c r="O1350" i="138"/>
  <c r="O1373" i="138"/>
  <c r="O1379" i="138"/>
  <c r="O158" i="138"/>
  <c r="O1437" i="138"/>
  <c r="O1442" i="138"/>
  <c r="O1421" i="138"/>
  <c r="O1468" i="138"/>
  <c r="O1740" i="138"/>
  <c r="O704" i="138"/>
  <c r="O1675" i="138"/>
  <c r="O695" i="138"/>
  <c r="O520" i="138"/>
  <c r="O608" i="138"/>
  <c r="O246" i="138"/>
  <c r="O3855" i="138"/>
  <c r="O1416" i="138"/>
  <c r="O468" i="138"/>
  <c r="O3910" i="138"/>
  <c r="O3262" i="138"/>
  <c r="O3073" i="138"/>
  <c r="O3641" i="138"/>
  <c r="O4080" i="138"/>
  <c r="O266" i="138"/>
  <c r="O3405" i="138"/>
  <c r="O3857" i="138"/>
  <c r="O3997" i="138"/>
  <c r="O508" i="138"/>
  <c r="O3122" i="138"/>
  <c r="O3266" i="138"/>
  <c r="O3566" i="138"/>
  <c r="O284" i="138"/>
  <c r="O1540" i="138"/>
  <c r="O1604" i="138"/>
  <c r="O247" i="138"/>
  <c r="O3295" i="138"/>
  <c r="O3471" i="138"/>
  <c r="O1614" i="138"/>
  <c r="O1679" i="138"/>
  <c r="O1446" i="138"/>
  <c r="O735" i="138"/>
  <c r="O707" i="138"/>
  <c r="O3837" i="138"/>
  <c r="O3546" i="138"/>
  <c r="O3600" i="138"/>
  <c r="O3792" i="138"/>
  <c r="O3464" i="138"/>
  <c r="O3545" i="138"/>
  <c r="O3036" i="138"/>
  <c r="O3760" i="138"/>
  <c r="O4084" i="138"/>
  <c r="O1485" i="138"/>
  <c r="O4057" i="138"/>
  <c r="O3157" i="138"/>
  <c r="O3361" i="138"/>
  <c r="O3457" i="138"/>
  <c r="O3553" i="138"/>
  <c r="O196" i="138"/>
  <c r="O1482" i="138"/>
  <c r="O1496" i="138"/>
  <c r="O1506" i="138"/>
  <c r="O1388" i="138"/>
  <c r="O381" i="138"/>
  <c r="O3130" i="138"/>
  <c r="O3878" i="138"/>
  <c r="O1357" i="138"/>
  <c r="O165" i="138"/>
  <c r="O1527" i="138"/>
  <c r="O377" i="138"/>
  <c r="O4055" i="138"/>
  <c r="O412" i="138"/>
  <c r="O756" i="138"/>
  <c r="O3035" i="138"/>
  <c r="O607" i="138"/>
  <c r="O597" i="138"/>
  <c r="O1629" i="138"/>
  <c r="O615" i="138"/>
  <c r="O3284" i="138"/>
  <c r="O3265" i="138"/>
  <c r="O3461" i="138"/>
  <c r="O3557" i="138"/>
  <c r="O3809" i="138"/>
  <c r="O3327" i="138"/>
  <c r="O3503" i="138"/>
  <c r="O3380" i="138"/>
  <c r="O3572" i="138"/>
  <c r="O3853" i="138"/>
  <c r="O3317" i="138"/>
  <c r="O3701" i="138"/>
  <c r="O3917" i="138"/>
  <c r="O3060" i="138"/>
  <c r="O3192" i="138"/>
  <c r="O3336" i="138"/>
  <c r="O3432" i="138"/>
  <c r="O1715" i="138"/>
  <c r="O1668" i="138"/>
  <c r="O3321" i="138"/>
  <c r="O3705" i="138"/>
  <c r="O4029" i="138"/>
  <c r="O1387" i="138"/>
  <c r="O1400" i="138"/>
  <c r="O1483" i="138"/>
  <c r="O518" i="138"/>
  <c r="O177" i="138"/>
  <c r="O1596" i="138"/>
  <c r="O1592" i="138"/>
  <c r="O574" i="138"/>
  <c r="O3294" i="138"/>
  <c r="O3366" i="138"/>
  <c r="O3582" i="138"/>
  <c r="O552" i="138"/>
  <c r="O1440" i="138"/>
  <c r="O1716" i="138"/>
  <c r="O718" i="138"/>
  <c r="O1764" i="138"/>
  <c r="O690" i="138"/>
  <c r="O1469" i="138"/>
  <c r="O753" i="138"/>
  <c r="O1612" i="138"/>
  <c r="O46" i="138"/>
  <c r="O491" i="138"/>
  <c r="O1636" i="138"/>
  <c r="O524" i="138"/>
  <c r="O1355" i="138"/>
  <c r="O1342" i="138"/>
  <c r="O1763" i="138"/>
  <c r="O3579" i="138"/>
  <c r="O1308" i="138"/>
  <c r="O1611" i="138"/>
  <c r="O1627" i="138"/>
  <c r="O1714" i="138"/>
  <c r="O694" i="138"/>
  <c r="O702" i="138"/>
  <c r="O1656" i="138"/>
  <c r="O3388" i="138"/>
  <c r="O3370" i="138"/>
  <c r="O3518" i="138"/>
  <c r="O3586" i="138"/>
  <c r="O3139" i="138"/>
  <c r="O3133" i="138"/>
  <c r="O3868" i="138"/>
  <c r="O3373" i="138"/>
  <c r="O3469" i="138"/>
  <c r="O3661" i="138"/>
  <c r="O4033" i="138"/>
  <c r="O3716" i="138"/>
  <c r="O3377" i="138"/>
  <c r="O3665" i="138"/>
  <c r="O293" i="138"/>
  <c r="O1352" i="138"/>
  <c r="O749" i="138"/>
  <c r="O3391" i="138"/>
  <c r="O1501" i="138"/>
  <c r="O1622" i="138"/>
  <c r="O289" i="138"/>
  <c r="O725" i="138"/>
  <c r="O679" i="138"/>
  <c r="O3158" i="138"/>
  <c r="O3682" i="138"/>
  <c r="O3746" i="138"/>
  <c r="O1377" i="138"/>
  <c r="O568" i="138"/>
  <c r="O1424" i="138"/>
  <c r="O376" i="138"/>
  <c r="O1472" i="138"/>
  <c r="O1520" i="138"/>
  <c r="O1553" i="138"/>
  <c r="O1413" i="138"/>
  <c r="O867" i="138"/>
  <c r="O804" i="138"/>
  <c r="O430" i="138"/>
  <c r="O847" i="138"/>
  <c r="O1325" i="138"/>
  <c r="O1624" i="138"/>
  <c r="O786" i="138"/>
  <c r="O555" i="138"/>
  <c r="O1655" i="138"/>
  <c r="O4115" i="138"/>
  <c r="O3607" i="138"/>
  <c r="O3208" i="138"/>
  <c r="O3352" i="138"/>
  <c r="O3448" i="138"/>
  <c r="O3736" i="138"/>
  <c r="O3832" i="138"/>
  <c r="O1451" i="138"/>
  <c r="O1545" i="138"/>
  <c r="O3165" i="138"/>
  <c r="O3369" i="138"/>
  <c r="O3813" i="138"/>
  <c r="O3921" i="138"/>
  <c r="O1365" i="138"/>
  <c r="O282" i="138"/>
  <c r="O861" i="138"/>
  <c r="O230" i="138"/>
  <c r="O717" i="138"/>
  <c r="O594" i="138"/>
  <c r="O1532" i="138"/>
  <c r="O286" i="138"/>
  <c r="O1569" i="138"/>
  <c r="O245" i="138"/>
  <c r="O849" i="138"/>
  <c r="O784" i="138"/>
  <c r="O708" i="138"/>
  <c r="O1617" i="138"/>
  <c r="O1615" i="138"/>
  <c r="O413" i="138"/>
  <c r="O1443" i="138"/>
  <c r="O77" i="138"/>
  <c r="O410" i="138"/>
  <c r="O1625" i="138"/>
  <c r="O3698" i="138"/>
  <c r="O3830" i="138"/>
  <c r="O4086" i="138"/>
  <c r="O332" i="138"/>
  <c r="O1762" i="138"/>
  <c r="O715" i="138"/>
  <c r="O1386" i="138"/>
  <c r="O1488" i="138"/>
  <c r="O200" i="138"/>
  <c r="O1548" i="138"/>
  <c r="O1613" i="138"/>
  <c r="O1642" i="138"/>
  <c r="O35" i="138"/>
  <c r="O1393" i="138"/>
  <c r="O199" i="138"/>
  <c r="O514" i="138"/>
  <c r="O42" i="138"/>
  <c r="O1537" i="138"/>
  <c r="O542" i="138"/>
  <c r="O1839" i="138"/>
  <c r="O1359" i="138"/>
  <c r="O1351" i="138"/>
  <c r="O155" i="138"/>
  <c r="O163" i="138"/>
  <c r="O698" i="138"/>
  <c r="O145" i="138"/>
  <c r="O523" i="138"/>
  <c r="O1464" i="138"/>
  <c r="O1538" i="138"/>
  <c r="O600" i="138"/>
  <c r="O3923" i="138"/>
  <c r="O4063" i="138"/>
  <c r="O3741" i="138"/>
  <c r="O3242" i="138"/>
  <c r="O3617" i="138"/>
  <c r="O3479" i="138"/>
  <c r="O1490" i="138"/>
  <c r="O1646" i="138"/>
  <c r="O3120" i="138"/>
  <c r="O3172" i="138"/>
  <c r="O3556" i="138"/>
  <c r="O3604" i="138"/>
  <c r="O3796" i="138"/>
  <c r="O3892" i="138"/>
  <c r="O4060" i="138"/>
  <c r="O1702" i="138"/>
  <c r="O3769" i="138"/>
  <c r="O3829" i="138"/>
  <c r="O1403" i="138"/>
  <c r="O432" i="138"/>
  <c r="O1522" i="138"/>
  <c r="O244" i="138"/>
  <c r="O569" i="138"/>
  <c r="O1607" i="138"/>
  <c r="O3342" i="138"/>
  <c r="O3494" i="138"/>
  <c r="O3562" i="138"/>
  <c r="O3778" i="138"/>
  <c r="O1558" i="138"/>
  <c r="O1704" i="138"/>
  <c r="O750" i="138"/>
  <c r="O3331" i="138"/>
  <c r="O1598" i="138"/>
  <c r="O697" i="138"/>
  <c r="O3281" i="138"/>
  <c r="O3368" i="138"/>
  <c r="O3512" i="138"/>
  <c r="O3608" i="138"/>
  <c r="O3964" i="138"/>
  <c r="O3041" i="138"/>
  <c r="O3385" i="138"/>
  <c r="O3481" i="138"/>
  <c r="O3721" i="138"/>
  <c r="O3833" i="138"/>
  <c r="O592" i="138"/>
  <c r="O242" i="138"/>
  <c r="O1550" i="138"/>
  <c r="O559" i="138"/>
  <c r="O3950" i="138"/>
  <c r="O3885" i="138"/>
  <c r="O1367" i="138"/>
  <c r="O537" i="138"/>
  <c r="O3782" i="138"/>
  <c r="O3870" i="138"/>
  <c r="O4002" i="138"/>
  <c r="O673" i="138"/>
  <c r="O429" i="138"/>
  <c r="O1401" i="138"/>
  <c r="O510" i="138"/>
  <c r="O1498" i="138"/>
  <c r="O1568" i="138"/>
  <c r="O1582" i="138"/>
  <c r="O164" i="138"/>
  <c r="O3151" i="138"/>
  <c r="O1570" i="138"/>
  <c r="O3504" i="138"/>
  <c r="O3323" i="138"/>
  <c r="O3521" i="138"/>
  <c r="O449" i="138"/>
  <c r="O3334" i="138"/>
  <c r="O4083" i="138"/>
  <c r="O3320" i="138"/>
  <c r="O3132" i="138"/>
  <c r="O3420" i="138"/>
  <c r="O3852" i="138"/>
  <c r="O3049" i="138"/>
  <c r="O3189" i="138"/>
  <c r="O3110" i="138"/>
  <c r="O1414" i="138"/>
  <c r="O1737" i="138"/>
  <c r="O81" i="138"/>
  <c r="O1602" i="138"/>
  <c r="O737" i="138"/>
  <c r="O1651" i="138"/>
  <c r="O235" i="138"/>
  <c r="O1503" i="138"/>
  <c r="O288" i="138"/>
  <c r="O454" i="138"/>
  <c r="O3274" i="138"/>
  <c r="O3354" i="138"/>
  <c r="O3426" i="138"/>
  <c r="O3666" i="138"/>
  <c r="O3790" i="138"/>
  <c r="O292" i="138"/>
  <c r="O609" i="138"/>
  <c r="O1429" i="138"/>
  <c r="O1535" i="138"/>
  <c r="O1554" i="138"/>
  <c r="O142" i="138"/>
  <c r="O291" i="138"/>
  <c r="O228" i="138"/>
  <c r="O692" i="138"/>
  <c r="O1583" i="138"/>
  <c r="O703" i="138"/>
  <c r="O203" i="138"/>
  <c r="O1378" i="138"/>
  <c r="O820" i="138"/>
  <c r="O1433" i="138"/>
  <c r="O1528" i="138"/>
  <c r="O47" i="138"/>
  <c r="O1311" i="138"/>
  <c r="O1521" i="138"/>
  <c r="O1587" i="138"/>
  <c r="O3517" i="138"/>
  <c r="O3338" i="138"/>
  <c r="O3138" i="138"/>
  <c r="O3278" i="138"/>
  <c r="O4034" i="138"/>
  <c r="O3619" i="138"/>
  <c r="O3195" i="138"/>
  <c r="O3170" i="138"/>
  <c r="O3332" i="138"/>
  <c r="O3764" i="138"/>
  <c r="O4088" i="138"/>
  <c r="O3141" i="138"/>
  <c r="O3397" i="138"/>
  <c r="O3493" i="138"/>
  <c r="O3589" i="138"/>
  <c r="O3785" i="138"/>
  <c r="O3977" i="138"/>
  <c r="O4085" i="138"/>
  <c r="O714" i="138"/>
  <c r="O3381" i="138"/>
  <c r="O3407" i="138"/>
  <c r="O231" i="138"/>
  <c r="O610" i="138"/>
  <c r="O1463" i="138"/>
  <c r="O1738" i="138"/>
  <c r="O1541" i="138"/>
  <c r="O80" i="138"/>
  <c r="O411" i="138"/>
  <c r="O3779" i="138"/>
  <c r="O1654" i="138"/>
  <c r="O3871" i="138"/>
  <c r="O3146" i="138"/>
  <c r="O3218" i="138"/>
  <c r="O3514" i="138"/>
  <c r="O3802" i="138"/>
  <c r="O4038" i="138"/>
  <c r="O69" i="138"/>
  <c r="O814" i="138"/>
  <c r="O519" i="138"/>
  <c r="O143" i="138"/>
  <c r="O1581" i="138"/>
  <c r="O1650" i="138"/>
  <c r="O175" i="138"/>
  <c r="O3766" i="138"/>
  <c r="O1621" i="138"/>
  <c r="O2921" i="138"/>
  <c r="O453" i="138"/>
  <c r="O845" i="138"/>
  <c r="O3883" i="138"/>
  <c r="O3893" i="138"/>
  <c r="O3144" i="138"/>
  <c r="O4000" i="138"/>
  <c r="O1652" i="138"/>
  <c r="O3305" i="138"/>
  <c r="O3497" i="138"/>
  <c r="O3593" i="138"/>
  <c r="O3689" i="138"/>
  <c r="O3849" i="138"/>
  <c r="O3901" i="138"/>
  <c r="O3981" i="138"/>
  <c r="O4089" i="138"/>
  <c r="O1649" i="138"/>
  <c r="O3773" i="138"/>
  <c r="O437" i="138"/>
  <c r="O613" i="138"/>
  <c r="O490" i="138"/>
  <c r="O49" i="138"/>
  <c r="O3458" i="138"/>
  <c r="O1696" i="138"/>
  <c r="O716" i="138"/>
  <c r="O1619" i="138"/>
  <c r="O1489" i="138"/>
  <c r="O3263" i="138"/>
  <c r="O3803" i="138"/>
  <c r="O1640" i="138"/>
  <c r="O782" i="138"/>
  <c r="O170" i="138"/>
  <c r="O3611" i="138"/>
  <c r="O201" i="138"/>
  <c r="O3841" i="138"/>
  <c r="O4081" i="138"/>
  <c r="O3196" i="138"/>
  <c r="O3484" i="138"/>
  <c r="O4116" i="138"/>
  <c r="O162" i="138"/>
  <c r="O1584" i="138"/>
  <c r="O3205" i="138"/>
  <c r="O3257" i="138"/>
  <c r="O3309" i="138"/>
  <c r="O3597" i="138"/>
  <c r="O3693" i="138"/>
  <c r="O1425" i="138"/>
  <c r="O169" i="138"/>
  <c r="O570" i="138"/>
  <c r="O263" i="138"/>
  <c r="O1512" i="138"/>
  <c r="O44" i="138"/>
  <c r="O1586" i="138"/>
  <c r="O1589" i="138"/>
  <c r="O805" i="138"/>
  <c r="O781" i="138"/>
  <c r="O4054" i="138"/>
  <c r="O535" i="138"/>
  <c r="O3191" i="138"/>
  <c r="O878" i="138"/>
  <c r="O1420" i="138"/>
  <c r="O262" i="138"/>
  <c r="O1564" i="138"/>
  <c r="O1470" i="138"/>
  <c r="O3767" i="138"/>
  <c r="O1635" i="138"/>
  <c r="O1665" i="138"/>
  <c r="O1827" i="138"/>
  <c r="O536" i="138"/>
  <c r="O330" i="138"/>
  <c r="O1477" i="138"/>
  <c r="O3824" i="138"/>
  <c r="O3920" i="138"/>
  <c r="O3152" i="138"/>
  <c r="O36" i="138"/>
  <c r="O1436" i="138"/>
  <c r="O3085" i="138"/>
  <c r="O3409" i="138"/>
  <c r="O3697" i="138"/>
  <c r="O3805" i="138"/>
  <c r="O233" i="138"/>
  <c r="O1484" i="138"/>
  <c r="O3455" i="138"/>
  <c r="O1567" i="138"/>
  <c r="O469" i="138"/>
  <c r="O1579" i="138"/>
  <c r="O1585" i="138"/>
  <c r="O61" i="138"/>
  <c r="O224" i="138"/>
  <c r="O4087" i="138"/>
  <c r="O3618" i="138"/>
  <c r="O4058" i="138"/>
  <c r="O409" i="138"/>
  <c r="O1445" i="138"/>
  <c r="O1419" i="138"/>
  <c r="O1444" i="138"/>
  <c r="O1497" i="138"/>
  <c r="O1508" i="138"/>
  <c r="O435" i="138"/>
  <c r="O1376" i="138"/>
  <c r="O509" i="138"/>
  <c r="O345" i="138"/>
  <c r="O1406" i="138"/>
  <c r="O447" i="138"/>
  <c r="O593" i="138"/>
  <c r="O3879" i="138"/>
  <c r="O1348" i="138"/>
  <c r="O173" i="138"/>
  <c r="O1580" i="138"/>
  <c r="O1385" i="138"/>
  <c r="O76" i="138"/>
  <c r="O1574" i="138"/>
  <c r="O1578" i="138"/>
  <c r="O1720" i="138"/>
  <c r="O3096" i="138"/>
  <c r="O3260" i="138"/>
  <c r="O3452" i="138"/>
  <c r="O799" i="138"/>
  <c r="O3453" i="138"/>
  <c r="O3501" i="138"/>
  <c r="O3549" i="138"/>
  <c r="O3905" i="138"/>
  <c r="O4097" i="138"/>
  <c r="O1734" i="138"/>
  <c r="O2913" i="138"/>
  <c r="O700" i="138"/>
  <c r="O1597" i="138"/>
  <c r="O1639" i="138"/>
  <c r="O450" i="138"/>
  <c r="O1481" i="138"/>
  <c r="O378" i="138"/>
  <c r="O3587" i="138"/>
  <c r="O3719" i="138"/>
  <c r="O168" i="138"/>
  <c r="O467" i="138"/>
  <c r="O1450" i="138"/>
  <c r="O3116" i="138"/>
  <c r="O1633" i="138"/>
  <c r="O3269" i="138"/>
  <c r="O3401" i="138"/>
  <c r="O1471" i="138"/>
  <c r="O1575" i="138"/>
  <c r="O374" i="138"/>
  <c r="O1422" i="138"/>
  <c r="O556" i="138"/>
  <c r="O2881" i="138"/>
  <c r="O1657" i="138"/>
  <c r="O846" i="138"/>
  <c r="O3640" i="138"/>
  <c r="O407" i="138"/>
  <c r="O777" i="138"/>
  <c r="O3221" i="138"/>
  <c r="O3228" i="138"/>
  <c r="O3660" i="138"/>
  <c r="O732" i="138"/>
  <c r="O2917" i="138"/>
  <c r="O3169" i="138"/>
  <c r="O3225" i="138"/>
  <c r="O3613" i="138"/>
  <c r="O3709" i="138"/>
  <c r="O297" i="138"/>
  <c r="O1396" i="138"/>
  <c r="O1426" i="138"/>
  <c r="O1505" i="138"/>
  <c r="O1718" i="138"/>
  <c r="O1542" i="138"/>
  <c r="O1547" i="138"/>
  <c r="O3034" i="138"/>
  <c r="O3230" i="138"/>
  <c r="O3466" i="138"/>
  <c r="O1475" i="138"/>
  <c r="O238" i="138"/>
  <c r="O3232" i="138"/>
  <c r="O3808" i="138"/>
  <c r="O68" i="138"/>
  <c r="O1479" i="138"/>
  <c r="O3425" i="138"/>
  <c r="O3473" i="138"/>
  <c r="O4037" i="138"/>
  <c r="O1331" i="138"/>
  <c r="O34" i="138"/>
  <c r="O1381" i="138"/>
  <c r="O1418" i="138"/>
  <c r="O1447" i="138"/>
  <c r="O239" i="138"/>
  <c r="O1594" i="138"/>
  <c r="O1431" i="138"/>
  <c r="O1699" i="138"/>
  <c r="O1525" i="138"/>
  <c r="O3303" i="138"/>
  <c r="O719" i="138"/>
  <c r="O875" i="138"/>
  <c r="O1346" i="138"/>
  <c r="O3465" i="138"/>
  <c r="O3609" i="138"/>
  <c r="O3052" i="138"/>
  <c r="O3188" i="138"/>
  <c r="O3236" i="138"/>
  <c r="O3428" i="138"/>
  <c r="O1457" i="138"/>
  <c r="O4032" i="138"/>
  <c r="O785" i="138"/>
  <c r="O3525" i="138"/>
  <c r="O3621" i="138"/>
  <c r="O3717" i="138"/>
  <c r="O1332" i="138"/>
  <c r="O731" i="138"/>
  <c r="O612" i="138"/>
  <c r="O274" i="138"/>
  <c r="O375" i="138"/>
  <c r="O1557" i="138"/>
  <c r="O226" i="138"/>
  <c r="O1577" i="138"/>
  <c r="O516" i="138"/>
  <c r="O3253" i="138"/>
  <c r="O3528" i="138"/>
  <c r="O3340" i="138"/>
  <c r="O3532" i="138"/>
  <c r="O227" i="138"/>
  <c r="O538" i="138"/>
  <c r="O1495" i="138"/>
  <c r="O3389" i="138"/>
  <c r="O3437" i="138"/>
  <c r="O3581" i="138"/>
  <c r="O1394" i="138"/>
  <c r="O726" i="138"/>
  <c r="O1630" i="138"/>
  <c r="O3072" i="138"/>
  <c r="O713" i="138"/>
  <c r="O3880" i="138"/>
  <c r="O3297" i="138"/>
  <c r="O3345" i="138"/>
  <c r="O3681" i="138"/>
  <c r="O3185" i="138"/>
  <c r="O860" i="138"/>
  <c r="O1392" i="138"/>
  <c r="O37" i="138"/>
  <c r="O1449" i="138"/>
  <c r="O595" i="138"/>
  <c r="O3416" i="138"/>
  <c r="O539" i="138"/>
  <c r="O863" i="138"/>
  <c r="O3576" i="138"/>
  <c r="O1641" i="138"/>
  <c r="O1643" i="138"/>
  <c r="O1658" i="138"/>
  <c r="O507" i="138"/>
  <c r="O1434" i="138"/>
  <c r="O43" i="138"/>
  <c r="O1742" i="138"/>
  <c r="O1645" i="138"/>
  <c r="O1637" i="138"/>
  <c r="O1722" i="138"/>
  <c r="O1452" i="138"/>
  <c r="O1476" i="138"/>
  <c r="O1516" i="138"/>
  <c r="O3695" i="138"/>
  <c r="O1430" i="138"/>
  <c r="O72" i="138"/>
  <c r="O730" i="138"/>
  <c r="O1661" i="138"/>
  <c r="O798" i="138"/>
  <c r="O780" i="138"/>
  <c r="O1402" i="138"/>
  <c r="O1518" i="138"/>
  <c r="O1565" i="138"/>
  <c r="O3674" i="138"/>
  <c r="O236" i="138"/>
  <c r="O3575" i="138"/>
  <c r="O172" i="138"/>
  <c r="O573" i="138"/>
  <c r="O803" i="138"/>
  <c r="O1663" i="138"/>
  <c r="O1319" i="138"/>
  <c r="O1628" i="138"/>
  <c r="O1601" i="138"/>
  <c r="O3143" i="138"/>
  <c r="O3667" i="138"/>
  <c r="O408" i="138"/>
  <c r="O171" i="138"/>
  <c r="O1370" i="138"/>
  <c r="O1606" i="138"/>
  <c r="O50" i="138"/>
  <c r="O3529" i="138"/>
  <c r="O1721" i="138"/>
  <c r="O1671" i="138"/>
  <c r="O267" i="138"/>
  <c r="O3150" i="138"/>
  <c r="O3298" i="138"/>
  <c r="O3678" i="138"/>
  <c r="O3894" i="138"/>
  <c r="O1340" i="138"/>
  <c r="O3194" i="138"/>
  <c r="O1736" i="138"/>
  <c r="O1562" i="138"/>
  <c r="O1631" i="138"/>
  <c r="O433" i="138"/>
  <c r="O1524" i="138"/>
  <c r="O167" i="138"/>
  <c r="O45" i="138"/>
  <c r="O1590" i="138"/>
  <c r="O75" i="138"/>
  <c r="O1314" i="138"/>
  <c r="O709" i="138"/>
  <c r="O797" i="138"/>
  <c r="O819" i="138"/>
  <c r="O347" i="138"/>
  <c r="O1493" i="138"/>
  <c r="O722" i="138"/>
  <c r="O1507" i="138"/>
  <c r="O1502" i="138"/>
  <c r="O240" i="138"/>
  <c r="O176" i="138"/>
  <c r="O710" i="138"/>
  <c r="O1743" i="138"/>
  <c r="O193" i="138"/>
  <c r="O160" i="138"/>
  <c r="O611" i="138"/>
  <c r="O850" i="138"/>
  <c r="O3530" i="138"/>
  <c r="O161" i="138"/>
  <c r="O768" i="138"/>
  <c r="O232" i="138"/>
  <c r="O751" i="138"/>
  <c r="O1460" i="138"/>
  <c r="O881" i="138"/>
  <c r="O1519" i="138"/>
  <c r="O1739" i="138"/>
  <c r="O1701" i="138"/>
  <c r="O522" i="138"/>
  <c r="O1680" i="138"/>
  <c r="O766" i="138"/>
  <c r="O778" i="138"/>
  <c r="O1412" i="138"/>
  <c r="O681" i="138"/>
  <c r="O452" i="138"/>
  <c r="O1556" i="138"/>
  <c r="O265" i="138"/>
  <c r="O599" i="138"/>
  <c r="O1669" i="138"/>
  <c r="O1415" i="138"/>
  <c r="O844" i="138"/>
  <c r="O721" i="138"/>
  <c r="O451" i="138"/>
  <c r="O1595" i="138"/>
  <c r="O51" i="138"/>
  <c r="O1372" i="138"/>
  <c r="O229" i="138"/>
  <c r="O1411" i="138"/>
  <c r="O1407" i="138"/>
  <c r="O1432" i="138"/>
  <c r="O755" i="138"/>
  <c r="O598" i="138"/>
  <c r="O3690" i="138"/>
  <c r="O843" i="138"/>
  <c r="O466" i="138"/>
  <c r="O1398" i="138"/>
  <c r="O1703" i="138"/>
  <c r="O822" i="138"/>
  <c r="O558" i="138"/>
  <c r="O3751" i="138"/>
  <c r="O812" i="138"/>
  <c r="O1539" i="138"/>
  <c r="O3542" i="138"/>
  <c r="O3626" i="138"/>
  <c r="O553" i="138"/>
  <c r="O1458" i="138"/>
  <c r="O3859" i="138"/>
  <c r="O1571" i="138"/>
  <c r="O1510" i="138"/>
  <c r="O349" i="138"/>
  <c r="O851" i="138"/>
  <c r="O60" i="138"/>
  <c r="O1360" i="138"/>
  <c r="O348" i="138"/>
  <c r="O1660" i="138"/>
  <c r="O3178" i="138"/>
  <c r="O1362" i="138"/>
  <c r="O1363" i="138"/>
  <c r="O157" i="138"/>
  <c r="O71" i="138"/>
  <c r="O1453" i="138"/>
  <c r="O512" i="138"/>
  <c r="O285" i="138"/>
  <c r="O1480" i="138"/>
  <c r="O1509" i="138"/>
  <c r="O848" i="138"/>
  <c r="O823" i="138"/>
  <c r="O711" i="138"/>
  <c r="O1618" i="138"/>
  <c r="O313" i="138"/>
  <c r="O472" i="138"/>
  <c r="O724" i="138"/>
  <c r="O1530" i="138"/>
  <c r="O1664" i="138"/>
  <c r="O1361" i="138"/>
  <c r="O1441" i="138"/>
  <c r="O3403" i="138"/>
  <c r="O1435" i="138"/>
  <c r="O1492" i="138"/>
  <c r="O800" i="138"/>
  <c r="O1500" i="138"/>
  <c r="O1563" i="138"/>
  <c r="O1603" i="138"/>
  <c r="O632" i="138"/>
  <c r="O328" i="138"/>
  <c r="O3383" i="138"/>
  <c r="O3574" i="138"/>
  <c r="O705" i="138"/>
  <c r="O3523" i="138"/>
  <c r="O3279" i="138"/>
  <c r="O3459" i="138"/>
  <c r="O1329" i="138"/>
  <c r="O865" i="138"/>
  <c r="O3978" i="138"/>
  <c r="O331" i="138"/>
  <c r="O596" i="138"/>
  <c r="O1504" i="138"/>
  <c r="O446" i="138"/>
  <c r="O1349" i="138"/>
  <c r="O41" i="138"/>
  <c r="O1549" i="138"/>
  <c r="O1620" i="138"/>
  <c r="O3098" i="138"/>
  <c r="O3714" i="138"/>
  <c r="O296" i="138"/>
  <c r="O3054" i="138"/>
  <c r="O1391" i="138"/>
  <c r="O1382" i="138"/>
  <c r="O720" i="138"/>
  <c r="O1459" i="138"/>
  <c r="O783" i="138"/>
  <c r="O733" i="138"/>
  <c r="O825" i="138"/>
  <c r="O3839" i="138"/>
  <c r="O1662" i="138"/>
  <c r="O1682" i="138"/>
  <c r="O1868" i="138"/>
  <c r="O1345" i="138"/>
  <c r="O70" i="138"/>
  <c r="O712" i="138"/>
  <c r="O1448" i="138"/>
  <c r="O1514" i="138"/>
  <c r="O541" i="138"/>
  <c r="O883" i="138"/>
  <c r="O701" i="138"/>
  <c r="O379" i="138"/>
  <c r="O1648" i="138"/>
  <c r="O1678" i="138"/>
  <c r="O1410" i="138"/>
  <c r="O198" i="138"/>
  <c r="O3487" i="138"/>
  <c r="O1358" i="138"/>
  <c r="O1399" i="138"/>
  <c r="O241" i="138"/>
  <c r="O290" i="138"/>
  <c r="O1427" i="138"/>
  <c r="O1534" i="138"/>
  <c r="O1572" i="138"/>
  <c r="E7" i="137"/>
  <c r="E15" i="137"/>
  <c r="E23" i="137"/>
  <c r="E31" i="137"/>
  <c r="E39" i="137"/>
  <c r="E47" i="137"/>
  <c r="E55" i="137"/>
  <c r="E8" i="137"/>
  <c r="E16" i="137"/>
  <c r="E24" i="137"/>
  <c r="E32" i="137"/>
  <c r="E40" i="137"/>
  <c r="E48" i="137"/>
  <c r="E56" i="137"/>
  <c r="E9" i="137"/>
  <c r="E17" i="137"/>
  <c r="E25" i="137"/>
  <c r="E33" i="137"/>
  <c r="E41" i="137"/>
  <c r="E49" i="137"/>
  <c r="E57" i="137"/>
  <c r="E10" i="137"/>
  <c r="E18" i="137"/>
  <c r="E26" i="137"/>
  <c r="E34" i="137"/>
  <c r="E42" i="137"/>
  <c r="E50" i="137"/>
  <c r="E58" i="137"/>
  <c r="E11" i="137"/>
  <c r="E19" i="137"/>
  <c r="E27" i="137"/>
  <c r="E35" i="137"/>
  <c r="E43" i="137"/>
  <c r="E51" i="137"/>
  <c r="E12" i="137"/>
  <c r="E20" i="137"/>
  <c r="E28" i="137"/>
  <c r="E36" i="137"/>
  <c r="E44" i="137"/>
  <c r="E52" i="137"/>
  <c r="E13" i="137"/>
  <c r="E21" i="137"/>
  <c r="E29" i="137"/>
  <c r="E37" i="137"/>
  <c r="E45" i="137"/>
  <c r="E53" i="137"/>
  <c r="E14" i="137"/>
  <c r="E22" i="137"/>
  <c r="E30" i="137"/>
  <c r="E38" i="137"/>
  <c r="E46" i="137"/>
  <c r="E54" i="137"/>
  <c r="K56" i="137" l="1"/>
  <c r="K57" i="137"/>
  <c r="K54" i="137"/>
  <c r="K58" i="137"/>
  <c r="K55" i="137"/>
  <c r="K910" i="138" l="1"/>
  <c r="N910" i="138" l="1"/>
  <c r="M910" i="138"/>
  <c r="O910" i="138" s="1"/>
  <c r="K2009" i="138"/>
  <c r="K3031" i="138"/>
  <c r="K1952" i="138"/>
  <c r="K3001" i="138"/>
  <c r="K2866" i="138"/>
  <c r="K2966" i="138"/>
  <c r="K968" i="138"/>
  <c r="K1023" i="138"/>
  <c r="K3068" i="138"/>
  <c r="K2732" i="138"/>
  <c r="K1184" i="138"/>
  <c r="K3053" i="138"/>
  <c r="K577" i="138"/>
  <c r="K1100" i="138"/>
  <c r="K945" i="138"/>
  <c r="K1780" i="138"/>
  <c r="K1998" i="138"/>
  <c r="K1876" i="138"/>
  <c r="K2518" i="138"/>
  <c r="K2280" i="138"/>
  <c r="K2216" i="138"/>
  <c r="K1999" i="138"/>
  <c r="K1172" i="138"/>
  <c r="K1921" i="138"/>
  <c r="K2206" i="138"/>
  <c r="K2182" i="138"/>
  <c r="K684" i="138"/>
  <c r="K1236" i="138"/>
  <c r="K817" i="138"/>
  <c r="K485" i="138"/>
  <c r="K1992" i="138"/>
  <c r="K1293" i="138"/>
  <c r="K2714" i="138"/>
  <c r="K2509" i="138"/>
  <c r="K1089" i="138"/>
  <c r="K2445" i="138"/>
  <c r="K2411" i="138"/>
  <c r="K1083" i="138"/>
  <c r="K3002" i="138"/>
  <c r="K2152" i="138"/>
  <c r="K121" i="138"/>
  <c r="K2114" i="138"/>
  <c r="K656" i="138"/>
  <c r="K2410" i="138"/>
  <c r="K795" i="138"/>
  <c r="K1302" i="138"/>
  <c r="K2468" i="138"/>
  <c r="K669" i="138"/>
  <c r="K2973" i="138"/>
  <c r="K1122" i="138"/>
  <c r="K2534" i="138"/>
  <c r="K937" i="138"/>
  <c r="K1874" i="138"/>
  <c r="K2878" i="138"/>
  <c r="K2463" i="138"/>
  <c r="K2050" i="138"/>
  <c r="K2997" i="138"/>
  <c r="K2474" i="138"/>
  <c r="K2162" i="138"/>
  <c r="K1932" i="138"/>
  <c r="K1723" i="138"/>
  <c r="K1774" i="138"/>
  <c r="K1335" i="138"/>
  <c r="K938" i="138"/>
  <c r="K3974" i="138"/>
  <c r="K2378" i="138"/>
  <c r="K2120" i="138"/>
  <c r="K588" i="138"/>
  <c r="K922" i="138"/>
  <c r="K2077" i="138"/>
  <c r="K2857" i="138"/>
  <c r="K2958" i="138"/>
  <c r="K2873" i="138"/>
  <c r="K2981" i="138"/>
  <c r="K2368" i="138"/>
  <c r="K661" i="138"/>
  <c r="K2976" i="138"/>
  <c r="K1208" i="138"/>
  <c r="K1217" i="138"/>
  <c r="K2379" i="138"/>
  <c r="K2097" i="138"/>
  <c r="K3010" i="138"/>
  <c r="K2508" i="138"/>
  <c r="K888" i="138"/>
  <c r="K2405" i="138"/>
  <c r="K1854" i="138"/>
  <c r="K1120" i="138"/>
  <c r="K2539" i="138"/>
  <c r="K2003" i="138"/>
  <c r="K2396" i="138"/>
  <c r="K2132" i="138"/>
  <c r="K3971" i="138"/>
  <c r="K2123" i="138"/>
  <c r="K4043" i="138"/>
  <c r="K2591" i="138"/>
  <c r="K3118" i="138"/>
  <c r="K1276" i="138"/>
  <c r="K1836" i="138"/>
  <c r="K1744" i="138"/>
  <c r="K1783" i="138"/>
  <c r="K3" i="138"/>
  <c r="K1935" i="138"/>
  <c r="K82" i="138"/>
  <c r="K2531" i="138"/>
  <c r="K465" i="138"/>
  <c r="K4011" i="138"/>
  <c r="K2666" i="138"/>
  <c r="K1928" i="138"/>
  <c r="K2593" i="138"/>
  <c r="K132" i="138"/>
  <c r="K1283" i="138"/>
  <c r="K841" i="138"/>
  <c r="K2185" i="138"/>
  <c r="E59" i="137"/>
  <c r="N2185" i="138" l="1"/>
  <c r="M2185" i="138"/>
  <c r="O2185" i="138" s="1"/>
  <c r="N2593" i="138"/>
  <c r="M2593" i="138"/>
  <c r="O2593" i="138" s="1"/>
  <c r="N465" i="138"/>
  <c r="M465" i="138"/>
  <c r="O465" i="138" s="1"/>
  <c r="N3" i="138"/>
  <c r="M3" i="138"/>
  <c r="N1276" i="138"/>
  <c r="M1276" i="138"/>
  <c r="O1276" i="138" s="1"/>
  <c r="N2123" i="138"/>
  <c r="M2123" i="138"/>
  <c r="O2123" i="138" s="1"/>
  <c r="N2003" i="138"/>
  <c r="M2003" i="138"/>
  <c r="O2003" i="138" s="1"/>
  <c r="N2405" i="138"/>
  <c r="M2405" i="138"/>
  <c r="O2405" i="138" s="1"/>
  <c r="N2097" i="138"/>
  <c r="M2097" i="138"/>
  <c r="N2976" i="138"/>
  <c r="M2976" i="138"/>
  <c r="N2873" i="138"/>
  <c r="M2873" i="138"/>
  <c r="O2873" i="138" s="1"/>
  <c r="N922" i="138"/>
  <c r="M922" i="138"/>
  <c r="O922" i="138" s="1"/>
  <c r="N3974" i="138"/>
  <c r="M3974" i="138"/>
  <c r="O3974" i="138" s="1"/>
  <c r="N1723" i="138"/>
  <c r="M1723" i="138"/>
  <c r="N2997" i="138"/>
  <c r="M2997" i="138"/>
  <c r="N1874" i="138"/>
  <c r="M1874" i="138"/>
  <c r="O1874" i="138" s="1"/>
  <c r="N2973" i="138"/>
  <c r="M2973" i="138"/>
  <c r="O2973" i="138" s="1"/>
  <c r="N795" i="138"/>
  <c r="M795" i="138"/>
  <c r="O795" i="138" s="1"/>
  <c r="N121" i="138"/>
  <c r="M121" i="138"/>
  <c r="O121" i="138" s="1"/>
  <c r="N2411" i="138"/>
  <c r="M2411" i="138"/>
  <c r="O2411" i="138" s="1"/>
  <c r="N2714" i="138"/>
  <c r="M2714" i="138"/>
  <c r="O2714" i="138" s="1"/>
  <c r="N817" i="138"/>
  <c r="M817" i="138"/>
  <c r="O817" i="138" s="1"/>
  <c r="N2206" i="138"/>
  <c r="M2206" i="138"/>
  <c r="O2206" i="138" s="1"/>
  <c r="N2216" i="138"/>
  <c r="M2216" i="138"/>
  <c r="O2216" i="138" s="1"/>
  <c r="N1998" i="138"/>
  <c r="M1998" i="138"/>
  <c r="O1998" i="138" s="1"/>
  <c r="N577" i="138"/>
  <c r="M577" i="138"/>
  <c r="N3068" i="138"/>
  <c r="M3068" i="138"/>
  <c r="O3068" i="138" s="1"/>
  <c r="N2866" i="138"/>
  <c r="M2866" i="138"/>
  <c r="O2866" i="138" s="1"/>
  <c r="N2009" i="138"/>
  <c r="M2009" i="138"/>
  <c r="O2009" i="138" s="1"/>
  <c r="N841" i="138"/>
  <c r="M841" i="138"/>
  <c r="N1928" i="138"/>
  <c r="M1928" i="138"/>
  <c r="N2531" i="138"/>
  <c r="M2531" i="138"/>
  <c r="O2531" i="138" s="1"/>
  <c r="N1783" i="138"/>
  <c r="M1783" i="138"/>
  <c r="O1783" i="138" s="1"/>
  <c r="N3118" i="138"/>
  <c r="M3118" i="138"/>
  <c r="O3118" i="138" s="1"/>
  <c r="N3971" i="138"/>
  <c r="M3971" i="138"/>
  <c r="O3971" i="138" s="1"/>
  <c r="N2539" i="138"/>
  <c r="M2539" i="138"/>
  <c r="O2539" i="138" s="1"/>
  <c r="N888" i="138"/>
  <c r="M888" i="138"/>
  <c r="O888" i="138" s="1"/>
  <c r="N2379" i="138"/>
  <c r="M2379" i="138"/>
  <c r="O2379" i="138" s="1"/>
  <c r="N661" i="138"/>
  <c r="M661" i="138"/>
  <c r="O661" i="138" s="1"/>
  <c r="N2958" i="138"/>
  <c r="M2958" i="138"/>
  <c r="O2958" i="138" s="1"/>
  <c r="N588" i="138"/>
  <c r="M588" i="138"/>
  <c r="N938" i="138"/>
  <c r="M938" i="138"/>
  <c r="O938" i="138" s="1"/>
  <c r="N1932" i="138"/>
  <c r="M1932" i="138"/>
  <c r="O1932" i="138" s="1"/>
  <c r="N2050" i="138"/>
  <c r="M2050" i="138"/>
  <c r="O2050" i="138" s="1"/>
  <c r="N937" i="138"/>
  <c r="M937" i="138"/>
  <c r="O937" i="138" s="1"/>
  <c r="N669" i="138"/>
  <c r="M669" i="138"/>
  <c r="O669" i="138" s="1"/>
  <c r="N2410" i="138"/>
  <c r="M2410" i="138"/>
  <c r="N2152" i="138"/>
  <c r="M2152" i="138"/>
  <c r="O2152" i="138" s="1"/>
  <c r="N2445" i="138"/>
  <c r="M2445" i="138"/>
  <c r="O2445" i="138" s="1"/>
  <c r="N1293" i="138"/>
  <c r="M1293" i="138"/>
  <c r="O1293" i="138" s="1"/>
  <c r="N1236" i="138"/>
  <c r="M1236" i="138"/>
  <c r="O1236" i="138" s="1"/>
  <c r="N1921" i="138"/>
  <c r="M1921" i="138"/>
  <c r="O1921" i="138" s="1"/>
  <c r="N2280" i="138"/>
  <c r="M2280" i="138"/>
  <c r="N1780" i="138"/>
  <c r="M1780" i="138"/>
  <c r="O1780" i="138" s="1"/>
  <c r="N3053" i="138"/>
  <c r="M3053" i="138"/>
  <c r="O3053" i="138" s="1"/>
  <c r="N1023" i="138"/>
  <c r="M1023" i="138"/>
  <c r="O1023" i="138" s="1"/>
  <c r="N3001" i="138"/>
  <c r="M3001" i="138"/>
  <c r="O3001" i="138" s="1"/>
  <c r="N1283" i="138"/>
  <c r="M1283" i="138"/>
  <c r="O1283" i="138" s="1"/>
  <c r="N2666" i="138"/>
  <c r="M2666" i="138"/>
  <c r="N82" i="138"/>
  <c r="M82" i="138"/>
  <c r="O82" i="138" s="1"/>
  <c r="N1744" i="138"/>
  <c r="M1744" i="138"/>
  <c r="O1744" i="138" s="1"/>
  <c r="N2591" i="138"/>
  <c r="M2591" i="138"/>
  <c r="O2591" i="138" s="1"/>
  <c r="N2132" i="138"/>
  <c r="M2132" i="138"/>
  <c r="O2132" i="138" s="1"/>
  <c r="N1120" i="138"/>
  <c r="M1120" i="138"/>
  <c r="O1120" i="138" s="1"/>
  <c r="N2508" i="138"/>
  <c r="M2508" i="138"/>
  <c r="N1217" i="138"/>
  <c r="M1217" i="138"/>
  <c r="O1217" i="138" s="1"/>
  <c r="N2368" i="138"/>
  <c r="M2368" i="138"/>
  <c r="O2368" i="138" s="1"/>
  <c r="N2857" i="138"/>
  <c r="M2857" i="138"/>
  <c r="O2857" i="138" s="1"/>
  <c r="N2120" i="138"/>
  <c r="M2120" i="138"/>
  <c r="O2120" i="138" s="1"/>
  <c r="N1335" i="138"/>
  <c r="M1335" i="138"/>
  <c r="O1335" i="138" s="1"/>
  <c r="N2162" i="138"/>
  <c r="M2162" i="138"/>
  <c r="N2463" i="138"/>
  <c r="M2463" i="138"/>
  <c r="O2463" i="138" s="1"/>
  <c r="N2534" i="138"/>
  <c r="M2534" i="138"/>
  <c r="O2534" i="138" s="1"/>
  <c r="N2468" i="138"/>
  <c r="M2468" i="138"/>
  <c r="O2468" i="138" s="1"/>
  <c r="N656" i="138"/>
  <c r="M656" i="138"/>
  <c r="O656" i="138" s="1"/>
  <c r="N3002" i="138"/>
  <c r="M3002" i="138"/>
  <c r="O3002" i="138" s="1"/>
  <c r="N1089" i="138"/>
  <c r="M1089" i="138"/>
  <c r="N1992" i="138"/>
  <c r="M1992" i="138"/>
  <c r="O1992" i="138" s="1"/>
  <c r="N684" i="138"/>
  <c r="M684" i="138"/>
  <c r="O684" i="138" s="1"/>
  <c r="N1172" i="138"/>
  <c r="M1172" i="138"/>
  <c r="O1172" i="138" s="1"/>
  <c r="N2518" i="138"/>
  <c r="M2518" i="138"/>
  <c r="O2518" i="138" s="1"/>
  <c r="N945" i="138"/>
  <c r="M945" i="138"/>
  <c r="O945" i="138" s="1"/>
  <c r="N1184" i="138"/>
  <c r="M1184" i="138"/>
  <c r="N968" i="138"/>
  <c r="M968" i="138"/>
  <c r="O968" i="138" s="1"/>
  <c r="N1952" i="138"/>
  <c r="M1952" i="138"/>
  <c r="O1952" i="138" s="1"/>
  <c r="N132" i="138"/>
  <c r="M132" i="138"/>
  <c r="O132" i="138" s="1"/>
  <c r="N4011" i="138"/>
  <c r="M4011" i="138"/>
  <c r="O4011" i="138" s="1"/>
  <c r="N1935" i="138"/>
  <c r="M1935" i="138"/>
  <c r="O1935" i="138" s="1"/>
  <c r="N1836" i="138"/>
  <c r="M1836" i="138"/>
  <c r="N4043" i="138"/>
  <c r="M4043" i="138"/>
  <c r="O4043" i="138" s="1"/>
  <c r="N2396" i="138"/>
  <c r="M2396" i="138"/>
  <c r="O2396" i="138" s="1"/>
  <c r="N1854" i="138"/>
  <c r="M1854" i="138"/>
  <c r="O1854" i="138" s="1"/>
  <c r="N3010" i="138"/>
  <c r="M3010" i="138"/>
  <c r="O3010" i="138" s="1"/>
  <c r="N1208" i="138"/>
  <c r="M1208" i="138"/>
  <c r="O1208" i="138" s="1"/>
  <c r="N2981" i="138"/>
  <c r="M2981" i="138"/>
  <c r="N2077" i="138"/>
  <c r="M2077" i="138"/>
  <c r="O2077" i="138" s="1"/>
  <c r="N2378" i="138"/>
  <c r="M2378" i="138"/>
  <c r="O2378" i="138" s="1"/>
  <c r="N1774" i="138"/>
  <c r="M1774" i="138"/>
  <c r="O1774" i="138" s="1"/>
  <c r="N2474" i="138"/>
  <c r="M2474" i="138"/>
  <c r="O2474" i="138" s="1"/>
  <c r="N2878" i="138"/>
  <c r="M2878" i="138"/>
  <c r="O2878" i="138" s="1"/>
  <c r="N1122" i="138"/>
  <c r="M1122" i="138"/>
  <c r="N1302" i="138"/>
  <c r="M1302" i="138"/>
  <c r="O1302" i="138" s="1"/>
  <c r="N2114" i="138"/>
  <c r="M2114" i="138"/>
  <c r="O2114" i="138" s="1"/>
  <c r="N1083" i="138"/>
  <c r="M1083" i="138"/>
  <c r="O1083" i="138" s="1"/>
  <c r="N2509" i="138"/>
  <c r="M2509" i="138"/>
  <c r="O2509" i="138" s="1"/>
  <c r="N485" i="138"/>
  <c r="M485" i="138"/>
  <c r="O485" i="138" s="1"/>
  <c r="N2182" i="138"/>
  <c r="M2182" i="138"/>
  <c r="N1999" i="138"/>
  <c r="M1999" i="138"/>
  <c r="O1999" i="138" s="1"/>
  <c r="N1876" i="138"/>
  <c r="M1876" i="138"/>
  <c r="O1876" i="138" s="1"/>
  <c r="N1100" i="138"/>
  <c r="M1100" i="138"/>
  <c r="O1100" i="138" s="1"/>
  <c r="N2732" i="138"/>
  <c r="M2732" i="138"/>
  <c r="O2732" i="138" s="1"/>
  <c r="N2966" i="138"/>
  <c r="M2966" i="138"/>
  <c r="O2966" i="138" s="1"/>
  <c r="N3031" i="138"/>
  <c r="M3031" i="138"/>
  <c r="K424" i="138"/>
  <c r="K2694" i="138"/>
  <c r="K2660" i="138"/>
  <c r="K1113" i="138"/>
  <c r="K422" i="138"/>
  <c r="K2158" i="138"/>
  <c r="K2815" i="138"/>
  <c r="K2839" i="138"/>
  <c r="K2453" i="138"/>
  <c r="K2709" i="138"/>
  <c r="K757" i="138"/>
  <c r="K633" i="138"/>
  <c r="K2832" i="138"/>
  <c r="K1822" i="138"/>
  <c r="K2098" i="138"/>
  <c r="K2986" i="138"/>
  <c r="K747" i="138"/>
  <c r="K1940" i="138"/>
  <c r="K2547" i="138"/>
  <c r="K2697" i="138"/>
  <c r="K2202" i="138"/>
  <c r="K859" i="138"/>
  <c r="K3933" i="138"/>
  <c r="K927" i="138"/>
  <c r="K2138" i="138"/>
  <c r="K1890" i="138"/>
  <c r="K2715" i="138"/>
  <c r="K2775" i="138"/>
  <c r="K4017" i="138"/>
  <c r="K2619" i="138"/>
  <c r="K2604" i="138"/>
  <c r="K739" i="138"/>
  <c r="K2429" i="138"/>
  <c r="K1997" i="138"/>
  <c r="K1830" i="138"/>
  <c r="K334" i="138"/>
  <c r="K2656" i="138"/>
  <c r="K353" i="138"/>
  <c r="K585" i="138"/>
  <c r="K2924" i="138"/>
  <c r="K1049" i="138"/>
  <c r="K2504" i="138"/>
  <c r="K2936" i="138"/>
  <c r="K2122" i="138"/>
  <c r="K1913" i="138"/>
  <c r="K2148" i="138"/>
  <c r="K212" i="138"/>
  <c r="K1931" i="138"/>
  <c r="K1108" i="138"/>
  <c r="K1863" i="138"/>
  <c r="K956" i="138"/>
  <c r="K418" i="138"/>
  <c r="K456" i="138"/>
  <c r="K920" i="138"/>
  <c r="K1908" i="138"/>
  <c r="K2010" i="138"/>
  <c r="K1218" i="138"/>
  <c r="K126" i="138"/>
  <c r="K628" i="138"/>
  <c r="K2108" i="138"/>
  <c r="K1867" i="138"/>
  <c r="K2925" i="138"/>
  <c r="K2642" i="138"/>
  <c r="K370" i="138"/>
  <c r="K2653" i="138"/>
  <c r="K2391" i="138"/>
  <c r="K2352" i="138"/>
  <c r="K1279" i="138"/>
  <c r="K1136" i="138"/>
  <c r="K2355" i="138"/>
  <c r="K503" i="138"/>
  <c r="K2089" i="138"/>
  <c r="K660" i="138"/>
  <c r="K2092" i="138"/>
  <c r="K400" i="138"/>
  <c r="K601" i="138"/>
  <c r="K2572" i="138"/>
  <c r="K323" i="138"/>
  <c r="K32" i="138"/>
  <c r="K2511" i="138"/>
  <c r="K1042" i="138"/>
  <c r="K2657" i="138"/>
  <c r="K1127" i="138"/>
  <c r="K2977" i="138"/>
  <c r="K1126" i="138"/>
  <c r="K2835" i="138"/>
  <c r="K2157" i="138"/>
  <c r="K1014" i="138"/>
  <c r="K2987" i="138"/>
  <c r="K1114" i="138"/>
  <c r="K1926" i="138"/>
  <c r="K565" i="138"/>
  <c r="K2343" i="138"/>
  <c r="K2215" i="138"/>
  <c r="K2868" i="138"/>
  <c r="K1275" i="138"/>
  <c r="K2991" i="138"/>
  <c r="K3011" i="138"/>
  <c r="K2944" i="138"/>
  <c r="K2836" i="138"/>
  <c r="K2342" i="138"/>
  <c r="K3993" i="138"/>
  <c r="K2810" i="138"/>
  <c r="K2953" i="138"/>
  <c r="K2813" i="138"/>
  <c r="K2842" i="138"/>
  <c r="K2612" i="138"/>
  <c r="K365" i="138"/>
  <c r="K683" i="138"/>
  <c r="K123" i="138"/>
  <c r="K1229" i="138"/>
  <c r="K2577" i="138"/>
  <c r="K21" i="138"/>
  <c r="K969" i="138"/>
  <c r="K907" i="138"/>
  <c r="K959" i="138"/>
  <c r="K386" i="138"/>
  <c r="K4067" i="138"/>
  <c r="K1777" i="138"/>
  <c r="K545" i="138"/>
  <c r="K2567" i="138"/>
  <c r="K2588" i="138"/>
  <c r="K2550" i="138"/>
  <c r="K3121" i="138"/>
  <c r="K398" i="138"/>
  <c r="K774" i="138"/>
  <c r="K325" i="138"/>
  <c r="K976" i="138"/>
  <c r="K2564" i="138"/>
  <c r="K2238" i="138"/>
  <c r="K1939" i="138"/>
  <c r="K944" i="138"/>
  <c r="K1961" i="138"/>
  <c r="K2579" i="138"/>
  <c r="K2623" i="138"/>
  <c r="K1980" i="138"/>
  <c r="K839" i="138"/>
  <c r="K2581" i="138"/>
  <c r="K992" i="138"/>
  <c r="K2673" i="138"/>
  <c r="K1758" i="138"/>
  <c r="K4093" i="138"/>
  <c r="K591" i="138"/>
  <c r="K770" i="138"/>
  <c r="K2256" i="138"/>
  <c r="K1238" i="138"/>
  <c r="K341" i="138"/>
  <c r="K2371" i="138"/>
  <c r="K2359" i="138"/>
  <c r="K495" i="138"/>
  <c r="K1802" i="138"/>
  <c r="K356" i="138"/>
  <c r="K65" i="138"/>
  <c r="K3025" i="138"/>
  <c r="K2183" i="138"/>
  <c r="K2784" i="138"/>
  <c r="K98" i="138"/>
  <c r="K897" i="138"/>
  <c r="K1159" i="138"/>
  <c r="K2400" i="138"/>
  <c r="K832" i="138"/>
  <c r="K816" i="138"/>
  <c r="K2837" i="138"/>
  <c r="K1237" i="138"/>
  <c r="K124" i="138"/>
  <c r="K835" i="138"/>
  <c r="K2562" i="138"/>
  <c r="K1729" i="138"/>
  <c r="K443" i="138"/>
  <c r="K1145" i="138"/>
  <c r="K4099" i="138"/>
  <c r="K789" i="138"/>
  <c r="K678" i="138"/>
  <c r="K7" i="138"/>
  <c r="K476" i="138"/>
  <c r="K1138" i="138"/>
  <c r="K1689" i="138"/>
  <c r="K492" i="138"/>
  <c r="K4016" i="138"/>
  <c r="K2412" i="138"/>
  <c r="K589" i="138"/>
  <c r="K1151" i="138"/>
  <c r="K1246" i="138"/>
  <c r="K4008" i="138"/>
  <c r="K23" i="138"/>
  <c r="K1791" i="138"/>
  <c r="K13" i="138"/>
  <c r="K1338" i="138"/>
  <c r="K1725" i="138"/>
  <c r="K1044" i="138"/>
  <c r="K2820" i="138"/>
  <c r="K257" i="138"/>
  <c r="K631" i="138"/>
  <c r="K1180" i="138"/>
  <c r="K3009" i="138"/>
  <c r="K2155" i="138"/>
  <c r="K893" i="138"/>
  <c r="K122" i="138"/>
  <c r="K2578" i="138"/>
  <c r="K2596" i="138"/>
  <c r="K1989" i="138"/>
  <c r="K1942" i="138"/>
  <c r="K1132" i="138"/>
  <c r="K916" i="138"/>
  <c r="K2259" i="138"/>
  <c r="K1324" i="138"/>
  <c r="K688" i="138"/>
  <c r="K2026" i="138"/>
  <c r="K2586" i="138"/>
  <c r="K335" i="138"/>
  <c r="K1310" i="138"/>
  <c r="K829" i="138"/>
  <c r="K971" i="138"/>
  <c r="K966" i="138"/>
  <c r="K2686" i="138"/>
  <c r="K474" i="138"/>
  <c r="K3040" i="138"/>
  <c r="K102" i="138"/>
  <c r="K934" i="138"/>
  <c r="K2786" i="138"/>
  <c r="K2093" i="138"/>
  <c r="K2541" i="138"/>
  <c r="K2969" i="138"/>
  <c r="K3099" i="138"/>
  <c r="K646" i="138"/>
  <c r="K1902" i="138"/>
  <c r="K66" i="138"/>
  <c r="K438" i="138"/>
  <c r="K2762" i="138"/>
  <c r="K2648" i="138"/>
  <c r="K322" i="138"/>
  <c r="K2253" i="138"/>
  <c r="K2615" i="138"/>
  <c r="K1242" i="138"/>
  <c r="K384" i="138"/>
  <c r="K925" i="138"/>
  <c r="K2501" i="138"/>
  <c r="K1690" i="138"/>
  <c r="K104" i="138"/>
  <c r="K2773" i="138"/>
  <c r="K2266" i="138"/>
  <c r="K2177" i="138"/>
  <c r="K2286" i="138"/>
  <c r="K930" i="138"/>
  <c r="K2618" i="138"/>
  <c r="K2192" i="138"/>
  <c r="K571" i="138"/>
  <c r="K616" i="138"/>
  <c r="K2546" i="138"/>
  <c r="K2569" i="138"/>
  <c r="K3033" i="138"/>
  <c r="K2442" i="138"/>
  <c r="K2261" i="138"/>
  <c r="K475" i="138"/>
  <c r="K3937" i="138"/>
  <c r="K1886" i="138"/>
  <c r="K2322" i="138"/>
  <c r="K1046" i="138"/>
  <c r="K974" i="138"/>
  <c r="K776" i="138"/>
  <c r="K2678" i="138"/>
  <c r="K2172" i="138"/>
  <c r="K2059" i="138"/>
  <c r="K2643" i="138"/>
  <c r="K30" i="138"/>
  <c r="K994" i="138"/>
  <c r="K2225" i="138"/>
  <c r="K2605" i="138"/>
  <c r="K2221" i="138"/>
  <c r="K4102" i="138"/>
  <c r="K1930" i="138"/>
  <c r="K1003" i="138"/>
  <c r="K2193" i="138"/>
  <c r="K2544" i="138"/>
  <c r="K2188" i="138"/>
  <c r="K1250" i="138"/>
  <c r="K2017" i="138"/>
  <c r="K2563" i="138"/>
  <c r="K2210" i="138"/>
  <c r="K3093" i="138"/>
  <c r="K392" i="138"/>
  <c r="K2594" i="138"/>
  <c r="K874" i="138"/>
  <c r="K2707" i="138"/>
  <c r="K1109" i="138"/>
  <c r="K1730" i="138"/>
  <c r="K2821" i="138"/>
  <c r="K2722" i="138"/>
  <c r="K2239" i="138"/>
  <c r="K2273" i="138"/>
  <c r="K2975" i="138"/>
  <c r="K1710" i="138"/>
  <c r="K309" i="138"/>
  <c r="K1129" i="138"/>
  <c r="K2999" i="138"/>
  <c r="K359" i="138"/>
  <c r="K534" i="138"/>
  <c r="K1192" i="138"/>
  <c r="K2351" i="138"/>
  <c r="K640" i="138"/>
  <c r="K2011" i="138"/>
  <c r="K1873" i="138"/>
  <c r="K2245" i="138"/>
  <c r="K2996" i="138"/>
  <c r="K3023" i="138"/>
  <c r="K2043" i="138"/>
  <c r="K190" i="138"/>
  <c r="K1185" i="138"/>
  <c r="K2366" i="138"/>
  <c r="K52" i="138"/>
  <c r="K1341" i="138"/>
  <c r="K2560" i="138"/>
  <c r="K2561" i="138"/>
  <c r="K2482" i="138"/>
  <c r="K2521" i="138"/>
  <c r="K2683" i="138"/>
  <c r="K999" i="138"/>
  <c r="K2262" i="138"/>
  <c r="K2948" i="138"/>
  <c r="K2719" i="138"/>
  <c r="K664" i="138"/>
  <c r="K1899" i="138"/>
  <c r="K2274" i="138"/>
  <c r="K2189" i="138"/>
  <c r="K59" i="138"/>
  <c r="K1963" i="138"/>
  <c r="K2200" i="138"/>
  <c r="K1304" i="138"/>
  <c r="K2249" i="138"/>
  <c r="K2154" i="138"/>
  <c r="K4009" i="138"/>
  <c r="K2365" i="138"/>
  <c r="K2081" i="138"/>
  <c r="K3000" i="138"/>
  <c r="K440" i="138"/>
  <c r="K425" i="138"/>
  <c r="K2825" i="138"/>
  <c r="K1211" i="138"/>
  <c r="K1300" i="138"/>
  <c r="K1795" i="138"/>
  <c r="K1781" i="138"/>
  <c r="K1161" i="138"/>
  <c r="K983" i="138"/>
  <c r="K2046" i="138"/>
  <c r="K2671" i="138"/>
  <c r="K1812" i="138"/>
  <c r="K2103" i="138"/>
  <c r="K1766" i="138"/>
  <c r="K2822" i="138"/>
  <c r="K580" i="138"/>
  <c r="K1695" i="138"/>
  <c r="K2025" i="138"/>
  <c r="K2528" i="138"/>
  <c r="K991" i="138"/>
  <c r="K1950" i="138"/>
  <c r="K2968" i="138"/>
  <c r="K3108" i="138"/>
  <c r="K1289" i="138"/>
  <c r="K1057" i="138"/>
  <c r="K2693" i="138"/>
  <c r="K2236" i="138"/>
  <c r="K2126" i="138"/>
  <c r="K2204" i="138"/>
  <c r="K2195" i="138"/>
  <c r="K1750" i="138"/>
  <c r="K2957" i="138"/>
  <c r="K1898" i="138"/>
  <c r="K1015" i="138"/>
  <c r="K2106" i="138"/>
  <c r="K1826" i="138"/>
  <c r="K1026" i="138"/>
  <c r="K2078" i="138"/>
  <c r="K2277" i="138"/>
  <c r="K1210" i="138"/>
  <c r="K1201" i="138"/>
  <c r="K2974" i="138"/>
  <c r="K2338" i="138"/>
  <c r="K1967" i="138"/>
  <c r="K2955" i="138"/>
  <c r="K1290" i="138"/>
  <c r="K2827" i="138"/>
  <c r="K1063" i="138"/>
  <c r="K689" i="138"/>
  <c r="K2384" i="138"/>
  <c r="K1193" i="138"/>
  <c r="K2002" i="138"/>
  <c r="K2691" i="138"/>
  <c r="K899" i="138"/>
  <c r="K3941" i="138"/>
  <c r="K3088" i="138"/>
  <c r="K2201" i="138"/>
  <c r="K1008" i="138"/>
  <c r="K986" i="138"/>
  <c r="K2211" i="138"/>
  <c r="K337" i="138"/>
  <c r="K2768" i="138"/>
  <c r="K368" i="138"/>
  <c r="K2867" i="138"/>
  <c r="K4072" i="138"/>
  <c r="K2197" i="138"/>
  <c r="K188" i="138"/>
  <c r="K2566" i="138"/>
  <c r="K2626" i="138"/>
  <c r="K1224" i="138"/>
  <c r="K1706" i="138"/>
  <c r="K978" i="138"/>
  <c r="K2229" i="138"/>
  <c r="K3932" i="138"/>
  <c r="K2047" i="138"/>
  <c r="K2621" i="138"/>
  <c r="K2164" i="138"/>
  <c r="K898" i="138"/>
  <c r="K153" i="138"/>
  <c r="K478" i="138"/>
  <c r="K416" i="138"/>
  <c r="K1857" i="138"/>
  <c r="K1315" i="138"/>
  <c r="K1307" i="138"/>
  <c r="K1036" i="138"/>
  <c r="K55" i="138"/>
  <c r="K1312" i="138"/>
  <c r="K948" i="138"/>
  <c r="K1905" i="138"/>
  <c r="K275" i="138"/>
  <c r="K2199" i="138"/>
  <c r="K96" i="138"/>
  <c r="K1724" i="138"/>
  <c r="K2062" i="138"/>
  <c r="K2336" i="138"/>
  <c r="K2954" i="138"/>
  <c r="K4071" i="138"/>
  <c r="K2267" i="138"/>
  <c r="K354" i="138"/>
  <c r="K1859" i="138"/>
  <c r="K3018" i="138"/>
  <c r="K2809" i="138"/>
  <c r="K459" i="138"/>
  <c r="K464" i="138"/>
  <c r="K2949" i="138"/>
  <c r="K504" i="138"/>
  <c r="K4108" i="138"/>
  <c r="K1214" i="138"/>
  <c r="K2350" i="138"/>
  <c r="K2335" i="138"/>
  <c r="K2375" i="138"/>
  <c r="K686" i="138"/>
  <c r="K2333" i="138"/>
  <c r="K258" i="138"/>
  <c r="K3022" i="138"/>
  <c r="K2360" i="138"/>
  <c r="K2022" i="138"/>
  <c r="K2812" i="138"/>
  <c r="K2532" i="138"/>
  <c r="K1973" i="138"/>
  <c r="K544" i="138"/>
  <c r="K940" i="138"/>
  <c r="K2627" i="138"/>
  <c r="K2602" i="138"/>
  <c r="K2575" i="138"/>
  <c r="K1756" i="138"/>
  <c r="K961" i="138"/>
  <c r="K91" i="138"/>
  <c r="K1993" i="138"/>
  <c r="K989" i="138"/>
  <c r="K2168" i="138"/>
  <c r="K1844" i="138"/>
  <c r="K696" i="138"/>
  <c r="K1316" i="138"/>
  <c r="K1779" i="138"/>
  <c r="K1684" i="138"/>
  <c r="K1792" i="138"/>
  <c r="K1303" i="138"/>
  <c r="K130" i="138"/>
  <c r="K3003" i="138"/>
  <c r="K2667" i="138"/>
  <c r="K125" i="138"/>
  <c r="K2051" i="138"/>
  <c r="K840" i="138"/>
  <c r="K2067" i="138"/>
  <c r="K931" i="138"/>
  <c r="K187" i="138"/>
  <c r="K906" i="138"/>
  <c r="K250" i="138"/>
  <c r="K1263" i="138"/>
  <c r="K2176" i="138"/>
  <c r="K4103" i="138"/>
  <c r="K2840" i="138"/>
  <c r="K1917" i="138"/>
  <c r="K2750" i="138"/>
  <c r="K2703" i="138"/>
  <c r="K304" i="138"/>
  <c r="K1971" i="138"/>
  <c r="K977" i="138"/>
  <c r="K1294" i="138"/>
  <c r="K3019" i="138"/>
  <c r="K1119" i="138"/>
  <c r="K666" i="138"/>
  <c r="K2846" i="138"/>
  <c r="K2854" i="138"/>
  <c r="K2965" i="138"/>
  <c r="K1157" i="138"/>
  <c r="K2178" i="138"/>
  <c r="K620" i="138"/>
  <c r="K3004" i="138"/>
  <c r="K557" i="138"/>
  <c r="K2241" i="138"/>
  <c r="K318" i="138"/>
  <c r="K3092" i="138"/>
  <c r="K1865" i="138"/>
  <c r="K277" i="138"/>
  <c r="K2027" i="138"/>
  <c r="K1870" i="138"/>
  <c r="K2432" i="138"/>
  <c r="K2075" i="138"/>
  <c r="K1163" i="138"/>
  <c r="K1975" i="138"/>
  <c r="K870" i="138"/>
  <c r="K1017" i="138"/>
  <c r="K3942" i="138"/>
  <c r="K619" i="138"/>
  <c r="K1808" i="138"/>
  <c r="K1769" i="138"/>
  <c r="K1789" i="138"/>
  <c r="K546" i="138"/>
  <c r="K2583" i="138"/>
  <c r="K894" i="138"/>
  <c r="K635" i="138"/>
  <c r="K2695" i="138"/>
  <c r="K2759" i="138"/>
  <c r="K2764" i="138"/>
  <c r="K2704" i="138"/>
  <c r="K2095" i="138"/>
  <c r="K2086" i="138"/>
  <c r="K2488" i="138"/>
  <c r="K4069" i="138"/>
  <c r="K24" i="138"/>
  <c r="K3986" i="138"/>
  <c r="K2316" i="138"/>
  <c r="K3954" i="138"/>
  <c r="K2071" i="138"/>
  <c r="K3079" i="138"/>
  <c r="K2864" i="138"/>
  <c r="K691" i="138"/>
  <c r="K1871" i="138"/>
  <c r="K64" i="138"/>
  <c r="K975" i="138"/>
  <c r="K2374" i="138"/>
  <c r="K2696" i="138"/>
  <c r="K1054" i="138"/>
  <c r="K2349" i="138"/>
  <c r="K2806" i="138"/>
  <c r="K1128" i="138"/>
  <c r="K1131" i="138"/>
  <c r="K1189" i="138"/>
  <c r="K582" i="138"/>
  <c r="K1900" i="138"/>
  <c r="K1306" i="138"/>
  <c r="K419" i="138"/>
  <c r="K2344" i="138"/>
  <c r="K2467" i="138"/>
  <c r="K502" i="138"/>
  <c r="K831" i="138"/>
  <c r="K2933" i="138"/>
  <c r="K2347" i="138"/>
  <c r="K2638" i="138"/>
  <c r="K2690" i="138"/>
  <c r="K1694" i="138"/>
  <c r="K2795" i="138"/>
  <c r="K1996" i="138"/>
  <c r="K652" i="138"/>
  <c r="K2559" i="138"/>
  <c r="K2573" i="138"/>
  <c r="K2493" i="138"/>
  <c r="K2156" i="138"/>
  <c r="K2758" i="138"/>
  <c r="K958" i="138"/>
  <c r="K2217" i="138"/>
  <c r="K1000" i="138"/>
  <c r="K2747" i="138"/>
  <c r="K2057" i="138"/>
  <c r="K2224" i="138"/>
  <c r="K913" i="138"/>
  <c r="K178" i="138"/>
  <c r="K576" i="138"/>
  <c r="K926" i="138"/>
  <c r="K303" i="138"/>
  <c r="K1798" i="138"/>
  <c r="K94" i="138"/>
  <c r="K2635" i="138"/>
  <c r="K2312" i="138"/>
  <c r="K2332" i="138"/>
  <c r="K2042" i="138"/>
  <c r="K2959" i="138"/>
  <c r="K2257" i="138"/>
  <c r="K1196" i="138"/>
  <c r="K1182" i="138"/>
  <c r="K2036" i="138"/>
  <c r="K2682" i="138"/>
  <c r="K2734" i="138"/>
  <c r="K2674" i="138"/>
  <c r="K923" i="138"/>
  <c r="K1051" i="138"/>
  <c r="K2004" i="138"/>
  <c r="K2367" i="138"/>
  <c r="K1894" i="138"/>
  <c r="K1800" i="138"/>
  <c r="K1056" i="138"/>
  <c r="K1095" i="138"/>
  <c r="K2061" i="138"/>
  <c r="K2478" i="138"/>
  <c r="K1889" i="138"/>
  <c r="K2964" i="138"/>
  <c r="K2370" i="138"/>
  <c r="K2841" i="138"/>
  <c r="K2979" i="138"/>
  <c r="K2890" i="138"/>
  <c r="K2960" i="138"/>
  <c r="K2891" i="138"/>
  <c r="K645" i="138"/>
  <c r="K311" i="138"/>
  <c r="K2852" i="138"/>
  <c r="K3020" i="138"/>
  <c r="K1875" i="138"/>
  <c r="K2624" i="138"/>
  <c r="K22" i="138"/>
  <c r="K300" i="138"/>
  <c r="K2600" i="138"/>
  <c r="K2632" i="138"/>
  <c r="K644" i="138"/>
  <c r="K2161" i="138"/>
  <c r="K2240" i="138"/>
  <c r="K617" i="138"/>
  <c r="K995" i="138"/>
  <c r="K2307" i="138"/>
  <c r="K2034" i="138"/>
  <c r="K1264" i="138"/>
  <c r="K1895" i="138"/>
  <c r="K396" i="138"/>
  <c r="K815" i="138"/>
  <c r="K2198" i="138"/>
  <c r="K2218" i="138"/>
  <c r="K3935" i="138"/>
  <c r="K366" i="138"/>
  <c r="K2603" i="138"/>
  <c r="K1258" i="138"/>
  <c r="K1254" i="138"/>
  <c r="K590" i="138"/>
  <c r="K1297" i="138"/>
  <c r="K2214" i="138"/>
  <c r="K4104" i="138"/>
  <c r="K1197" i="138"/>
  <c r="K2753" i="138"/>
  <c r="K2767" i="138"/>
  <c r="K118" i="138"/>
  <c r="K1069" i="138"/>
  <c r="K189" i="138"/>
  <c r="K497" i="138"/>
  <c r="K912" i="138"/>
  <c r="K1773" i="138"/>
  <c r="K2794" i="138"/>
  <c r="K936" i="138"/>
  <c r="K2998" i="138"/>
  <c r="K2228" i="138"/>
  <c r="K1299" i="138"/>
  <c r="K2340" i="138"/>
  <c r="K404" i="138"/>
  <c r="K2270" i="138"/>
  <c r="K649" i="138"/>
  <c r="K362" i="138"/>
  <c r="K746" i="138"/>
  <c r="K2232" i="138"/>
  <c r="K796" i="138"/>
  <c r="K2502" i="138"/>
  <c r="K1226" i="138"/>
  <c r="K2254" i="138"/>
  <c r="K1966" i="138"/>
  <c r="K1984" i="138"/>
  <c r="K665" i="138"/>
  <c r="K1728" i="138"/>
  <c r="K935" i="138"/>
  <c r="K657" i="138"/>
  <c r="K1879" i="138"/>
  <c r="K1221" i="138"/>
  <c r="K493" i="138"/>
  <c r="K1273" i="138"/>
  <c r="K1831" i="138"/>
  <c r="K2670" i="138"/>
  <c r="K2585" i="138"/>
  <c r="K2290" i="138"/>
  <c r="K1125" i="138"/>
  <c r="K2032" i="138"/>
  <c r="K486" i="138"/>
  <c r="K2688" i="138"/>
  <c r="K2838" i="138"/>
  <c r="K1019" i="138"/>
  <c r="K2082" i="138"/>
  <c r="K871" i="138"/>
  <c r="K3075" i="138"/>
  <c r="K1838" i="138"/>
  <c r="K3124" i="138"/>
  <c r="K1959" i="138"/>
  <c r="K1799" i="138"/>
  <c r="K1034" i="138"/>
  <c r="K1901" i="138"/>
  <c r="K2209" i="138"/>
  <c r="K2299" i="138"/>
  <c r="K147" i="138"/>
  <c r="K1203" i="138"/>
  <c r="K1195" i="138"/>
  <c r="K205" i="138"/>
  <c r="K2649" i="138"/>
  <c r="K298" i="138"/>
  <c r="K1892" i="138"/>
  <c r="K1305" i="138"/>
  <c r="K25" i="138"/>
  <c r="K2413" i="138"/>
  <c r="K806" i="138"/>
  <c r="K932" i="138"/>
  <c r="K1025" i="138"/>
  <c r="K965" i="138"/>
  <c r="K1846" i="138"/>
  <c r="K674" i="138"/>
  <c r="K1954" i="138"/>
  <c r="K3006" i="138"/>
  <c r="K1882" i="138"/>
  <c r="K564" i="138"/>
  <c r="K2859" i="138"/>
  <c r="K1103" i="138"/>
  <c r="K3021" i="138"/>
  <c r="K654" i="138"/>
  <c r="K2309" i="138"/>
  <c r="K2993" i="138"/>
  <c r="K653" i="138"/>
  <c r="K2358" i="138"/>
  <c r="K2099" i="138"/>
  <c r="K2373" i="138"/>
  <c r="K2724" i="138"/>
  <c r="K2001" i="138"/>
  <c r="K2799" i="138"/>
  <c r="K1708" i="138"/>
  <c r="K2655" i="138"/>
  <c r="K1884" i="138"/>
  <c r="K3074" i="138"/>
  <c r="K1007" i="138"/>
  <c r="K1986" i="138"/>
  <c r="K2321" i="138"/>
  <c r="K2843" i="138"/>
  <c r="K2328" i="138"/>
  <c r="K2536" i="138"/>
  <c r="K1205" i="138"/>
  <c r="K213" i="138"/>
  <c r="K1976" i="138"/>
  <c r="K129" i="138"/>
  <c r="K627" i="138"/>
  <c r="K1843" i="138"/>
  <c r="K2789" i="138"/>
  <c r="K575" i="138"/>
  <c r="K3012" i="138"/>
  <c r="K97" i="138"/>
  <c r="K1840" i="138"/>
  <c r="K1006" i="138"/>
  <c r="K914" i="138"/>
  <c r="K1925" i="138"/>
  <c r="K2012" i="138"/>
  <c r="K889" i="138"/>
  <c r="K1772" i="138"/>
  <c r="K2331" i="138"/>
  <c r="K663" i="138"/>
  <c r="K1039" i="138"/>
  <c r="K4095" i="138"/>
  <c r="K2208" i="138"/>
  <c r="K1284" i="138"/>
  <c r="K2710" i="138"/>
  <c r="K1919" i="138"/>
  <c r="K902" i="138"/>
  <c r="K1835" i="138"/>
  <c r="K2409" i="138"/>
  <c r="K540" i="138"/>
  <c r="K2601" i="138"/>
  <c r="K1240" i="138"/>
  <c r="K2500" i="138"/>
  <c r="K2127" i="138"/>
  <c r="K2230" i="138"/>
  <c r="K371" i="138"/>
  <c r="K997" i="138"/>
  <c r="K1176" i="138"/>
  <c r="K1946" i="138"/>
  <c r="K2611" i="138"/>
  <c r="K639" i="138"/>
  <c r="K133" i="138"/>
  <c r="K2205" i="138"/>
  <c r="K4092" i="138"/>
  <c r="K1223" i="138"/>
  <c r="K3968" i="138"/>
  <c r="K128" i="138"/>
  <c r="K1858" i="138"/>
  <c r="K2014" i="138"/>
  <c r="K1188" i="138"/>
  <c r="K2053" i="138"/>
  <c r="K2485" i="138"/>
  <c r="K2543" i="138"/>
  <c r="K3080" i="138"/>
  <c r="K2260" i="138"/>
  <c r="K4096" i="138"/>
  <c r="K2443" i="138"/>
  <c r="K2824" i="138"/>
  <c r="K1313" i="138"/>
  <c r="K1333" i="138"/>
  <c r="K1101" i="138"/>
  <c r="K2437" i="138"/>
  <c r="K2978" i="138"/>
  <c r="K1850" i="138"/>
  <c r="K2175" i="138"/>
  <c r="K100" i="138"/>
  <c r="K4118" i="138"/>
  <c r="K1786" i="138"/>
  <c r="K1837" i="138"/>
  <c r="K787" i="138"/>
  <c r="K1320" i="138"/>
  <c r="K1805" i="138"/>
  <c r="K1262" i="138"/>
  <c r="K606" i="138"/>
  <c r="K3094" i="138"/>
  <c r="K1165" i="138"/>
  <c r="K93" i="138"/>
  <c r="K1005" i="138"/>
  <c r="K2869" i="138"/>
  <c r="K2063" i="138"/>
  <c r="K2865" i="138"/>
  <c r="K993" i="138"/>
  <c r="K2644" i="138"/>
  <c r="K2779" i="138"/>
  <c r="K2853" i="138"/>
  <c r="K2503" i="138"/>
  <c r="K33" i="138"/>
  <c r="K2932" i="138"/>
  <c r="K2639" i="138"/>
  <c r="K1955" i="138"/>
  <c r="K1043" i="138"/>
  <c r="K1187" i="138"/>
  <c r="K1851" i="138"/>
  <c r="K2356" i="138"/>
  <c r="K1031" i="138"/>
  <c r="K3017" i="138"/>
  <c r="K2956" i="138"/>
  <c r="K1712" i="138"/>
  <c r="K745" i="138"/>
  <c r="K2952" i="138"/>
  <c r="K2069" i="138"/>
  <c r="K2983" i="138"/>
  <c r="K2096" i="138"/>
  <c r="K2934" i="138"/>
  <c r="K2941" i="138"/>
  <c r="K1207" i="138"/>
  <c r="K276" i="138"/>
  <c r="K2629" i="138"/>
  <c r="K2570" i="138"/>
  <c r="K1252" i="138"/>
  <c r="K980" i="138"/>
  <c r="K772" i="138"/>
  <c r="K943" i="138"/>
  <c r="K1001" i="138"/>
  <c r="K957" i="138"/>
  <c r="K1788" i="138"/>
  <c r="K2304" i="138"/>
  <c r="K2076" i="138"/>
  <c r="K2196" i="138"/>
  <c r="K950" i="138"/>
  <c r="K1819" i="138"/>
  <c r="K3112" i="138"/>
  <c r="K1116" i="138"/>
  <c r="K2403" i="138"/>
  <c r="K1261" i="138"/>
  <c r="K1220" i="138"/>
  <c r="K2244" i="138"/>
  <c r="K1298" i="138"/>
  <c r="K2028" i="138"/>
  <c r="K605" i="138"/>
  <c r="K2763" i="138"/>
  <c r="K842" i="138"/>
  <c r="K1960" i="138"/>
  <c r="K547" i="138"/>
  <c r="K808" i="138"/>
  <c r="K146" i="138"/>
  <c r="K2706" i="138"/>
  <c r="K4007" i="138"/>
  <c r="K2094" i="138"/>
  <c r="K2940" i="138"/>
  <c r="K987" i="138"/>
  <c r="K2636" i="138"/>
  <c r="K651" i="138"/>
  <c r="K1853" i="138"/>
  <c r="K2519" i="138"/>
  <c r="K1028" i="138"/>
  <c r="K951" i="138"/>
  <c r="K1923" i="138"/>
  <c r="K2033" i="138"/>
  <c r="K1855" i="138"/>
  <c r="K941" i="138"/>
  <c r="K58" i="138"/>
  <c r="K2553" i="138"/>
  <c r="K2664" i="138"/>
  <c r="K2330" i="138"/>
  <c r="K1186" i="138"/>
  <c r="K2928" i="138"/>
  <c r="K2219" i="138"/>
  <c r="K2935" i="138"/>
  <c r="K4073" i="138"/>
  <c r="K2393" i="138"/>
  <c r="K650" i="138"/>
  <c r="K31" i="138"/>
  <c r="K1144" i="138"/>
  <c r="K1052" i="138"/>
  <c r="K2937" i="138"/>
  <c r="K2631" i="138"/>
  <c r="K2275" i="138"/>
  <c r="K2617" i="138"/>
  <c r="K4046" i="138"/>
  <c r="K2540" i="138"/>
  <c r="K207" i="138"/>
  <c r="K3101" i="138"/>
  <c r="K1979" i="138"/>
  <c r="K3055" i="138"/>
  <c r="K1810" i="138"/>
  <c r="K1771" i="138"/>
  <c r="K3107" i="138"/>
  <c r="K1778" i="138"/>
  <c r="K2705" i="138"/>
  <c r="K915" i="138"/>
  <c r="K2142" i="138"/>
  <c r="K2394" i="138"/>
  <c r="K1060" i="138"/>
  <c r="K2271" i="138"/>
  <c r="K2084" i="138"/>
  <c r="K911" i="138"/>
  <c r="K876" i="138"/>
  <c r="K788" i="138"/>
  <c r="K383" i="138"/>
  <c r="K2926" i="138"/>
  <c r="K2640" i="138"/>
  <c r="K2988" i="138"/>
  <c r="K1174" i="138"/>
  <c r="K1274" i="138"/>
  <c r="K1270" i="138"/>
  <c r="K2938" i="138"/>
  <c r="K2654" i="138"/>
  <c r="K2923" i="138"/>
  <c r="K1828" i="138"/>
  <c r="K1146" i="138"/>
  <c r="K2387" i="138"/>
  <c r="K256" i="138"/>
  <c r="K1045" i="138"/>
  <c r="K2113" i="138"/>
  <c r="K2265" i="138"/>
  <c r="K1143" i="138"/>
  <c r="K270" i="138"/>
  <c r="K2018" i="138"/>
  <c r="K1130" i="138"/>
  <c r="K2048" i="138"/>
  <c r="K2456" i="138"/>
  <c r="K2650" i="138"/>
  <c r="K530" i="138"/>
  <c r="K336" i="138"/>
  <c r="K963" i="138"/>
  <c r="K2135" i="138"/>
  <c r="K2111" i="138"/>
  <c r="K2723" i="138"/>
  <c r="K2039" i="138"/>
  <c r="K748" i="138"/>
  <c r="K1943" i="138"/>
  <c r="K3091" i="138"/>
  <c r="K1907" i="138"/>
  <c r="K2622" i="138"/>
  <c r="K399" i="138"/>
  <c r="K857" i="138"/>
  <c r="K252" i="138"/>
  <c r="K586" i="138"/>
  <c r="K1987" i="138"/>
  <c r="K2385" i="138"/>
  <c r="K2346" i="138"/>
  <c r="K2608" i="138"/>
  <c r="K428" i="138"/>
  <c r="K1866" i="138"/>
  <c r="K1140" i="138"/>
  <c r="K1272" i="138"/>
  <c r="K2931" i="138"/>
  <c r="K2580" i="138"/>
  <c r="K149" i="138"/>
  <c r="K2227" i="138"/>
  <c r="K3119" i="138"/>
  <c r="K2231" i="138"/>
  <c r="K2101" i="138"/>
  <c r="K1785" i="138"/>
  <c r="K2783" i="138"/>
  <c r="K2005" i="138"/>
  <c r="K3048" i="138"/>
  <c r="K3952" i="138"/>
  <c r="K3105" i="138"/>
  <c r="K3069" i="138"/>
  <c r="K53" i="138"/>
  <c r="K3973" i="138"/>
  <c r="K210" i="138"/>
  <c r="K2495" i="138"/>
  <c r="K3028" i="138"/>
  <c r="K658" i="138"/>
  <c r="K2930" i="138"/>
  <c r="K183" i="138"/>
  <c r="K1957" i="138"/>
  <c r="K3005" i="138"/>
  <c r="K463" i="138"/>
  <c r="K970" i="138"/>
  <c r="K1687" i="138"/>
  <c r="K1282" i="138"/>
  <c r="K2337" i="138"/>
  <c r="K1897" i="138"/>
  <c r="K1969" i="138"/>
  <c r="K988" i="138"/>
  <c r="K2212" i="138"/>
  <c r="K2613" i="138"/>
  <c r="K1075" i="138"/>
  <c r="K3938" i="138"/>
  <c r="K1004" i="138"/>
  <c r="K127" i="138"/>
  <c r="K2414" i="138"/>
  <c r="K773" i="138"/>
  <c r="K54" i="138"/>
  <c r="K1213" i="138"/>
  <c r="K308" i="138"/>
  <c r="K117" i="138"/>
  <c r="K1215" i="138"/>
  <c r="K1134" i="138"/>
  <c r="K2284" i="138"/>
  <c r="K1191" i="138"/>
  <c r="K921" i="138"/>
  <c r="K1686" i="138"/>
  <c r="K2542" i="138"/>
  <c r="K2339" i="138"/>
  <c r="K2008" i="138"/>
  <c r="K2167" i="138"/>
  <c r="K1962" i="138"/>
  <c r="K1231" i="138"/>
  <c r="K2589" i="138"/>
  <c r="K891" i="138"/>
  <c r="K2771" i="138"/>
  <c r="K1035" i="138"/>
  <c r="K2269" i="138"/>
  <c r="K2041" i="138"/>
  <c r="K1877" i="138"/>
  <c r="K4091" i="138"/>
  <c r="K2194" i="138"/>
  <c r="K2220" i="138"/>
  <c r="K1225" i="138"/>
  <c r="K2272" i="138"/>
  <c r="K1266" i="138"/>
  <c r="K1911" i="138"/>
  <c r="K1794" i="138"/>
  <c r="K2772" i="138"/>
  <c r="K444" i="138"/>
  <c r="K1328" i="138"/>
  <c r="K3106" i="138"/>
  <c r="K2530" i="138"/>
  <c r="K583" i="138"/>
  <c r="K182" i="138"/>
  <c r="K2402" i="138"/>
  <c r="K1170" i="138"/>
  <c r="K2434" i="138"/>
  <c r="K531" i="138"/>
  <c r="K116" i="138"/>
  <c r="K2276" i="138"/>
  <c r="K2692" i="138"/>
  <c r="K836" i="138"/>
  <c r="K4077" i="138"/>
  <c r="K2862" i="138"/>
  <c r="K2698" i="138"/>
  <c r="K2576" i="138"/>
  <c r="K1330" i="138"/>
  <c r="K2141" i="138"/>
  <c r="K484" i="138"/>
  <c r="K2818" i="138"/>
  <c r="K388" i="138"/>
  <c r="K2420" i="138"/>
  <c r="K1235" i="138"/>
  <c r="K1061" i="138"/>
  <c r="K2516" i="138"/>
  <c r="K4074" i="138"/>
  <c r="K1685" i="138"/>
  <c r="K2486" i="138"/>
  <c r="K2733" i="138"/>
  <c r="K761" i="138"/>
  <c r="K904" i="138"/>
  <c r="K2597" i="138"/>
  <c r="K2522" i="138"/>
  <c r="K2529" i="138"/>
  <c r="K905" i="138"/>
  <c r="K2633" i="138"/>
  <c r="K996" i="138"/>
  <c r="K2179" i="138"/>
  <c r="K1726" i="138"/>
  <c r="K1820" i="138"/>
  <c r="K2802" i="138"/>
  <c r="K1864" i="138"/>
  <c r="K85" i="138"/>
  <c r="K903" i="138"/>
  <c r="K1861" i="138"/>
  <c r="K3044" i="138"/>
  <c r="K1936" i="138"/>
  <c r="K4065" i="138"/>
  <c r="K2491" i="138"/>
  <c r="K1688" i="138"/>
  <c r="K4042" i="138"/>
  <c r="K1985" i="138"/>
  <c r="K2186" i="138"/>
  <c r="K2874" i="138"/>
  <c r="K2310" i="138"/>
  <c r="K587" i="138"/>
  <c r="K1032" i="138"/>
  <c r="K2129" i="138"/>
  <c r="K26" i="138"/>
  <c r="K2279" i="138"/>
  <c r="K2863" i="138"/>
  <c r="K115" i="138"/>
  <c r="K1137" i="138"/>
  <c r="K2661" i="138"/>
  <c r="K1230" i="138"/>
  <c r="K2833" i="138"/>
  <c r="K2665" i="138"/>
  <c r="K1317" i="138"/>
  <c r="K1813" i="138"/>
  <c r="K1912" i="138"/>
  <c r="K892" i="138"/>
  <c r="K638" i="138"/>
  <c r="K680" i="138"/>
  <c r="K1038" i="138"/>
  <c r="K550" i="138"/>
  <c r="K2031" i="138"/>
  <c r="K2146" i="138"/>
  <c r="K2169" i="138"/>
  <c r="K2233" i="138"/>
  <c r="K299" i="138"/>
  <c r="K1124" i="138"/>
  <c r="K251" i="138"/>
  <c r="K949" i="138"/>
  <c r="K1228" i="138"/>
  <c r="K2060" i="138"/>
  <c r="K194" i="138"/>
  <c r="K551" i="138"/>
  <c r="K929" i="138"/>
  <c r="K942" i="138"/>
  <c r="K2663" i="138"/>
  <c r="K6" i="138"/>
  <c r="K181" i="138"/>
  <c r="K2646" i="138"/>
  <c r="K186" i="138"/>
  <c r="K306" i="138"/>
  <c r="K1733" i="138"/>
  <c r="K548" i="138"/>
  <c r="K2711" i="138"/>
  <c r="K401" i="138"/>
  <c r="K2548" i="138"/>
  <c r="K1093" i="138"/>
  <c r="K2513" i="138"/>
  <c r="K2713" i="138"/>
  <c r="K2830" i="138"/>
  <c r="K2871" i="138"/>
  <c r="K2399" i="138"/>
  <c r="K1321" i="138"/>
  <c r="K2104" i="138"/>
  <c r="K3115" i="138"/>
  <c r="K2252" i="138"/>
  <c r="K2242" i="138"/>
  <c r="K2860" i="138"/>
  <c r="K760" i="138"/>
  <c r="K2334" i="138"/>
  <c r="K3013" i="138"/>
  <c r="K3007" i="138"/>
  <c r="K2377" i="138"/>
  <c r="K2184" i="138"/>
  <c r="K1713" i="138"/>
  <c r="K629" i="138"/>
  <c r="K2255" i="138"/>
  <c r="K909" i="138"/>
  <c r="K1811" i="138"/>
  <c r="K662" i="138"/>
  <c r="K385" i="138"/>
  <c r="K1970" i="138"/>
  <c r="K1748" i="138"/>
  <c r="K2278" i="138"/>
  <c r="K4094" i="138"/>
  <c r="K3032" i="138"/>
  <c r="K1121" i="138"/>
  <c r="K2610" i="138"/>
  <c r="K1104" i="138"/>
  <c r="K2760" i="138"/>
  <c r="K90" i="138"/>
  <c r="K2755" i="138"/>
  <c r="K310" i="138"/>
  <c r="K2298" i="138"/>
  <c r="K1204" i="138"/>
  <c r="K4018" i="138"/>
  <c r="K394" i="138"/>
  <c r="K668" i="138"/>
  <c r="K14" i="138"/>
  <c r="K1030" i="138"/>
  <c r="K1147" i="138"/>
  <c r="K1755" i="138"/>
  <c r="K833" i="138"/>
  <c r="K2525" i="138"/>
  <c r="K2754" i="138"/>
  <c r="K2292" i="138"/>
  <c r="K2963" i="138"/>
  <c r="K9" i="138"/>
  <c r="K2019" i="138"/>
  <c r="K1904" i="138"/>
  <c r="K2685" i="138"/>
  <c r="K1020" i="138"/>
  <c r="K2006" i="138"/>
  <c r="K1102" i="138"/>
  <c r="K1991" i="138"/>
  <c r="K1862" i="138"/>
  <c r="K1337" i="138"/>
  <c r="K2687" i="138"/>
  <c r="K743" i="138"/>
  <c r="K2989" i="138"/>
  <c r="K1268" i="138"/>
  <c r="K1916" i="138"/>
  <c r="K1821" i="138"/>
  <c r="K2408" i="138"/>
  <c r="K2481" i="138"/>
  <c r="K220" i="138"/>
  <c r="K2118" i="138"/>
  <c r="K529" i="138"/>
  <c r="K738" i="138"/>
  <c r="K1099" i="138"/>
  <c r="K324" i="138"/>
  <c r="K4105" i="138"/>
  <c r="K2798" i="138"/>
  <c r="K890" i="138"/>
  <c r="K2426" i="138"/>
  <c r="K2416" i="138"/>
  <c r="K19" i="138"/>
  <c r="K2149" i="138"/>
  <c r="K2436" i="138"/>
  <c r="K1074" i="138"/>
  <c r="K2555" i="138"/>
  <c r="K1824" i="138"/>
  <c r="K457" i="138"/>
  <c r="K2994" i="138"/>
  <c r="K1888" i="138"/>
  <c r="K1891" i="138"/>
  <c r="K1746" i="138"/>
  <c r="K1910" i="138"/>
  <c r="K3026" i="138"/>
  <c r="K2406" i="138"/>
  <c r="K269" i="138"/>
  <c r="K1269" i="138"/>
  <c r="K2037" i="138"/>
  <c r="K3070" i="138"/>
  <c r="K2013" i="138"/>
  <c r="K1968" i="138"/>
  <c r="K2995" i="138"/>
  <c r="K131" i="138"/>
  <c r="K2080" i="138"/>
  <c r="K2223" i="138"/>
  <c r="K868" i="138"/>
  <c r="K67" i="138"/>
  <c r="K2584" i="138"/>
  <c r="K758" i="138"/>
  <c r="K1906" i="138"/>
  <c r="K2325" i="138"/>
  <c r="K1168" i="138"/>
  <c r="K659" i="138"/>
  <c r="K2324" i="138"/>
  <c r="K15" i="138"/>
  <c r="K2007" i="138"/>
  <c r="K505" i="138"/>
  <c r="K740" i="138"/>
  <c r="K648" i="138"/>
  <c r="K326" i="138"/>
  <c r="K389" i="138"/>
  <c r="K946" i="138"/>
  <c r="K3078" i="138"/>
  <c r="K3081" i="138"/>
  <c r="K1847" i="138"/>
  <c r="K4020" i="138"/>
  <c r="K2780" i="138"/>
  <c r="K2320" i="138"/>
  <c r="K1903" i="138"/>
  <c r="K2160" i="138"/>
  <c r="K1770" i="138"/>
  <c r="K1013" i="138"/>
  <c r="K2294" i="138"/>
  <c r="K137" i="138"/>
  <c r="K2668" i="138"/>
  <c r="K249" i="138"/>
  <c r="K114" i="138"/>
  <c r="K18" i="138"/>
  <c r="K184" i="138"/>
  <c r="K2880" i="138"/>
  <c r="K397" i="138"/>
  <c r="K1267" i="138"/>
  <c r="K1202" i="138"/>
  <c r="K1199" i="138"/>
  <c r="K2946" i="138"/>
  <c r="K1295" i="138"/>
  <c r="K4066" i="138"/>
  <c r="K101" i="138"/>
  <c r="K1841" i="138"/>
  <c r="K1872" i="138"/>
  <c r="K1296" i="138"/>
  <c r="K2669" i="138"/>
  <c r="K2728" i="138"/>
  <c r="K316" i="138"/>
  <c r="K2246" i="138"/>
  <c r="K2016" i="138"/>
  <c r="K95" i="138"/>
  <c r="K1232" i="138"/>
  <c r="K1219" i="138"/>
  <c r="K1087" i="138"/>
  <c r="K1249" i="138"/>
  <c r="K2850" i="138"/>
  <c r="K2489" i="138"/>
  <c r="K1183" i="138"/>
  <c r="K2701" i="138"/>
  <c r="K1123" i="138"/>
  <c r="K2300" i="138"/>
  <c r="K2163" i="138"/>
  <c r="K2766" i="138"/>
  <c r="K2476" i="138"/>
  <c r="K2433" i="138"/>
  <c r="K3955" i="138"/>
  <c r="K2676" i="138"/>
  <c r="K3024" i="138"/>
  <c r="K578" i="138"/>
  <c r="K2301" i="138"/>
  <c r="K2568" i="138"/>
  <c r="K2139" i="138"/>
  <c r="K1711" i="138"/>
  <c r="K1222" i="138"/>
  <c r="K3969" i="138"/>
  <c r="K775" i="138"/>
  <c r="K2380" i="138"/>
  <c r="K1918" i="138"/>
  <c r="K2887" i="138"/>
  <c r="K2904" i="138"/>
  <c r="K2902" i="138"/>
  <c r="K20" i="138"/>
  <c r="K2527" i="138"/>
  <c r="K2520" i="138"/>
  <c r="K364" i="138"/>
  <c r="K2066" i="138"/>
  <c r="K3966" i="138"/>
  <c r="K1271" i="138"/>
  <c r="K1793" i="138"/>
  <c r="K1880" i="138"/>
  <c r="K1705" i="138"/>
  <c r="K2712" i="138"/>
  <c r="K2480" i="138"/>
  <c r="K973" i="138"/>
  <c r="K1016" i="138"/>
  <c r="K2552" i="138"/>
  <c r="K1073" i="138"/>
  <c r="K439" i="138"/>
  <c r="K195" i="138"/>
  <c r="K1787" i="138"/>
  <c r="K1287" i="138"/>
  <c r="K2251" i="138"/>
  <c r="K624" i="138"/>
  <c r="K1823" i="138"/>
  <c r="K2088" i="138"/>
  <c r="K1234" i="138"/>
  <c r="K1809" i="138"/>
  <c r="K2268" i="138"/>
  <c r="K2609" i="138"/>
  <c r="K2743" i="138"/>
  <c r="K2765" i="138"/>
  <c r="K2720" i="138"/>
  <c r="K2749" i="138"/>
  <c r="K1255" i="138"/>
  <c r="K367" i="138"/>
  <c r="K2311" i="138"/>
  <c r="K2730" i="138"/>
  <c r="K2015" i="138"/>
  <c r="K2497" i="138"/>
  <c r="K2448" i="138"/>
  <c r="K2512" i="138"/>
  <c r="K744" i="138"/>
  <c r="K2684" i="138"/>
  <c r="K1141" i="138"/>
  <c r="K2044" i="138"/>
  <c r="K4107" i="138"/>
  <c r="K1009" i="138"/>
  <c r="K561" i="138"/>
  <c r="K483" i="138"/>
  <c r="K2425" i="138"/>
  <c r="K1767" i="138"/>
  <c r="K3936" i="138"/>
  <c r="K672" i="138"/>
  <c r="K2492" i="138"/>
  <c r="K4078" i="138"/>
  <c r="K1081" i="138"/>
  <c r="K2689" i="138"/>
  <c r="K1152" i="138"/>
  <c r="K2659" i="138"/>
  <c r="K2595" i="138"/>
  <c r="K2557" i="138"/>
  <c r="K2845" i="138"/>
  <c r="K2151" i="138"/>
  <c r="K2171" i="138"/>
  <c r="K1090" i="138"/>
  <c r="K2708" i="138"/>
  <c r="K99" i="138"/>
  <c r="K473" i="138"/>
  <c r="K382" i="138"/>
  <c r="K1094" i="138"/>
  <c r="K2939" i="138"/>
  <c r="K436" i="138"/>
  <c r="K477" i="138"/>
  <c r="K302" i="138"/>
  <c r="K4006" i="138"/>
  <c r="K340" i="138"/>
  <c r="K1062" i="138"/>
  <c r="K2919" i="138"/>
  <c r="K972" i="138"/>
  <c r="K2506" i="138"/>
  <c r="K2549" i="138"/>
  <c r="K2945" i="138"/>
  <c r="K420" i="138"/>
  <c r="K2590" i="138"/>
  <c r="K2166" i="138"/>
  <c r="K2804" i="138"/>
  <c r="K2496" i="138"/>
  <c r="K2792" i="138"/>
  <c r="K1212" i="138"/>
  <c r="K3988" i="138"/>
  <c r="K2446" i="138"/>
  <c r="K2452" i="138"/>
  <c r="K2462" i="138"/>
  <c r="K828" i="138"/>
  <c r="K403" i="138"/>
  <c r="K1097" i="138"/>
  <c r="K1047" i="138"/>
  <c r="K2401" i="138"/>
  <c r="K2484" i="138"/>
  <c r="K2174" i="138"/>
  <c r="K2499" i="138"/>
  <c r="K2927" i="138"/>
  <c r="K985" i="138"/>
  <c r="K2345" i="138"/>
  <c r="K1064" i="138"/>
  <c r="K2894" i="138"/>
  <c r="K2777" i="138"/>
  <c r="K933" i="138"/>
  <c r="K2049" i="138"/>
  <c r="K655" i="138"/>
  <c r="K1927" i="138"/>
  <c r="K682" i="138"/>
  <c r="K3104" i="138"/>
  <c r="K319" i="138"/>
  <c r="K2319" i="138"/>
  <c r="K2447" i="138"/>
  <c r="K792" i="138"/>
  <c r="K2702" i="138"/>
  <c r="K807" i="138"/>
  <c r="K1150" i="138"/>
  <c r="K2677" i="138"/>
  <c r="K2083" i="138"/>
  <c r="K2574" i="138"/>
  <c r="K2616" i="138"/>
  <c r="K886" i="138"/>
  <c r="K960" i="138"/>
  <c r="K2942" i="138"/>
  <c r="K2808" i="138"/>
  <c r="K2226" i="138"/>
  <c r="K1933" i="138"/>
  <c r="K1947" i="138"/>
  <c r="K793" i="138"/>
  <c r="K2423" i="138"/>
  <c r="K954" i="138"/>
  <c r="K2740" i="138"/>
  <c r="K3061" i="138"/>
  <c r="K83" i="138"/>
  <c r="K2" i="138"/>
  <c r="K1829" i="138"/>
  <c r="K1983" i="138"/>
  <c r="K84" i="138"/>
  <c r="K314" i="138"/>
  <c r="K1022" i="138"/>
  <c r="K1848" i="138"/>
  <c r="K458" i="138"/>
  <c r="K533" i="138"/>
  <c r="K119" i="138"/>
  <c r="K964" i="138"/>
  <c r="K2144" i="138"/>
  <c r="K1021" i="138"/>
  <c r="K1956" i="138"/>
  <c r="K2054" i="138"/>
  <c r="K579" i="138"/>
  <c r="K2470" i="138"/>
  <c r="K2109" i="138"/>
  <c r="K1024" i="138"/>
  <c r="K3043" i="138"/>
  <c r="K1142" i="138"/>
  <c r="K2819" i="138"/>
  <c r="K1247" i="138"/>
  <c r="K2849" i="138"/>
  <c r="K2681" i="138"/>
  <c r="K1200" i="138"/>
  <c r="K2680" i="138"/>
  <c r="K2147" i="138"/>
  <c r="K2651" i="138"/>
  <c r="K2133" i="138"/>
  <c r="K215" i="138"/>
  <c r="K741" i="138"/>
  <c r="K2087" i="138"/>
  <c r="K2717" i="138"/>
  <c r="K2471" i="138"/>
  <c r="K1040" i="138"/>
  <c r="K2929" i="138"/>
  <c r="K2329" i="138"/>
  <c r="K2526" i="138"/>
  <c r="K2535" i="138"/>
  <c r="K2922" i="138"/>
  <c r="K1059" i="138"/>
  <c r="K981" i="138"/>
  <c r="K4106" i="138"/>
  <c r="K3991" i="138"/>
  <c r="K482" i="138"/>
  <c r="K2383" i="138"/>
  <c r="K2354" i="138"/>
  <c r="K2392" i="138"/>
  <c r="K1951" i="138"/>
  <c r="K192" i="138"/>
  <c r="K2510" i="138"/>
  <c r="K1336" i="138"/>
  <c r="K1845" i="138"/>
  <c r="K955" i="138"/>
  <c r="K268" i="138"/>
  <c r="K2679" i="138"/>
  <c r="K4109" i="138"/>
  <c r="K2487" i="138"/>
  <c r="K858" i="138"/>
  <c r="K2029" i="138"/>
  <c r="K152" i="138"/>
  <c r="K2906" i="138"/>
  <c r="K113" i="138"/>
  <c r="K216" i="138"/>
  <c r="K3992" i="138"/>
  <c r="K1784" i="138"/>
  <c r="K2038" i="138"/>
  <c r="K764" i="138"/>
  <c r="K4068" i="138"/>
  <c r="K1833" i="138"/>
  <c r="K852" i="138"/>
  <c r="K2515" i="138"/>
  <c r="K998" i="138"/>
  <c r="K180" i="138"/>
  <c r="K1818" i="138"/>
  <c r="K1041" i="138"/>
  <c r="K2234" i="138"/>
  <c r="K3062" i="138"/>
  <c r="K427" i="138"/>
  <c r="K2397" i="138"/>
  <c r="K2369" i="138"/>
  <c r="K2207" i="138"/>
  <c r="K2805" i="138"/>
  <c r="K1111" i="138"/>
  <c r="K1139" i="138"/>
  <c r="K1753" i="138"/>
  <c r="K1086" i="138"/>
  <c r="K3958" i="138"/>
  <c r="K4041" i="138"/>
  <c r="K1801" i="138"/>
  <c r="K1804" i="138"/>
  <c r="K1745" i="138"/>
  <c r="K390" i="138"/>
  <c r="K887" i="138"/>
  <c r="K2630" i="138"/>
  <c r="K1027" i="138"/>
  <c r="K818" i="138"/>
  <c r="K421" i="138"/>
  <c r="K1994" i="138"/>
  <c r="K742" i="138"/>
  <c r="K2317" i="138"/>
  <c r="K2305" i="138"/>
  <c r="K92" i="138"/>
  <c r="K481" i="138"/>
  <c r="K3100" i="138"/>
  <c r="K641" i="138"/>
  <c r="K1949" i="138"/>
  <c r="K2498" i="138"/>
  <c r="K2134" i="138"/>
  <c r="K2951" i="138"/>
  <c r="K1012" i="138"/>
  <c r="K2390" i="138"/>
  <c r="K2729" i="138"/>
  <c r="K2124" i="138"/>
  <c r="K1856" i="138"/>
  <c r="K2415" i="138"/>
  <c r="K2289" i="138"/>
  <c r="K1148" i="138"/>
  <c r="K1920" i="138"/>
  <c r="K1092" i="138"/>
  <c r="K2652" i="138"/>
  <c r="K2145" i="138"/>
  <c r="K2117" i="138"/>
  <c r="K2675" i="138"/>
  <c r="K2464" i="138"/>
  <c r="K2314" i="138"/>
  <c r="K301" i="138"/>
  <c r="K2658" i="138"/>
  <c r="K1135" i="138"/>
  <c r="K1990" i="138"/>
  <c r="K1945" i="138"/>
  <c r="K4070" i="138"/>
  <c r="K647" i="138"/>
  <c r="K1002" i="138"/>
  <c r="K1995" i="138"/>
  <c r="K1048" i="138"/>
  <c r="K2143" i="138"/>
  <c r="K952" i="138"/>
  <c r="K2137" i="138"/>
  <c r="K2514" i="138"/>
  <c r="K3940" i="138"/>
  <c r="K2247" i="138"/>
  <c r="K1065" i="138"/>
  <c r="K1749" i="138"/>
  <c r="K2899" i="138"/>
  <c r="K1166" i="138"/>
  <c r="K2614" i="138"/>
  <c r="K830" i="138"/>
  <c r="K967" i="138"/>
  <c r="K939" i="138"/>
  <c r="K1253" i="138"/>
  <c r="K1117" i="138"/>
  <c r="K643" i="138"/>
  <c r="K2787" i="138"/>
  <c r="K2020" i="138"/>
  <c r="K2888" i="138"/>
  <c r="K2213" i="138"/>
  <c r="K2348" i="138"/>
  <c r="K1112" i="138"/>
  <c r="K2427" i="138"/>
  <c r="K2398" i="138"/>
  <c r="K1922" i="138"/>
  <c r="K29" i="138"/>
  <c r="K1053" i="138"/>
  <c r="K105" i="138"/>
  <c r="K1010" i="138"/>
  <c r="K676" i="138"/>
  <c r="K2181" i="138"/>
  <c r="K317" i="138"/>
  <c r="K2551" i="138"/>
  <c r="K2203" i="138"/>
  <c r="K1098" i="138"/>
  <c r="K984" i="138"/>
  <c r="K947" i="138"/>
  <c r="K462" i="138"/>
  <c r="K3045" i="138"/>
  <c r="K834" i="138"/>
  <c r="K2898" i="138"/>
  <c r="K89" i="138"/>
  <c r="K1834" i="138"/>
  <c r="K2068" i="138"/>
  <c r="K136" i="138"/>
  <c r="K2070" i="138"/>
  <c r="K2851" i="138"/>
  <c r="K2641" i="138"/>
  <c r="K699" i="138"/>
  <c r="K333" i="138"/>
  <c r="K2962" i="138"/>
  <c r="K1964" i="138"/>
  <c r="K1339" i="138"/>
  <c r="K1322" i="138"/>
  <c r="K1118" i="138"/>
  <c r="K2565" i="138"/>
  <c r="K1233" i="138"/>
  <c r="K342" i="138"/>
  <c r="K2264" i="138"/>
  <c r="K1887" i="138"/>
  <c r="K357" i="138"/>
  <c r="K2598" i="138"/>
  <c r="K1953" i="138"/>
  <c r="K900" i="138"/>
  <c r="K2599" i="138"/>
  <c r="K1245" i="138"/>
  <c r="K393" i="138"/>
  <c r="K1167" i="138"/>
  <c r="K2313" i="138"/>
  <c r="K2302" i="138"/>
  <c r="K280" i="138"/>
  <c r="K2483" i="138"/>
  <c r="K2287" i="138"/>
  <c r="K1037" i="138"/>
  <c r="K2283" i="138"/>
  <c r="K2459" i="138"/>
  <c r="K1816" i="138"/>
  <c r="K623" i="138"/>
  <c r="K1842" i="138"/>
  <c r="K4005" i="138"/>
  <c r="K2055" i="138"/>
  <c r="K618" i="138"/>
  <c r="K218" i="138"/>
  <c r="K211" i="138"/>
  <c r="K2404" i="138"/>
  <c r="K1318" i="138"/>
  <c r="K3063" i="138"/>
  <c r="K4013" i="138"/>
  <c r="K2035" i="138"/>
  <c r="K1929" i="138"/>
  <c r="K919" i="138"/>
  <c r="K1206" i="138"/>
  <c r="K2318" i="138"/>
  <c r="K1154" i="138"/>
  <c r="K1018" i="138"/>
  <c r="K2662" i="138"/>
  <c r="K869" i="138"/>
  <c r="K88" i="138"/>
  <c r="K1761" i="138"/>
  <c r="K2191" i="138"/>
  <c r="K626" i="138"/>
  <c r="K208" i="138"/>
  <c r="K87" i="138"/>
  <c r="K2647" i="138"/>
  <c r="K273" i="138"/>
  <c r="K1934" i="138"/>
  <c r="K2291" i="138"/>
  <c r="K1775" i="138"/>
  <c r="K1944" i="138"/>
  <c r="K928" i="138"/>
  <c r="K621" i="138"/>
  <c r="K3050" i="138"/>
  <c r="K1323" i="138"/>
  <c r="K526" i="138"/>
  <c r="K2303" i="138"/>
  <c r="K2386" i="138"/>
  <c r="K1948" i="138"/>
  <c r="K28" i="138"/>
  <c r="K3934" i="138"/>
  <c r="K395" i="138"/>
  <c r="K16" i="138"/>
  <c r="K2800" i="138"/>
  <c r="K3987" i="138"/>
  <c r="K2323" i="138"/>
  <c r="K1033" i="138"/>
  <c r="K2517" i="138"/>
  <c r="K1806" i="138"/>
  <c r="K2490" i="138"/>
  <c r="K2558" i="138"/>
  <c r="K2739" i="138"/>
  <c r="K2140" i="138"/>
  <c r="K2897" i="138"/>
  <c r="K2538" i="138"/>
  <c r="K1259" i="138"/>
  <c r="K2985" i="138"/>
  <c r="K120" i="138"/>
  <c r="K2460" i="138"/>
  <c r="K2250" i="138"/>
  <c r="K2455" i="138"/>
  <c r="K2439" i="138"/>
  <c r="K1974" i="138"/>
  <c r="K1080" i="138"/>
  <c r="K2326" i="138"/>
  <c r="K498" i="138"/>
  <c r="K2823" i="138"/>
  <c r="K2716" i="138"/>
  <c r="K2306" i="138"/>
  <c r="K140" i="138"/>
  <c r="K2885" i="138"/>
  <c r="K327" i="138"/>
  <c r="K2893" i="138"/>
  <c r="K1082" i="138"/>
  <c r="K501" i="138"/>
  <c r="K3939" i="138"/>
  <c r="K402" i="138"/>
  <c r="K2892" i="138"/>
  <c r="K2910" i="138"/>
  <c r="K1091" i="138"/>
  <c r="K1088" i="138"/>
  <c r="K2816" i="138"/>
  <c r="K2389" i="138"/>
  <c r="K1292" i="138"/>
  <c r="K488" i="138"/>
  <c r="K625" i="138"/>
  <c r="K1070" i="138"/>
  <c r="K1754" i="138"/>
  <c r="K2357" i="138"/>
  <c r="K1832" i="138"/>
  <c r="K305" i="138"/>
  <c r="K1227" i="138"/>
  <c r="K2587" i="138"/>
  <c r="K2235" i="138"/>
  <c r="K3967" i="138"/>
  <c r="K1815" i="138"/>
  <c r="K1239" i="138"/>
  <c r="K135" i="138"/>
  <c r="K636" i="138"/>
  <c r="K204" i="138"/>
  <c r="K2607" i="138"/>
  <c r="K1171" i="138"/>
  <c r="K3970" i="138"/>
  <c r="K854" i="138"/>
  <c r="K584" i="138"/>
  <c r="K1260" i="138"/>
  <c r="K1896" i="138"/>
  <c r="K1251" i="138"/>
  <c r="K2052" i="138"/>
  <c r="K1915" i="138"/>
  <c r="K1747" i="138"/>
  <c r="K2438" i="138"/>
  <c r="K8" i="138"/>
  <c r="K1693" i="138"/>
  <c r="K315" i="138"/>
  <c r="K2507" i="138"/>
  <c r="K759" i="138"/>
  <c r="K1965" i="138"/>
  <c r="K2886" i="138"/>
  <c r="K2801" i="138"/>
  <c r="K873" i="138"/>
  <c r="K1790" i="138"/>
  <c r="K2738" i="138"/>
  <c r="K2870" i="138"/>
  <c r="K2781" i="138"/>
  <c r="K2811" i="138"/>
  <c r="K2045" i="138"/>
  <c r="K254" i="138"/>
  <c r="K2131" i="138"/>
  <c r="K253" i="138"/>
  <c r="K2721" i="138"/>
  <c r="K562" i="138"/>
  <c r="K2817" i="138"/>
  <c r="K2645" i="138"/>
  <c r="K1190" i="138"/>
  <c r="K2699" i="138"/>
  <c r="K494" i="138"/>
  <c r="K1133" i="138"/>
  <c r="K1155" i="138"/>
  <c r="K3990" i="138"/>
  <c r="K1941" i="138"/>
  <c r="K1732" i="138"/>
  <c r="K2428" i="138"/>
  <c r="K2884" i="138"/>
  <c r="K255" i="138"/>
  <c r="K2883" i="138"/>
  <c r="K769" i="138"/>
  <c r="K2537" i="138"/>
  <c r="K563" i="138"/>
  <c r="K1077" i="138"/>
  <c r="K2908" i="138"/>
  <c r="K3014" i="138"/>
  <c r="K1058" i="138"/>
  <c r="K1209" i="138"/>
  <c r="K1216" i="138"/>
  <c r="K2744" i="138"/>
  <c r="K2170" i="138"/>
  <c r="K3056" i="138"/>
  <c r="K281" i="138"/>
  <c r="K1243" i="138"/>
  <c r="K877" i="138"/>
  <c r="K2112" i="138"/>
  <c r="K2990" i="138"/>
  <c r="K2751" i="138"/>
  <c r="K2895" i="138"/>
  <c r="K677" i="138"/>
  <c r="K2533" i="138"/>
  <c r="K2943" i="138"/>
  <c r="K1149" i="138"/>
  <c r="K2700" i="138"/>
  <c r="K2856" i="138"/>
  <c r="K1198" i="138"/>
  <c r="K4021" i="138"/>
  <c r="K1177" i="138"/>
  <c r="K1280" i="138"/>
  <c r="K693" i="138"/>
  <c r="K109" i="138"/>
  <c r="K2982" i="138"/>
  <c r="K2376" i="138"/>
  <c r="K221" i="138"/>
  <c r="K1277" i="138"/>
  <c r="K2971" i="138"/>
  <c r="K1924" i="138"/>
  <c r="K2909" i="138"/>
  <c r="K2872" i="138"/>
  <c r="K2947" i="138"/>
  <c r="K2341" i="138"/>
  <c r="K560" i="138"/>
  <c r="K1978" i="138"/>
  <c r="K2984" i="138"/>
  <c r="K4101" i="138"/>
  <c r="K2363" i="138"/>
  <c r="K2900" i="138"/>
  <c r="K2634" i="138"/>
  <c r="K791" i="138"/>
  <c r="K2554" i="138"/>
  <c r="K3008" i="138"/>
  <c r="K2072" i="138"/>
  <c r="K1288" i="138"/>
  <c r="K106" i="138"/>
  <c r="K2637" i="138"/>
  <c r="K134" i="138"/>
  <c r="K3095" i="138"/>
  <c r="K1768" i="138"/>
  <c r="K2628" i="138"/>
  <c r="K1241" i="138"/>
  <c r="K2100" i="138"/>
  <c r="K1029" i="138"/>
  <c r="K1164" i="138"/>
  <c r="K2085" i="138"/>
  <c r="K2107" i="138"/>
  <c r="K2769" i="138"/>
  <c r="K361" i="138"/>
  <c r="K2807" i="138"/>
  <c r="K2742" i="138"/>
  <c r="K2793" i="138"/>
  <c r="K765" i="138"/>
  <c r="K479" i="138"/>
  <c r="K2756" i="138"/>
  <c r="K1709" i="138"/>
  <c r="K2173" i="138"/>
  <c r="K962" i="138"/>
  <c r="K2364" i="138"/>
  <c r="K642" i="138"/>
  <c r="K219" i="138"/>
  <c r="K2731" i="138"/>
  <c r="K1175" i="138"/>
  <c r="K3994" i="138"/>
  <c r="K4048" i="138"/>
  <c r="K1257" i="138"/>
  <c r="K2473" i="138"/>
  <c r="K3957" i="138"/>
  <c r="K527" i="138"/>
  <c r="K2421" i="138"/>
  <c r="K671" i="138"/>
  <c r="K762" i="138"/>
  <c r="K2748" i="138"/>
  <c r="K2735" i="138"/>
  <c r="K1727" i="138"/>
  <c r="K4045" i="138"/>
  <c r="K1085" i="138"/>
  <c r="K1096" i="138"/>
  <c r="K2451" i="138"/>
  <c r="K2450" i="138"/>
  <c r="K2136" i="138"/>
  <c r="K2315" i="138"/>
  <c r="K603" i="138"/>
  <c r="K1194" i="138"/>
  <c r="K2828" i="138"/>
  <c r="K1076" i="138"/>
  <c r="K2327" i="138"/>
  <c r="K2119" i="138"/>
  <c r="K2130" i="138"/>
  <c r="K667" i="138"/>
  <c r="K2388" i="138"/>
  <c r="K2150" i="138"/>
  <c r="K2972" i="138"/>
  <c r="K1291" i="138"/>
  <c r="K2834" i="138"/>
  <c r="K2395" i="138"/>
  <c r="K2381" i="138"/>
  <c r="K2961" i="138"/>
  <c r="K2672" i="138"/>
  <c r="K2372" i="138"/>
  <c r="K1066" i="138"/>
  <c r="K1178" i="138"/>
  <c r="K415" i="138"/>
  <c r="K1878" i="138"/>
  <c r="K320" i="138"/>
  <c r="K1814" i="138"/>
  <c r="K1796" i="138"/>
  <c r="K4040" i="138"/>
  <c r="K1849" i="138"/>
  <c r="K2745" i="138"/>
  <c r="K2882" i="138"/>
  <c r="K500" i="138"/>
  <c r="K4076" i="138"/>
  <c r="K2243" i="138"/>
  <c r="K953" i="138"/>
  <c r="K1757" i="138"/>
  <c r="K2058" i="138"/>
  <c r="K2980" i="138"/>
  <c r="K1286" i="138"/>
  <c r="K1153" i="138"/>
  <c r="K2281" i="138"/>
  <c r="K4075" i="138"/>
  <c r="K2905" i="138"/>
  <c r="K2992" i="138"/>
  <c r="K2382" i="138"/>
  <c r="K141" i="138"/>
  <c r="K810" i="138"/>
  <c r="K1107" i="138"/>
  <c r="K2000" i="138"/>
  <c r="K853" i="138"/>
  <c r="K209" i="138"/>
  <c r="K918" i="138"/>
  <c r="K1071" i="138"/>
  <c r="K1807" i="138"/>
  <c r="K185" i="138"/>
  <c r="K1244" i="138"/>
  <c r="K2556" i="138"/>
  <c r="K2625" i="138"/>
  <c r="K2788" i="138"/>
  <c r="K2785" i="138"/>
  <c r="K1776" i="138"/>
  <c r="K790" i="138"/>
  <c r="K990" i="138"/>
  <c r="K27" i="138"/>
  <c r="K2523" i="138"/>
  <c r="K895" i="138"/>
  <c r="K982" i="138"/>
  <c r="K1752" i="138"/>
  <c r="K2064" i="138"/>
  <c r="K979" i="138"/>
  <c r="K107" i="138"/>
  <c r="K2065" i="138"/>
  <c r="K4010" i="138"/>
  <c r="K1181" i="138"/>
  <c r="K2105" i="138"/>
  <c r="K2774" i="138"/>
  <c r="K771" i="138"/>
  <c r="K837" i="138"/>
  <c r="K4098" i="138"/>
  <c r="K2121" i="138"/>
  <c r="K2778" i="138"/>
  <c r="K1160" i="138"/>
  <c r="K206" i="138"/>
  <c r="K637" i="138"/>
  <c r="K2903" i="138"/>
  <c r="K11" i="138"/>
  <c r="K809" i="138"/>
  <c r="K2736" i="138"/>
  <c r="K3959" i="138"/>
  <c r="K2752" i="138"/>
  <c r="K1759" i="138"/>
  <c r="K2466" i="138"/>
  <c r="K2153" i="138"/>
  <c r="K1988" i="138"/>
  <c r="K461" i="138"/>
  <c r="K1011" i="138"/>
  <c r="K2458" i="138"/>
  <c r="K1084" i="138"/>
  <c r="K2479" i="138"/>
  <c r="K2831" i="138"/>
  <c r="K278" i="138"/>
  <c r="K602" i="138"/>
  <c r="K2746" i="138"/>
  <c r="K794" i="138"/>
  <c r="K2861" i="138"/>
  <c r="K2847" i="138"/>
  <c r="K855" i="138"/>
  <c r="K496" i="138"/>
  <c r="K2826" i="138"/>
  <c r="K4012" i="138"/>
  <c r="K2116" i="138"/>
  <c r="K214" i="138"/>
  <c r="K56" i="138"/>
  <c r="K499" i="138"/>
  <c r="K763" i="138"/>
  <c r="K2848" i="138"/>
  <c r="K2024" i="138"/>
  <c r="K2115" i="138"/>
  <c r="K634" i="138"/>
  <c r="K1079" i="138"/>
  <c r="K1072" i="138"/>
  <c r="K2889" i="138"/>
  <c r="K2102" i="138"/>
  <c r="K139" i="138"/>
  <c r="K1110" i="138"/>
  <c r="K321" i="138"/>
  <c r="K2907" i="138"/>
  <c r="K532" i="138"/>
  <c r="K2477" i="138"/>
  <c r="K1105" i="138"/>
  <c r="K151" i="138"/>
  <c r="K3058" i="138"/>
  <c r="K2021" i="138"/>
  <c r="K2128" i="138"/>
  <c r="K1797" i="138"/>
  <c r="K1782" i="138"/>
  <c r="K1248" i="138"/>
  <c r="K2430" i="138"/>
  <c r="K1169" i="138"/>
  <c r="K2263" i="138"/>
  <c r="K1751" i="138"/>
  <c r="K2431" i="138"/>
  <c r="K1937" i="138"/>
  <c r="K3989" i="138"/>
  <c r="K1707" i="138"/>
  <c r="K369" i="138"/>
  <c r="K1958" i="138"/>
  <c r="K2237" i="138"/>
  <c r="K1067" i="138"/>
  <c r="K2465" i="138"/>
  <c r="K110" i="138"/>
  <c r="K2295" i="138"/>
  <c r="K581" i="138"/>
  <c r="K2545" i="138"/>
  <c r="K2571" i="138"/>
  <c r="K307" i="138"/>
  <c r="K2796" i="138"/>
  <c r="K2790" i="138"/>
  <c r="K1885" i="138"/>
  <c r="K2737" i="138"/>
  <c r="K1852" i="138"/>
  <c r="K191" i="138"/>
  <c r="K2056" i="138"/>
  <c r="K3953" i="138"/>
  <c r="K2417" i="138"/>
  <c r="K2592" i="138"/>
  <c r="K2782" i="138"/>
  <c r="K2288" i="138"/>
  <c r="K4014" i="138"/>
  <c r="K108" i="138"/>
  <c r="K3956" i="138"/>
  <c r="K2297" i="138"/>
  <c r="K442" i="138"/>
  <c r="K2308" i="138"/>
  <c r="K1156" i="138"/>
  <c r="K4015" i="138"/>
  <c r="K12" i="138"/>
  <c r="K2457" i="138"/>
  <c r="K838" i="138"/>
  <c r="K4004" i="138"/>
  <c r="K1691" i="138"/>
  <c r="K2282" i="138"/>
  <c r="K2362" i="138"/>
  <c r="K423" i="138"/>
  <c r="K1817" i="138"/>
  <c r="K360" i="138"/>
  <c r="K2441" i="138"/>
  <c r="K2829" i="138"/>
  <c r="K2725" i="138"/>
  <c r="K872" i="138"/>
  <c r="K2187" i="138"/>
  <c r="K5" i="138"/>
  <c r="K3985" i="138"/>
  <c r="K1977" i="138"/>
  <c r="K2844" i="138"/>
  <c r="K2440" i="138"/>
  <c r="K811" i="138"/>
  <c r="K2770" i="138"/>
  <c r="K372" i="138"/>
  <c r="K1825" i="138"/>
  <c r="K1982" i="138"/>
  <c r="K86" i="138"/>
  <c r="K4" i="138"/>
  <c r="K1309" i="138"/>
  <c r="K1256" i="138"/>
  <c r="K1893" i="138"/>
  <c r="K2030" i="138"/>
  <c r="K57" i="138"/>
  <c r="K1869" i="138"/>
  <c r="K1881" i="138"/>
  <c r="K3046" i="138"/>
  <c r="K2435" i="138"/>
  <c r="K2422" i="138"/>
  <c r="K179" i="138"/>
  <c r="K414" i="138"/>
  <c r="K2159" i="138"/>
  <c r="K2361" i="138"/>
  <c r="K2110" i="138"/>
  <c r="K17" i="138"/>
  <c r="K111" i="138"/>
  <c r="K2296" i="138"/>
  <c r="K112" i="138"/>
  <c r="K2353" i="138"/>
  <c r="K2248" i="138"/>
  <c r="K1050" i="138"/>
  <c r="K1281" i="138"/>
  <c r="K217" i="138"/>
  <c r="K2901" i="138"/>
  <c r="K1860" i="138"/>
  <c r="K1909" i="138"/>
  <c r="K2180" i="138"/>
  <c r="K2091" i="138"/>
  <c r="K3972" i="138"/>
  <c r="K138" i="138"/>
  <c r="K1301" i="138"/>
  <c r="K604" i="138"/>
  <c r="K1914" i="138"/>
  <c r="K2419" i="138"/>
  <c r="K543" i="138"/>
  <c r="K3984" i="138"/>
  <c r="K2803" i="138"/>
  <c r="K2970" i="138"/>
  <c r="K2855" i="138"/>
  <c r="K3016" i="138"/>
  <c r="K1078" i="138"/>
  <c r="K2258" i="138"/>
  <c r="K827" i="138"/>
  <c r="K150" i="138"/>
  <c r="K901" i="138"/>
  <c r="K2454" i="138"/>
  <c r="K2023" i="138"/>
  <c r="K908" i="138"/>
  <c r="K445" i="138"/>
  <c r="K2165" i="138"/>
  <c r="K2967" i="138"/>
  <c r="K2718" i="138"/>
  <c r="K363" i="138"/>
  <c r="K856" i="138"/>
  <c r="K826" i="138"/>
  <c r="K1760" i="138"/>
  <c r="K1162" i="138"/>
  <c r="K4044" i="138"/>
  <c r="K1981" i="138"/>
  <c r="K2407" i="138"/>
  <c r="K2620" i="138"/>
  <c r="K2582" i="138"/>
  <c r="K2791" i="138"/>
  <c r="K391" i="138"/>
  <c r="K2190" i="138"/>
  <c r="K387" i="138"/>
  <c r="K1765" i="138"/>
  <c r="K426" i="138"/>
  <c r="K924" i="138"/>
  <c r="K2606" i="138"/>
  <c r="K2222" i="138"/>
  <c r="K2073" i="138"/>
  <c r="K2727" i="138"/>
  <c r="K2090" i="138"/>
  <c r="K2079" i="138"/>
  <c r="K417" i="138"/>
  <c r="K2074" i="138"/>
  <c r="K2761" i="138"/>
  <c r="K2797" i="138"/>
  <c r="K4047" i="138"/>
  <c r="K338" i="138"/>
  <c r="K10" i="138"/>
  <c r="K2524" i="138"/>
  <c r="K670" i="138"/>
  <c r="K1265" i="138"/>
  <c r="K480" i="138"/>
  <c r="K2475" i="138"/>
  <c r="K1068" i="138"/>
  <c r="K441" i="138"/>
  <c r="K1278" i="138"/>
  <c r="K103" i="138"/>
  <c r="K2285" i="138"/>
  <c r="K2444" i="138"/>
  <c r="K2472" i="138"/>
  <c r="K2469" i="138"/>
  <c r="K2040" i="138"/>
  <c r="K1972" i="138"/>
  <c r="K339" i="138"/>
  <c r="K1285" i="138"/>
  <c r="K358" i="138"/>
  <c r="K2449" i="138"/>
  <c r="K2125" i="138"/>
  <c r="K148" i="138"/>
  <c r="K2293" i="138"/>
  <c r="K2494" i="138"/>
  <c r="K487" i="138"/>
  <c r="K460" i="138"/>
  <c r="K279" i="138"/>
  <c r="K917" i="138"/>
  <c r="K355" i="138"/>
  <c r="K1179" i="138"/>
  <c r="K2461" i="138"/>
  <c r="K2814" i="138"/>
  <c r="K3015" i="138"/>
  <c r="K2950" i="138"/>
  <c r="K2505" i="138"/>
  <c r="K1055" i="138"/>
  <c r="K2877" i="138"/>
  <c r="K1173" i="138"/>
  <c r="K549" i="138"/>
  <c r="K1692" i="138"/>
  <c r="K630" i="138"/>
  <c r="K1938" i="138"/>
  <c r="K2896" i="138"/>
  <c r="K1106" i="138"/>
  <c r="K1803" i="138"/>
  <c r="K1158" i="138"/>
  <c r="K896" i="138"/>
  <c r="K622" i="138"/>
  <c r="K2776" i="138"/>
  <c r="K2726" i="138"/>
  <c r="K4019" i="138"/>
  <c r="K2741" i="138"/>
  <c r="K1731" i="138"/>
  <c r="K271" i="138"/>
  <c r="K2757" i="138"/>
  <c r="K1883" i="138"/>
  <c r="K1115" i="138"/>
  <c r="K528" i="138"/>
  <c r="K2424" i="138"/>
  <c r="K2418" i="138"/>
  <c r="K2858" i="138"/>
  <c r="K4100" i="138"/>
  <c r="O2976" i="138" l="1"/>
  <c r="O2997" i="138"/>
  <c r="O1928" i="138"/>
  <c r="O3031" i="138"/>
  <c r="O2182" i="138"/>
  <c r="O1122" i="138"/>
  <c r="O2981" i="138"/>
  <c r="O1836" i="138"/>
  <c r="O1184" i="138"/>
  <c r="O1089" i="138"/>
  <c r="O2162" i="138"/>
  <c r="O2508" i="138"/>
  <c r="O2666" i="138"/>
  <c r="O2280" i="138"/>
  <c r="O2410" i="138"/>
  <c r="O588" i="138"/>
  <c r="O841" i="138"/>
  <c r="O1723" i="138"/>
  <c r="O2097" i="138"/>
  <c r="O3" i="138"/>
  <c r="O577" i="138"/>
  <c r="N2438" i="138"/>
  <c r="M2438" i="138"/>
  <c r="N1251" i="138"/>
  <c r="M1251" i="138"/>
  <c r="N854" i="138"/>
  <c r="M854" i="138"/>
  <c r="N204" i="138"/>
  <c r="M204" i="138"/>
  <c r="O204" i="138" s="1"/>
  <c r="N1815" i="138"/>
  <c r="M1815" i="138"/>
  <c r="O1815" i="138" s="1"/>
  <c r="N1227" i="138"/>
  <c r="M1227" i="138"/>
  <c r="O1227" i="138" s="1"/>
  <c r="N1754" i="138"/>
  <c r="M1754" i="138"/>
  <c r="N1292" i="138"/>
  <c r="M1292" i="138"/>
  <c r="N1091" i="138"/>
  <c r="M1091" i="138"/>
  <c r="O1091" i="138" s="1"/>
  <c r="N3939" i="138"/>
  <c r="M3939" i="138"/>
  <c r="O3939" i="138" s="1"/>
  <c r="N327" i="138"/>
  <c r="M327" i="138"/>
  <c r="N2716" i="138"/>
  <c r="M2716" i="138"/>
  <c r="O2716" i="138" s="1"/>
  <c r="N1080" i="138"/>
  <c r="M1080" i="138"/>
  <c r="O2250" i="138"/>
  <c r="N2250" i="138"/>
  <c r="M2250" i="138"/>
  <c r="N1259" i="138"/>
  <c r="O1259" i="138" s="1"/>
  <c r="M1259" i="138"/>
  <c r="N2739" i="138"/>
  <c r="M2739" i="138"/>
  <c r="N2517" i="138"/>
  <c r="M2517" i="138"/>
  <c r="N2800" i="138"/>
  <c r="M2800" i="138"/>
  <c r="O2800" i="138" s="1"/>
  <c r="N28" i="138"/>
  <c r="M28" i="138"/>
  <c r="N526" i="138"/>
  <c r="M526" i="138"/>
  <c r="O526" i="138" s="1"/>
  <c r="N928" i="138"/>
  <c r="M928" i="138"/>
  <c r="N1934" i="138"/>
  <c r="M1934" i="138"/>
  <c r="N208" i="138"/>
  <c r="M208" i="138"/>
  <c r="N88" i="138"/>
  <c r="M88" i="138"/>
  <c r="O88" i="138" s="1"/>
  <c r="N1154" i="138"/>
  <c r="M1154" i="138"/>
  <c r="O1154" i="138" s="1"/>
  <c r="N1929" i="138"/>
  <c r="M1929" i="138"/>
  <c r="O1929" i="138" s="1"/>
  <c r="N1318" i="138"/>
  <c r="M1318" i="138"/>
  <c r="N618" i="138"/>
  <c r="M618" i="138"/>
  <c r="O618" i="138" s="1"/>
  <c r="N623" i="138"/>
  <c r="M623" i="138"/>
  <c r="O623" i="138" s="1"/>
  <c r="N1037" i="138"/>
  <c r="M1037" i="138"/>
  <c r="O1037" i="138" s="1"/>
  <c r="N2302" i="138"/>
  <c r="M2302" i="138"/>
  <c r="N1245" i="138"/>
  <c r="M1245" i="138"/>
  <c r="N2598" i="138"/>
  <c r="M2598" i="138"/>
  <c r="N342" i="138"/>
  <c r="M342" i="138"/>
  <c r="O342" i="138" s="1"/>
  <c r="N1322" i="138"/>
  <c r="M1322" i="138"/>
  <c r="N333" i="138"/>
  <c r="M333" i="138"/>
  <c r="N2070" i="138"/>
  <c r="M2070" i="138"/>
  <c r="N89" i="138"/>
  <c r="M89" i="138"/>
  <c r="O89" i="138" s="1"/>
  <c r="N462" i="138"/>
  <c r="M462" i="138"/>
  <c r="N2203" i="138"/>
  <c r="M2203" i="138"/>
  <c r="O2203" i="138" s="1"/>
  <c r="N676" i="138"/>
  <c r="M676" i="138"/>
  <c r="O676" i="138" s="1"/>
  <c r="N29" i="138"/>
  <c r="O29" i="138" s="1"/>
  <c r="M29" i="138"/>
  <c r="N1112" i="138"/>
  <c r="M1112" i="138"/>
  <c r="N2020" i="138"/>
  <c r="M2020" i="138"/>
  <c r="O2020" i="138" s="1"/>
  <c r="N1253" i="138"/>
  <c r="M1253" i="138"/>
  <c r="O1253" i="138" s="1"/>
  <c r="N2614" i="138"/>
  <c r="M2614" i="138"/>
  <c r="O2614" i="138" s="1"/>
  <c r="N1065" i="138"/>
  <c r="M1065" i="138"/>
  <c r="N2137" i="138"/>
  <c r="M2137" i="138"/>
  <c r="N1995" i="138"/>
  <c r="M1995" i="138"/>
  <c r="N1945" i="138"/>
  <c r="M1945" i="138"/>
  <c r="N301" i="138"/>
  <c r="M301" i="138"/>
  <c r="N2117" i="138"/>
  <c r="M2117" i="138"/>
  <c r="O2117" i="138" s="1"/>
  <c r="N1920" i="138"/>
  <c r="M1920" i="138"/>
  <c r="O1920" i="138" s="1"/>
  <c r="N1856" i="138"/>
  <c r="M1856" i="138"/>
  <c r="N1012" i="138"/>
  <c r="M1012" i="138"/>
  <c r="N1949" i="138"/>
  <c r="M1949" i="138"/>
  <c r="N92" i="138"/>
  <c r="M92" i="138"/>
  <c r="O92" i="138" s="1"/>
  <c r="N1994" i="138"/>
  <c r="M1994" i="138"/>
  <c r="O1994" i="138" s="1"/>
  <c r="N2630" i="138"/>
  <c r="M2630" i="138"/>
  <c r="N1804" i="138"/>
  <c r="M1804" i="138"/>
  <c r="O1804" i="138" s="1"/>
  <c r="N1086" i="138"/>
  <c r="M1086" i="138"/>
  <c r="N2805" i="138"/>
  <c r="M2805" i="138"/>
  <c r="O2805" i="138" s="1"/>
  <c r="N427" i="138"/>
  <c r="M427" i="138"/>
  <c r="N1818" i="138"/>
  <c r="M1818" i="138"/>
  <c r="N852" i="138"/>
  <c r="M852" i="138"/>
  <c r="N2038" i="138"/>
  <c r="M2038" i="138"/>
  <c r="O2038" i="138" s="1"/>
  <c r="N113" i="138"/>
  <c r="O113" i="138" s="1"/>
  <c r="M113" i="138"/>
  <c r="N858" i="138"/>
  <c r="M858" i="138"/>
  <c r="O858" i="138" s="1"/>
  <c r="N268" i="138"/>
  <c r="M268" i="138"/>
  <c r="O268" i="138" s="1"/>
  <c r="N2510" i="138"/>
  <c r="M2510" i="138"/>
  <c r="O2510" i="138" s="1"/>
  <c r="N2354" i="138"/>
  <c r="M2354" i="138"/>
  <c r="N4106" i="138"/>
  <c r="M4106" i="138"/>
  <c r="N2535" i="138"/>
  <c r="M2535" i="138"/>
  <c r="N1040" i="138"/>
  <c r="M1040" i="138"/>
  <c r="O1040" i="138" s="1"/>
  <c r="N741" i="138"/>
  <c r="M741" i="138"/>
  <c r="N2147" i="138"/>
  <c r="M2147" i="138"/>
  <c r="N2849" i="138"/>
  <c r="M2849" i="138"/>
  <c r="N3043" i="138"/>
  <c r="O3043" i="138" s="1"/>
  <c r="M3043" i="138"/>
  <c r="N579" i="138"/>
  <c r="M579" i="138"/>
  <c r="N2144" i="138"/>
  <c r="M2144" i="138"/>
  <c r="N458" i="138"/>
  <c r="M458" i="138"/>
  <c r="O458" i="138" s="1"/>
  <c r="N84" i="138"/>
  <c r="M84" i="138"/>
  <c r="N83" i="138"/>
  <c r="M83" i="138"/>
  <c r="N2423" i="138"/>
  <c r="M2423" i="138"/>
  <c r="N2226" i="138"/>
  <c r="M2226" i="138"/>
  <c r="N886" i="138"/>
  <c r="M886" i="138"/>
  <c r="O886" i="138" s="1"/>
  <c r="N2677" i="138"/>
  <c r="M2677" i="138"/>
  <c r="N792" i="138"/>
  <c r="M792" i="138"/>
  <c r="N3104" i="138"/>
  <c r="M3104" i="138"/>
  <c r="O3104" i="138" s="1"/>
  <c r="N2049" i="138"/>
  <c r="M2049" i="138"/>
  <c r="O2049" i="138" s="1"/>
  <c r="N1064" i="138"/>
  <c r="M1064" i="138"/>
  <c r="N2499" i="138"/>
  <c r="M2499" i="138"/>
  <c r="N1047" i="138"/>
  <c r="M1047" i="138"/>
  <c r="N2462" i="138"/>
  <c r="M2462" i="138"/>
  <c r="N1212" i="138"/>
  <c r="M1212" i="138"/>
  <c r="N2166" i="138"/>
  <c r="M2166" i="138"/>
  <c r="O2166" i="138" s="1"/>
  <c r="N2549" i="138"/>
  <c r="M2549" i="138"/>
  <c r="N1062" i="138"/>
  <c r="M1062" i="138"/>
  <c r="N477" i="138"/>
  <c r="M477" i="138"/>
  <c r="N382" i="138"/>
  <c r="M382" i="138"/>
  <c r="N1090" i="138"/>
  <c r="M1090" i="138"/>
  <c r="N2557" i="138"/>
  <c r="M2557" i="138"/>
  <c r="O2557" i="138" s="1"/>
  <c r="N2689" i="138"/>
  <c r="M2689" i="138"/>
  <c r="N672" i="138"/>
  <c r="M672" i="138"/>
  <c r="N483" i="138"/>
  <c r="M483" i="138"/>
  <c r="N2044" i="138"/>
  <c r="M2044" i="138"/>
  <c r="N2512" i="138"/>
  <c r="M2512" i="138"/>
  <c r="N2730" i="138"/>
  <c r="M2730" i="138"/>
  <c r="O2730" i="138" s="1"/>
  <c r="N2749" i="138"/>
  <c r="M2749" i="138"/>
  <c r="N2609" i="138"/>
  <c r="M2609" i="138"/>
  <c r="O2609" i="138" s="1"/>
  <c r="N2088" i="138"/>
  <c r="M2088" i="138"/>
  <c r="N1287" i="138"/>
  <c r="M1287" i="138"/>
  <c r="N1073" i="138"/>
  <c r="M1073" i="138"/>
  <c r="O1073" i="138" s="1"/>
  <c r="N2480" i="138"/>
  <c r="M2480" i="138"/>
  <c r="N1793" i="138"/>
  <c r="M1793" i="138"/>
  <c r="N364" i="138"/>
  <c r="M364" i="138"/>
  <c r="O364" i="138" s="1"/>
  <c r="N2902" i="138"/>
  <c r="M2902" i="138"/>
  <c r="O2902" i="138" s="1"/>
  <c r="N2380" i="138"/>
  <c r="M2380" i="138"/>
  <c r="N1711" i="138"/>
  <c r="M1711" i="138"/>
  <c r="N578" i="138"/>
  <c r="M578" i="138"/>
  <c r="N2433" i="138"/>
  <c r="M2433" i="138"/>
  <c r="O2433" i="138" s="1"/>
  <c r="N2300" i="138"/>
  <c r="M2300" i="138"/>
  <c r="N2489" i="138"/>
  <c r="M2489" i="138"/>
  <c r="N1219" i="138"/>
  <c r="M1219" i="138"/>
  <c r="O1219" i="138" s="1"/>
  <c r="N2246" i="138"/>
  <c r="M2246" i="138"/>
  <c r="O1296" i="138"/>
  <c r="N1296" i="138"/>
  <c r="M1296" i="138"/>
  <c r="N4066" i="138"/>
  <c r="M4066" i="138"/>
  <c r="N1202" i="138"/>
  <c r="M1202" i="138"/>
  <c r="N184" i="138"/>
  <c r="M184" i="138"/>
  <c r="N2668" i="138"/>
  <c r="M2668" i="138"/>
  <c r="O2668" i="138" s="1"/>
  <c r="N1770" i="138"/>
  <c r="M1770" i="138"/>
  <c r="N2780" i="138"/>
  <c r="M2780" i="138"/>
  <c r="O2780" i="138" s="1"/>
  <c r="N3078" i="138"/>
  <c r="M3078" i="138"/>
  <c r="N648" i="138"/>
  <c r="M648" i="138"/>
  <c r="N15" i="138"/>
  <c r="O15" i="138" s="1"/>
  <c r="M15" i="138"/>
  <c r="N2325" i="138"/>
  <c r="M2325" i="138"/>
  <c r="O2325" i="138" s="1"/>
  <c r="N67" i="138"/>
  <c r="M67" i="138"/>
  <c r="O67" i="138" s="1"/>
  <c r="N131" i="138"/>
  <c r="M131" i="138"/>
  <c r="N3070" i="138"/>
  <c r="M3070" i="138"/>
  <c r="N2406" i="138"/>
  <c r="M2406" i="138"/>
  <c r="N1891" i="138"/>
  <c r="M1891" i="138"/>
  <c r="N1824" i="138"/>
  <c r="M1824" i="138"/>
  <c r="O1824" i="138" s="1"/>
  <c r="N2149" i="138"/>
  <c r="M2149" i="138"/>
  <c r="N890" i="138"/>
  <c r="M890" i="138"/>
  <c r="O890" i="138" s="1"/>
  <c r="N1099" i="138"/>
  <c r="M1099" i="138"/>
  <c r="N220" i="138"/>
  <c r="M220" i="138"/>
  <c r="N1916" i="138"/>
  <c r="M1916" i="138"/>
  <c r="N2687" i="138"/>
  <c r="M2687" i="138"/>
  <c r="O2687" i="138" s="1"/>
  <c r="N1102" i="138"/>
  <c r="M1102" i="138"/>
  <c r="O1102" i="138" s="1"/>
  <c r="N1904" i="138"/>
  <c r="M1904" i="138"/>
  <c r="O1904" i="138" s="1"/>
  <c r="N2292" i="138"/>
  <c r="M2292" i="138"/>
  <c r="N1755" i="138"/>
  <c r="M1755" i="138"/>
  <c r="N668" i="138"/>
  <c r="M668" i="138"/>
  <c r="N2298" i="138"/>
  <c r="M2298" i="138"/>
  <c r="N2760" i="138"/>
  <c r="M2760" i="138"/>
  <c r="N3032" i="138"/>
  <c r="M3032" i="138"/>
  <c r="N1970" i="138"/>
  <c r="M1970" i="138"/>
  <c r="N909" i="138"/>
  <c r="M909" i="138"/>
  <c r="N2184" i="138"/>
  <c r="M2184" i="138"/>
  <c r="N2334" i="138"/>
  <c r="M2334" i="138"/>
  <c r="O2334" i="138" s="1"/>
  <c r="N2252" i="138"/>
  <c r="M2252" i="138"/>
  <c r="O2252" i="138" s="1"/>
  <c r="N2399" i="138"/>
  <c r="M2399" i="138"/>
  <c r="O2399" i="138" s="1"/>
  <c r="N2513" i="138"/>
  <c r="O2513" i="138" s="1"/>
  <c r="M2513" i="138"/>
  <c r="N2711" i="138"/>
  <c r="M2711" i="138"/>
  <c r="N186" i="138"/>
  <c r="M186" i="138"/>
  <c r="N2663" i="138"/>
  <c r="M2663" i="138"/>
  <c r="O2663" i="138" s="1"/>
  <c r="N194" i="138"/>
  <c r="M194" i="138"/>
  <c r="N251" i="138"/>
  <c r="M251" i="138"/>
  <c r="N2169" i="138"/>
  <c r="M2169" i="138"/>
  <c r="N1038" i="138"/>
  <c r="M1038" i="138"/>
  <c r="N1912" i="138"/>
  <c r="M1912" i="138"/>
  <c r="N2833" i="138"/>
  <c r="M2833" i="138"/>
  <c r="N115" i="138"/>
  <c r="M115" i="138"/>
  <c r="N2129" i="138"/>
  <c r="M2129" i="138"/>
  <c r="N2874" i="138"/>
  <c r="M2874" i="138"/>
  <c r="N1688" i="138"/>
  <c r="M1688" i="138"/>
  <c r="N3044" i="138"/>
  <c r="M3044" i="138"/>
  <c r="N1864" i="138"/>
  <c r="M1864" i="138"/>
  <c r="O1864" i="138" s="1"/>
  <c r="N2179" i="138"/>
  <c r="M2179" i="138"/>
  <c r="N2529" i="138"/>
  <c r="M2529" i="138"/>
  <c r="N761" i="138"/>
  <c r="M761" i="138"/>
  <c r="N4074" i="138"/>
  <c r="M4074" i="138"/>
  <c r="N2420" i="138"/>
  <c r="M2420" i="138"/>
  <c r="N2141" i="138"/>
  <c r="M2141" i="138"/>
  <c r="N2862" i="138"/>
  <c r="M2862" i="138"/>
  <c r="O2862" i="138" s="1"/>
  <c r="N2276" i="138"/>
  <c r="M2276" i="138"/>
  <c r="O2276" i="138" s="1"/>
  <c r="N1170" i="138"/>
  <c r="M1170" i="138"/>
  <c r="N2530" i="138"/>
  <c r="M2530" i="138"/>
  <c r="N2772" i="138"/>
  <c r="M2772" i="138"/>
  <c r="N2272" i="138"/>
  <c r="M2272" i="138"/>
  <c r="O2272" i="138" s="1"/>
  <c r="N4091" i="138"/>
  <c r="M4091" i="138"/>
  <c r="N1035" i="138"/>
  <c r="M1035" i="138"/>
  <c r="N1231" i="138"/>
  <c r="M1231" i="138"/>
  <c r="N2339" i="138"/>
  <c r="M2339" i="138"/>
  <c r="N1191" i="138"/>
  <c r="M1191" i="138"/>
  <c r="N117" i="138"/>
  <c r="M117" i="138"/>
  <c r="O117" i="138" s="1"/>
  <c r="N773" i="138"/>
  <c r="M773" i="138"/>
  <c r="N3938" i="138"/>
  <c r="M3938" i="138"/>
  <c r="N988" i="138"/>
  <c r="M988" i="138"/>
  <c r="N1282" i="138"/>
  <c r="M1282" i="138"/>
  <c r="N3005" i="138"/>
  <c r="M3005" i="138"/>
  <c r="O3005" i="138" s="1"/>
  <c r="N658" i="138"/>
  <c r="M658" i="138"/>
  <c r="O658" i="138" s="1"/>
  <c r="N3973" i="138"/>
  <c r="M3973" i="138"/>
  <c r="N3952" i="138"/>
  <c r="M3952" i="138"/>
  <c r="N1785" i="138"/>
  <c r="M1785" i="138"/>
  <c r="O2227" i="138"/>
  <c r="N2227" i="138"/>
  <c r="M2227" i="138"/>
  <c r="N1272" i="138"/>
  <c r="M1272" i="138"/>
  <c r="N2608" i="138"/>
  <c r="M2608" i="138"/>
  <c r="N586" i="138"/>
  <c r="M586" i="138"/>
  <c r="O586" i="138" s="1"/>
  <c r="N2622" i="138"/>
  <c r="M2622" i="138"/>
  <c r="O2622" i="138" s="1"/>
  <c r="N748" i="138"/>
  <c r="M748" i="138"/>
  <c r="N2135" i="138"/>
  <c r="M2135" i="138"/>
  <c r="N2650" i="138"/>
  <c r="M2650" i="138"/>
  <c r="N2018" i="138"/>
  <c r="M2018" i="138"/>
  <c r="N2113" i="138"/>
  <c r="M2113" i="138"/>
  <c r="N1146" i="138"/>
  <c r="M1146" i="138"/>
  <c r="N2938" i="138"/>
  <c r="M2938" i="138"/>
  <c r="O2938" i="138" s="1"/>
  <c r="N2988" i="138"/>
  <c r="O2988" i="138" s="1"/>
  <c r="M2988" i="138"/>
  <c r="N788" i="138"/>
  <c r="M788" i="138"/>
  <c r="N2271" i="138"/>
  <c r="M2271" i="138"/>
  <c r="N915" i="138"/>
  <c r="M915" i="138"/>
  <c r="N1771" i="138"/>
  <c r="M1771" i="138"/>
  <c r="O1771" i="138" s="1"/>
  <c r="N3101" i="138"/>
  <c r="M3101" i="138"/>
  <c r="N2617" i="138"/>
  <c r="M2617" i="138"/>
  <c r="N1052" i="138"/>
  <c r="M1052" i="138"/>
  <c r="N2393" i="138"/>
  <c r="M2393" i="138"/>
  <c r="N2928" i="138"/>
  <c r="M2928" i="138"/>
  <c r="N2553" i="138"/>
  <c r="M2553" i="138"/>
  <c r="O2553" i="138" s="1"/>
  <c r="N2033" i="138"/>
  <c r="M2033" i="138"/>
  <c r="O2033" i="138" s="1"/>
  <c r="N2519" i="138"/>
  <c r="M2519" i="138"/>
  <c r="O2519" i="138" s="1"/>
  <c r="N987" i="138"/>
  <c r="O987" i="138" s="1"/>
  <c r="M987" i="138"/>
  <c r="N2706" i="138"/>
  <c r="M2706" i="138"/>
  <c r="N1960" i="138"/>
  <c r="M1960" i="138"/>
  <c r="O1960" i="138" s="1"/>
  <c r="N2028" i="138"/>
  <c r="M2028" i="138"/>
  <c r="N1261" i="138"/>
  <c r="M1261" i="138"/>
  <c r="N1819" i="138"/>
  <c r="M1819" i="138"/>
  <c r="O1819" i="138" s="1"/>
  <c r="N2304" i="138"/>
  <c r="M2304" i="138"/>
  <c r="N943" i="138"/>
  <c r="M943" i="138"/>
  <c r="N2570" i="138"/>
  <c r="M2570" i="138"/>
  <c r="N2941" i="138"/>
  <c r="M2941" i="138"/>
  <c r="O2941" i="138" s="1"/>
  <c r="N2069" i="138"/>
  <c r="M2069" i="138"/>
  <c r="O2069" i="138" s="1"/>
  <c r="N2956" i="138"/>
  <c r="M2956" i="138"/>
  <c r="N1851" i="138"/>
  <c r="M1851" i="138"/>
  <c r="N2639" i="138"/>
  <c r="M2639" i="138"/>
  <c r="N2853" i="138"/>
  <c r="M2853" i="138"/>
  <c r="O2853" i="138" s="1"/>
  <c r="N2865" i="138"/>
  <c r="M2865" i="138"/>
  <c r="O2865" i="138" s="1"/>
  <c r="N93" i="138"/>
  <c r="M93" i="138"/>
  <c r="N1262" i="138"/>
  <c r="M1262" i="138"/>
  <c r="N1837" i="138"/>
  <c r="M1837" i="138"/>
  <c r="N2175" i="138"/>
  <c r="O2175" i="138" s="1"/>
  <c r="M2175" i="138"/>
  <c r="N1101" i="138"/>
  <c r="M1101" i="138"/>
  <c r="N2443" i="138"/>
  <c r="M2443" i="138"/>
  <c r="N2543" i="138"/>
  <c r="M2543" i="138"/>
  <c r="O2543" i="138" s="1"/>
  <c r="N2014" i="138"/>
  <c r="M2014" i="138"/>
  <c r="O2014" i="138" s="1"/>
  <c r="N1223" i="138"/>
  <c r="M1223" i="138"/>
  <c r="N639" i="138"/>
  <c r="M639" i="138"/>
  <c r="N997" i="138"/>
  <c r="M997" i="138"/>
  <c r="O997" i="138" s="1"/>
  <c r="N2500" i="138"/>
  <c r="M2500" i="138"/>
  <c r="O2500" i="138" s="1"/>
  <c r="N2409" i="138"/>
  <c r="M2409" i="138"/>
  <c r="N2710" i="138"/>
  <c r="M2710" i="138"/>
  <c r="O2710" i="138" s="1"/>
  <c r="N1039" i="138"/>
  <c r="M1039" i="138"/>
  <c r="N889" i="138"/>
  <c r="M889" i="138"/>
  <c r="N1006" i="138"/>
  <c r="M1006" i="138"/>
  <c r="N575" i="138"/>
  <c r="M575" i="138"/>
  <c r="N129" i="138"/>
  <c r="M129" i="138"/>
  <c r="N2536" i="138"/>
  <c r="M2536" i="138"/>
  <c r="O2536" i="138" s="1"/>
  <c r="N1986" i="138"/>
  <c r="M1986" i="138"/>
  <c r="N2655" i="138"/>
  <c r="M2655" i="138"/>
  <c r="N2724" i="138"/>
  <c r="M2724" i="138"/>
  <c r="N653" i="138"/>
  <c r="M653" i="138"/>
  <c r="O653" i="138" s="1"/>
  <c r="N3021" i="138"/>
  <c r="M3021" i="138"/>
  <c r="N1882" i="138"/>
  <c r="M1882" i="138"/>
  <c r="O1882" i="138" s="1"/>
  <c r="N1846" i="138"/>
  <c r="M1846" i="138"/>
  <c r="N806" i="138"/>
  <c r="M806" i="138"/>
  <c r="N1892" i="138"/>
  <c r="M1892" i="138"/>
  <c r="N1195" i="138"/>
  <c r="M1195" i="138"/>
  <c r="N2209" i="138"/>
  <c r="M2209" i="138"/>
  <c r="O2209" i="138" s="1"/>
  <c r="N1959" i="138"/>
  <c r="M1959" i="138"/>
  <c r="O1959" i="138" s="1"/>
  <c r="N871" i="138"/>
  <c r="M871" i="138"/>
  <c r="N2688" i="138"/>
  <c r="M2688" i="138"/>
  <c r="N2290" i="138"/>
  <c r="M2290" i="138"/>
  <c r="N1273" i="138"/>
  <c r="M1273" i="138"/>
  <c r="O1273" i="138" s="1"/>
  <c r="N657" i="138"/>
  <c r="M657" i="138"/>
  <c r="N1984" i="138"/>
  <c r="M1984" i="138"/>
  <c r="N2502" i="138"/>
  <c r="M2502" i="138"/>
  <c r="N362" i="138"/>
  <c r="M362" i="138"/>
  <c r="O362" i="138" s="1"/>
  <c r="N2340" i="138"/>
  <c r="M2340" i="138"/>
  <c r="N936" i="138"/>
  <c r="M936" i="138"/>
  <c r="O936" i="138" s="1"/>
  <c r="N497" i="138"/>
  <c r="M497" i="138"/>
  <c r="O497" i="138" s="1"/>
  <c r="N2767" i="138"/>
  <c r="M2767" i="138"/>
  <c r="N2214" i="138"/>
  <c r="M2214" i="138"/>
  <c r="N1258" i="138"/>
  <c r="M1258" i="138"/>
  <c r="N2218" i="138"/>
  <c r="M2218" i="138"/>
  <c r="N1895" i="138"/>
  <c r="M1895" i="138"/>
  <c r="O1895" i="138" s="1"/>
  <c r="N995" i="138"/>
  <c r="M995" i="138"/>
  <c r="N644" i="138"/>
  <c r="M644" i="138"/>
  <c r="N22" i="138"/>
  <c r="M22" i="138"/>
  <c r="N2852" i="138"/>
  <c r="M2852" i="138"/>
  <c r="O2852" i="138" s="1"/>
  <c r="N2960" i="138"/>
  <c r="M2960" i="138"/>
  <c r="N2370" i="138"/>
  <c r="M2370" i="138"/>
  <c r="N2061" i="138"/>
  <c r="M2061" i="138"/>
  <c r="N1894" i="138"/>
  <c r="M1894" i="138"/>
  <c r="O1894" i="138" s="1"/>
  <c r="N923" i="138"/>
  <c r="M923" i="138"/>
  <c r="N2036" i="138"/>
  <c r="M2036" i="138"/>
  <c r="N2959" i="138"/>
  <c r="M2959" i="138"/>
  <c r="N2635" i="138"/>
  <c r="M2635" i="138"/>
  <c r="N926" i="138"/>
  <c r="M926" i="138"/>
  <c r="N2224" i="138"/>
  <c r="M2224" i="138"/>
  <c r="O2224" i="138" s="1"/>
  <c r="N2217" i="138"/>
  <c r="M2217" i="138"/>
  <c r="N2493" i="138"/>
  <c r="M2493" i="138"/>
  <c r="N1996" i="138"/>
  <c r="M1996" i="138"/>
  <c r="N2638" i="138"/>
  <c r="M2638" i="138"/>
  <c r="N502" i="138"/>
  <c r="M502" i="138"/>
  <c r="O502" i="138" s="1"/>
  <c r="N1306" i="138"/>
  <c r="M1306" i="138"/>
  <c r="O1306" i="138" s="1"/>
  <c r="N1131" i="138"/>
  <c r="M1131" i="138"/>
  <c r="N1054" i="138"/>
  <c r="M1054" i="138"/>
  <c r="N64" i="138"/>
  <c r="M64" i="138"/>
  <c r="N3079" i="138"/>
  <c r="M3079" i="138"/>
  <c r="O3079" i="138" s="1"/>
  <c r="N3986" i="138"/>
  <c r="M3986" i="138"/>
  <c r="N2086" i="138"/>
  <c r="M2086" i="138"/>
  <c r="N2759" i="138"/>
  <c r="M2759" i="138"/>
  <c r="O2759" i="138" s="1"/>
  <c r="N2583" i="138"/>
  <c r="M2583" i="138"/>
  <c r="N1808" i="138"/>
  <c r="M1808" i="138"/>
  <c r="N870" i="138"/>
  <c r="M870" i="138"/>
  <c r="O870" i="138" s="1"/>
  <c r="N2432" i="138"/>
  <c r="M2432" i="138"/>
  <c r="O2432" i="138" s="1"/>
  <c r="N1865" i="138"/>
  <c r="M1865" i="138"/>
  <c r="N557" i="138"/>
  <c r="M557" i="138"/>
  <c r="N1157" i="138"/>
  <c r="M1157" i="138"/>
  <c r="N666" i="138"/>
  <c r="M666" i="138"/>
  <c r="N977" i="138"/>
  <c r="M977" i="138"/>
  <c r="O977" i="138" s="1"/>
  <c r="N2750" i="138"/>
  <c r="M2750" i="138"/>
  <c r="N2176" i="138"/>
  <c r="M2176" i="138"/>
  <c r="O2176" i="138" s="1"/>
  <c r="N187" i="138"/>
  <c r="M187" i="138"/>
  <c r="N2051" i="138"/>
  <c r="M2051" i="138"/>
  <c r="N130" i="138"/>
  <c r="M130" i="138"/>
  <c r="N1779" i="138"/>
  <c r="M1779" i="138"/>
  <c r="O1779" i="138" s="1"/>
  <c r="N2168" i="138"/>
  <c r="M2168" i="138"/>
  <c r="N961" i="138"/>
  <c r="M961" i="138"/>
  <c r="N2627" i="138"/>
  <c r="M2627" i="138"/>
  <c r="N2532" i="138"/>
  <c r="M2532" i="138"/>
  <c r="N3022" i="138"/>
  <c r="M3022" i="138"/>
  <c r="N2375" i="138"/>
  <c r="M2375" i="138"/>
  <c r="O2375" i="138" s="1"/>
  <c r="N4108" i="138"/>
  <c r="M4108" i="138"/>
  <c r="N459" i="138"/>
  <c r="M459" i="138"/>
  <c r="N354" i="138"/>
  <c r="M354" i="138"/>
  <c r="O354" i="138" s="1"/>
  <c r="N2336" i="138"/>
  <c r="O2336" i="138" s="1"/>
  <c r="M2336" i="138"/>
  <c r="N2199" i="138"/>
  <c r="M2199" i="138"/>
  <c r="N1312" i="138"/>
  <c r="M1312" i="138"/>
  <c r="N1315" i="138"/>
  <c r="M1315" i="138"/>
  <c r="O1315" i="138" s="1"/>
  <c r="N153" i="138"/>
  <c r="M153" i="138"/>
  <c r="O153" i="138" s="1"/>
  <c r="N2047" i="138"/>
  <c r="M2047" i="138"/>
  <c r="N1706" i="138"/>
  <c r="M1706" i="138"/>
  <c r="N188" i="138"/>
  <c r="M188" i="138"/>
  <c r="N368" i="138"/>
  <c r="M368" i="138"/>
  <c r="N986" i="138"/>
  <c r="M986" i="138"/>
  <c r="N3941" i="138"/>
  <c r="M3941" i="138"/>
  <c r="O3941" i="138" s="1"/>
  <c r="N1193" i="138"/>
  <c r="M1193" i="138"/>
  <c r="O1193" i="138" s="1"/>
  <c r="N2827" i="138"/>
  <c r="M2827" i="138"/>
  <c r="N2338" i="138"/>
  <c r="M2338" i="138"/>
  <c r="N2277" i="138"/>
  <c r="M2277" i="138"/>
  <c r="N2106" i="138"/>
  <c r="M2106" i="138"/>
  <c r="N1750" i="138"/>
  <c r="M1750" i="138"/>
  <c r="O1750" i="138" s="1"/>
  <c r="N2236" i="138"/>
  <c r="M2236" i="138"/>
  <c r="N3108" i="138"/>
  <c r="M3108" i="138"/>
  <c r="N2528" i="138"/>
  <c r="M2528" i="138"/>
  <c r="N2822" i="138"/>
  <c r="M2822" i="138"/>
  <c r="O2822" i="138" s="1"/>
  <c r="N2671" i="138"/>
  <c r="M2671" i="138"/>
  <c r="N1781" i="138"/>
  <c r="M1781" i="138"/>
  <c r="O1781" i="138" s="1"/>
  <c r="N2825" i="138"/>
  <c r="M2825" i="138"/>
  <c r="O2825" i="138" s="1"/>
  <c r="N2081" i="138"/>
  <c r="M2081" i="138"/>
  <c r="N2249" i="138"/>
  <c r="O2249" i="138" s="1"/>
  <c r="M2249" i="138"/>
  <c r="N59" i="138"/>
  <c r="M59" i="138"/>
  <c r="N664" i="138"/>
  <c r="M664" i="138"/>
  <c r="O664" i="138" s="1"/>
  <c r="N999" i="138"/>
  <c r="M999" i="138"/>
  <c r="O999" i="138" s="1"/>
  <c r="N2561" i="138"/>
  <c r="M2561" i="138"/>
  <c r="N2366" i="138"/>
  <c r="M2366" i="138"/>
  <c r="N3023" i="138"/>
  <c r="M3023" i="138"/>
  <c r="N2011" i="138"/>
  <c r="O2011" i="138" s="1"/>
  <c r="M2011" i="138"/>
  <c r="N534" i="138"/>
  <c r="M534" i="138"/>
  <c r="N309" i="138"/>
  <c r="M309" i="138"/>
  <c r="N2239" i="138"/>
  <c r="M2239" i="138"/>
  <c r="O1109" i="138"/>
  <c r="N1109" i="138"/>
  <c r="M1109" i="138"/>
  <c r="N392" i="138"/>
  <c r="M392" i="138"/>
  <c r="N2017" i="138"/>
  <c r="M2017" i="138"/>
  <c r="O2017" i="138" s="1"/>
  <c r="N2193" i="138"/>
  <c r="M2193" i="138"/>
  <c r="N2221" i="138"/>
  <c r="M2221" i="138"/>
  <c r="N30" i="138"/>
  <c r="M30" i="138"/>
  <c r="N2678" i="138"/>
  <c r="M2678" i="138"/>
  <c r="N2322" i="138"/>
  <c r="M2322" i="138"/>
  <c r="N2261" i="138"/>
  <c r="M2261" i="138"/>
  <c r="O2261" i="138" s="1"/>
  <c r="N2546" i="138"/>
  <c r="M2546" i="138"/>
  <c r="N2618" i="138"/>
  <c r="M2618" i="138"/>
  <c r="N2266" i="138"/>
  <c r="M2266" i="138"/>
  <c r="O2266" i="138" s="1"/>
  <c r="N2501" i="138"/>
  <c r="M2501" i="138"/>
  <c r="O2501" i="138" s="1"/>
  <c r="N2615" i="138"/>
  <c r="M2615" i="138"/>
  <c r="N2762" i="138"/>
  <c r="M2762" i="138"/>
  <c r="N646" i="138"/>
  <c r="M646" i="138"/>
  <c r="O2093" i="138"/>
  <c r="N2093" i="138"/>
  <c r="M2093" i="138"/>
  <c r="N3040" i="138"/>
  <c r="O3040" i="138" s="1"/>
  <c r="M3040" i="138"/>
  <c r="N971" i="138"/>
  <c r="M971" i="138"/>
  <c r="N2586" i="138"/>
  <c r="M2586" i="138"/>
  <c r="O2586" i="138" s="1"/>
  <c r="N2259" i="138"/>
  <c r="M2259" i="138"/>
  <c r="O2259" i="138" s="1"/>
  <c r="N1989" i="138"/>
  <c r="M1989" i="138"/>
  <c r="N893" i="138"/>
  <c r="M893" i="138"/>
  <c r="O893" i="138" s="1"/>
  <c r="N631" i="138"/>
  <c r="M631" i="138"/>
  <c r="N1725" i="138"/>
  <c r="M1725" i="138"/>
  <c r="N23" i="138"/>
  <c r="M23" i="138"/>
  <c r="N589" i="138"/>
  <c r="M589" i="138"/>
  <c r="N1689" i="138"/>
  <c r="M1689" i="138"/>
  <c r="O1689" i="138" s="1"/>
  <c r="N678" i="138"/>
  <c r="M678" i="138"/>
  <c r="O678" i="138" s="1"/>
  <c r="N443" i="138"/>
  <c r="M443" i="138"/>
  <c r="N124" i="138"/>
  <c r="M124" i="138"/>
  <c r="N832" i="138"/>
  <c r="M832" i="138"/>
  <c r="N98" i="138"/>
  <c r="O98" i="138" s="1"/>
  <c r="M98" i="138"/>
  <c r="N65" i="138"/>
  <c r="M65" i="138"/>
  <c r="N2359" i="138"/>
  <c r="M2359" i="138"/>
  <c r="N2256" i="138"/>
  <c r="M2256" i="138"/>
  <c r="O2256" i="138" s="1"/>
  <c r="N1758" i="138"/>
  <c r="M1758" i="138"/>
  <c r="O1758" i="138" s="1"/>
  <c r="N839" i="138"/>
  <c r="M839" i="138"/>
  <c r="N1961" i="138"/>
  <c r="M1961" i="138"/>
  <c r="N2564" i="138"/>
  <c r="M2564" i="138"/>
  <c r="N398" i="138"/>
  <c r="M398" i="138"/>
  <c r="N2567" i="138"/>
  <c r="M2567" i="138"/>
  <c r="N386" i="138"/>
  <c r="M386" i="138"/>
  <c r="O386" i="138" s="1"/>
  <c r="N21" i="138"/>
  <c r="M21" i="138"/>
  <c r="O21" i="138" s="1"/>
  <c r="N683" i="138"/>
  <c r="M683" i="138"/>
  <c r="N2813" i="138"/>
  <c r="M2813" i="138"/>
  <c r="N2342" i="138"/>
  <c r="M2342" i="138"/>
  <c r="O2342" i="138" s="1"/>
  <c r="N2991" i="138"/>
  <c r="M2991" i="138"/>
  <c r="N2343" i="138"/>
  <c r="M2343" i="138"/>
  <c r="O2343" i="138" s="1"/>
  <c r="N2987" i="138"/>
  <c r="M2987" i="138"/>
  <c r="N1126" i="138"/>
  <c r="M1126" i="138"/>
  <c r="N1042" i="138"/>
  <c r="M1042" i="138"/>
  <c r="N2572" i="138"/>
  <c r="M2572" i="138"/>
  <c r="N660" i="138"/>
  <c r="M660" i="138"/>
  <c r="N1136" i="138"/>
  <c r="M1136" i="138"/>
  <c r="O1136" i="138" s="1"/>
  <c r="N2653" i="138"/>
  <c r="M2653" i="138"/>
  <c r="O2653" i="138" s="1"/>
  <c r="N1867" i="138"/>
  <c r="M1867" i="138"/>
  <c r="N1218" i="138"/>
  <c r="O1218" i="138" s="1"/>
  <c r="M1218" i="138"/>
  <c r="N456" i="138"/>
  <c r="M456" i="138"/>
  <c r="N1108" i="138"/>
  <c r="M1108" i="138"/>
  <c r="O1108" i="138" s="1"/>
  <c r="N1913" i="138"/>
  <c r="M1913" i="138"/>
  <c r="N1049" i="138"/>
  <c r="M1049" i="138"/>
  <c r="N2656" i="138"/>
  <c r="M2656" i="138"/>
  <c r="N2429" i="138"/>
  <c r="M2429" i="138"/>
  <c r="N4017" i="138"/>
  <c r="M4017" i="138"/>
  <c r="O4017" i="138" s="1"/>
  <c r="N2138" i="138"/>
  <c r="M2138" i="138"/>
  <c r="N2202" i="138"/>
  <c r="M2202" i="138"/>
  <c r="O2202" i="138" s="1"/>
  <c r="N747" i="138"/>
  <c r="M747" i="138"/>
  <c r="O747" i="138" s="1"/>
  <c r="N2832" i="138"/>
  <c r="M2832" i="138"/>
  <c r="N2453" i="138"/>
  <c r="O2453" i="138" s="1"/>
  <c r="M2453" i="138"/>
  <c r="N422" i="138"/>
  <c r="M422" i="138"/>
  <c r="O422" i="138" s="1"/>
  <c r="N424" i="138"/>
  <c r="M424" i="138"/>
  <c r="O424" i="138" s="1"/>
  <c r="N2424" i="138"/>
  <c r="M2424" i="138"/>
  <c r="O2424" i="138" s="1"/>
  <c r="N896" i="138"/>
  <c r="M896" i="138"/>
  <c r="N2505" i="138"/>
  <c r="M2505" i="138"/>
  <c r="N2293" i="138"/>
  <c r="M2293" i="138"/>
  <c r="N2285" i="138"/>
  <c r="M2285" i="138"/>
  <c r="O2285" i="138" s="1"/>
  <c r="N670" i="138"/>
  <c r="M670" i="138"/>
  <c r="N2073" i="138"/>
  <c r="M2073" i="138"/>
  <c r="N2407" i="138"/>
  <c r="M2407" i="138"/>
  <c r="N908" i="138"/>
  <c r="M908" i="138"/>
  <c r="N3984" i="138"/>
  <c r="M3984" i="138"/>
  <c r="N2901" i="138"/>
  <c r="M2901" i="138"/>
  <c r="O2901" i="138" s="1"/>
  <c r="N2435" i="138"/>
  <c r="M2435" i="138"/>
  <c r="O2435" i="138" s="1"/>
  <c r="N1825" i="138"/>
  <c r="M1825" i="138"/>
  <c r="O1825" i="138" s="1"/>
  <c r="N5" i="138"/>
  <c r="O5" i="138" s="1"/>
  <c r="M5" i="138"/>
  <c r="N4004" i="138"/>
  <c r="M4004" i="138"/>
  <c r="N2288" i="138"/>
  <c r="M2288" i="138"/>
  <c r="N2295" i="138"/>
  <c r="M2295" i="138"/>
  <c r="O2295" i="138" s="1"/>
  <c r="N2263" i="138"/>
  <c r="M2263" i="138"/>
  <c r="N3058" i="138"/>
  <c r="M3058" i="138"/>
  <c r="N1079" i="138"/>
  <c r="M1079" i="138"/>
  <c r="N496" i="138"/>
  <c r="O496" i="138" s="1"/>
  <c r="M496" i="138"/>
  <c r="N1011" i="138"/>
  <c r="M1011" i="138"/>
  <c r="N637" i="138"/>
  <c r="M637" i="138"/>
  <c r="N2065" i="138"/>
  <c r="M2065" i="138"/>
  <c r="N27" i="138"/>
  <c r="M27" i="138"/>
  <c r="N918" i="138"/>
  <c r="M918" i="138"/>
  <c r="N2992" i="138"/>
  <c r="M2992" i="138"/>
  <c r="N500" i="138"/>
  <c r="M500" i="138"/>
  <c r="N1878" i="138"/>
  <c r="M1878" i="138"/>
  <c r="N2395" i="138"/>
  <c r="M2395" i="138"/>
  <c r="N2119" i="138"/>
  <c r="M2119" i="138"/>
  <c r="N4045" i="138"/>
  <c r="M4045" i="138"/>
  <c r="O4045" i="138" s="1"/>
  <c r="N3957" i="138"/>
  <c r="M3957" i="138"/>
  <c r="N642" i="138"/>
  <c r="O642" i="138" s="1"/>
  <c r="M642" i="138"/>
  <c r="N2793" i="138"/>
  <c r="M2793" i="138"/>
  <c r="N1029" i="138"/>
  <c r="M1029" i="138"/>
  <c r="N106" i="138"/>
  <c r="M106" i="138"/>
  <c r="O106" i="138" s="1"/>
  <c r="N2363" i="138"/>
  <c r="M2363" i="138"/>
  <c r="N2909" i="138"/>
  <c r="M2909" i="138"/>
  <c r="O2909" i="138" s="1"/>
  <c r="N693" i="138"/>
  <c r="M693" i="138"/>
  <c r="O693" i="138" s="1"/>
  <c r="N2943" i="138"/>
  <c r="M2943" i="138"/>
  <c r="N2751" i="138"/>
  <c r="M2751" i="138"/>
  <c r="N2744" i="138"/>
  <c r="M2744" i="138"/>
  <c r="N3014" i="138"/>
  <c r="M3014" i="138"/>
  <c r="O3014" i="138" s="1"/>
  <c r="N2537" i="138"/>
  <c r="M2537" i="138"/>
  <c r="O2537" i="138" s="1"/>
  <c r="N2884" i="138"/>
  <c r="M2884" i="138"/>
  <c r="N3990" i="138"/>
  <c r="M3990" i="138"/>
  <c r="N562" i="138"/>
  <c r="M562" i="138"/>
  <c r="N254" i="138"/>
  <c r="M254" i="138"/>
  <c r="N2801" i="138"/>
  <c r="M2801" i="138"/>
  <c r="N2507" i="138"/>
  <c r="M2507" i="138"/>
  <c r="O2507" i="138" s="1"/>
  <c r="N4100" i="138"/>
  <c r="M4100" i="138"/>
  <c r="N528" i="138"/>
  <c r="O528" i="138" s="1"/>
  <c r="M528" i="138"/>
  <c r="N271" i="138"/>
  <c r="M271" i="138"/>
  <c r="N2726" i="138"/>
  <c r="M2726" i="138"/>
  <c r="O2726" i="138" s="1"/>
  <c r="N1158" i="138"/>
  <c r="M1158" i="138"/>
  <c r="N1938" i="138"/>
  <c r="M1938" i="138"/>
  <c r="N1173" i="138"/>
  <c r="M1173" i="138"/>
  <c r="N2950" i="138"/>
  <c r="M2950" i="138"/>
  <c r="N1179" i="138"/>
  <c r="M1179" i="138"/>
  <c r="N460" i="138"/>
  <c r="M460" i="138"/>
  <c r="O460" i="138" s="1"/>
  <c r="N148" i="138"/>
  <c r="M148" i="138"/>
  <c r="N1285" i="138"/>
  <c r="M1285" i="138"/>
  <c r="O1285" i="138" s="1"/>
  <c r="N2469" i="138"/>
  <c r="M2469" i="138"/>
  <c r="O2469" i="138" s="1"/>
  <c r="N103" i="138"/>
  <c r="M103" i="138"/>
  <c r="N2475" i="138"/>
  <c r="O2475" i="138" s="1"/>
  <c r="M2475" i="138"/>
  <c r="N2524" i="138"/>
  <c r="M2524" i="138"/>
  <c r="O2524" i="138" s="1"/>
  <c r="N2797" i="138"/>
  <c r="M2797" i="138"/>
  <c r="O2797" i="138" s="1"/>
  <c r="N2079" i="138"/>
  <c r="M2079" i="138"/>
  <c r="N2222" i="138"/>
  <c r="M2222" i="138"/>
  <c r="N1765" i="138"/>
  <c r="M1765" i="138"/>
  <c r="N2791" i="138"/>
  <c r="M2791" i="138"/>
  <c r="N1981" i="138"/>
  <c r="M1981" i="138"/>
  <c r="N826" i="138"/>
  <c r="M826" i="138"/>
  <c r="N2967" i="138"/>
  <c r="M2967" i="138"/>
  <c r="N2023" i="138"/>
  <c r="M2023" i="138"/>
  <c r="O827" i="138"/>
  <c r="N827" i="138"/>
  <c r="M827" i="138"/>
  <c r="N2855" i="138"/>
  <c r="M2855" i="138"/>
  <c r="N543" i="138"/>
  <c r="M543" i="138"/>
  <c r="N1301" i="138"/>
  <c r="M1301" i="138"/>
  <c r="N2180" i="138"/>
  <c r="M2180" i="138"/>
  <c r="N217" i="138"/>
  <c r="M217" i="138"/>
  <c r="N2353" i="138"/>
  <c r="M2353" i="138"/>
  <c r="N17" i="138"/>
  <c r="M17" i="138"/>
  <c r="O17" i="138" s="1"/>
  <c r="N414" i="138"/>
  <c r="M414" i="138"/>
  <c r="O414" i="138" s="1"/>
  <c r="N3046" i="138"/>
  <c r="M3046" i="138"/>
  <c r="N2030" i="138"/>
  <c r="M2030" i="138"/>
  <c r="N4" i="138"/>
  <c r="M4" i="138"/>
  <c r="N372" i="138"/>
  <c r="M372" i="138"/>
  <c r="O372" i="138" s="1"/>
  <c r="N2844" i="138"/>
  <c r="M2844" i="138"/>
  <c r="N2187" i="138"/>
  <c r="M2187" i="138"/>
  <c r="N2441" i="138"/>
  <c r="M2441" i="138"/>
  <c r="O2362" i="138"/>
  <c r="N2362" i="138"/>
  <c r="M2362" i="138"/>
  <c r="N838" i="138"/>
  <c r="M838" i="138"/>
  <c r="N1156" i="138"/>
  <c r="M1156" i="138"/>
  <c r="N3956" i="138"/>
  <c r="M3956" i="138"/>
  <c r="O3956" i="138" s="1"/>
  <c r="N2782" i="138"/>
  <c r="M2782" i="138"/>
  <c r="O2782" i="138" s="1"/>
  <c r="N2056" i="138"/>
  <c r="M2056" i="138"/>
  <c r="N1885" i="138"/>
  <c r="M1885" i="138"/>
  <c r="O1885" i="138" s="1"/>
  <c r="N2571" i="138"/>
  <c r="M2571" i="138"/>
  <c r="N110" i="138"/>
  <c r="O110" i="138" s="1"/>
  <c r="M110" i="138"/>
  <c r="N1958" i="138"/>
  <c r="M1958" i="138"/>
  <c r="N1937" i="138"/>
  <c r="M1937" i="138"/>
  <c r="N1169" i="138"/>
  <c r="M1169" i="138"/>
  <c r="N1797" i="138"/>
  <c r="M1797" i="138"/>
  <c r="O1797" i="138" s="1"/>
  <c r="N151" i="138"/>
  <c r="M151" i="138"/>
  <c r="N2907" i="138"/>
  <c r="M2907" i="138"/>
  <c r="O2907" i="138" s="1"/>
  <c r="N2102" i="138"/>
  <c r="M2102" i="138"/>
  <c r="O2102" i="138" s="1"/>
  <c r="N634" i="138"/>
  <c r="M634" i="138"/>
  <c r="N763" i="138"/>
  <c r="M763" i="138"/>
  <c r="N2116" i="138"/>
  <c r="M2116" i="138"/>
  <c r="N855" i="138"/>
  <c r="M855" i="138"/>
  <c r="O855" i="138" s="1"/>
  <c r="N2746" i="138"/>
  <c r="M2746" i="138"/>
  <c r="N2479" i="138"/>
  <c r="M2479" i="138"/>
  <c r="N461" i="138"/>
  <c r="M461" i="138"/>
  <c r="N1759" i="138"/>
  <c r="M1759" i="138"/>
  <c r="N809" i="138"/>
  <c r="M809" i="138"/>
  <c r="O809" i="138" s="1"/>
  <c r="N206" i="138"/>
  <c r="M206" i="138"/>
  <c r="N4098" i="138"/>
  <c r="M4098" i="138"/>
  <c r="N2105" i="138"/>
  <c r="M2105" i="138"/>
  <c r="N107" i="138"/>
  <c r="O107" i="138" s="1"/>
  <c r="M107" i="138"/>
  <c r="N982" i="138"/>
  <c r="O982" i="138" s="1"/>
  <c r="M982" i="138"/>
  <c r="N990" i="138"/>
  <c r="M990" i="138"/>
  <c r="O990" i="138" s="1"/>
  <c r="N2788" i="138"/>
  <c r="M2788" i="138"/>
  <c r="N185" i="138"/>
  <c r="M185" i="138"/>
  <c r="O185" i="138" s="1"/>
  <c r="N209" i="138"/>
  <c r="M209" i="138"/>
  <c r="N810" i="138"/>
  <c r="M810" i="138"/>
  <c r="N2905" i="138"/>
  <c r="M2905" i="138"/>
  <c r="N1286" i="138"/>
  <c r="M1286" i="138"/>
  <c r="O1286" i="138" s="1"/>
  <c r="N953" i="138"/>
  <c r="M953" i="138"/>
  <c r="N2882" i="138"/>
  <c r="M2882" i="138"/>
  <c r="O2882" i="138" s="1"/>
  <c r="N1796" i="138"/>
  <c r="M1796" i="138"/>
  <c r="O1796" i="138" s="1"/>
  <c r="N415" i="138"/>
  <c r="M415" i="138"/>
  <c r="N2672" i="138"/>
  <c r="M2672" i="138"/>
  <c r="N2834" i="138"/>
  <c r="M2834" i="138"/>
  <c r="N2388" i="138"/>
  <c r="M2388" i="138"/>
  <c r="N2327" i="138"/>
  <c r="M2327" i="138"/>
  <c r="N603" i="138"/>
  <c r="M603" i="138"/>
  <c r="N2451" i="138"/>
  <c r="M2451" i="138"/>
  <c r="N1727" i="138"/>
  <c r="M1727" i="138"/>
  <c r="N671" i="138"/>
  <c r="M671" i="138"/>
  <c r="N2473" i="138"/>
  <c r="M2473" i="138"/>
  <c r="N1175" i="138"/>
  <c r="M1175" i="138"/>
  <c r="N2364" i="138"/>
  <c r="M2364" i="138"/>
  <c r="N2756" i="138"/>
  <c r="M2756" i="138"/>
  <c r="N2742" i="138"/>
  <c r="M2742" i="138"/>
  <c r="N2107" i="138"/>
  <c r="M2107" i="138"/>
  <c r="N2100" i="138"/>
  <c r="M2100" i="138"/>
  <c r="N3095" i="138"/>
  <c r="M3095" i="138"/>
  <c r="O3095" i="138" s="1"/>
  <c r="N1288" i="138"/>
  <c r="M1288" i="138"/>
  <c r="N791" i="138"/>
  <c r="M791" i="138"/>
  <c r="N4101" i="138"/>
  <c r="M4101" i="138"/>
  <c r="N2341" i="138"/>
  <c r="M2341" i="138"/>
  <c r="O2341" i="138" s="1"/>
  <c r="N1924" i="138"/>
  <c r="M1924" i="138"/>
  <c r="N2376" i="138"/>
  <c r="M2376" i="138"/>
  <c r="O2376" i="138" s="1"/>
  <c r="N1280" i="138"/>
  <c r="M1280" i="138"/>
  <c r="N2856" i="138"/>
  <c r="M2856" i="138"/>
  <c r="N2533" i="138"/>
  <c r="M2533" i="138"/>
  <c r="N2990" i="138"/>
  <c r="M2990" i="138"/>
  <c r="N281" i="138"/>
  <c r="M281" i="138"/>
  <c r="N1216" i="138"/>
  <c r="M1216" i="138"/>
  <c r="N2908" i="138"/>
  <c r="O2908" i="138" s="1"/>
  <c r="M2908" i="138"/>
  <c r="F36" i="137"/>
  <c r="N769" i="138"/>
  <c r="M769" i="138"/>
  <c r="N2428" i="138"/>
  <c r="M2428" i="138"/>
  <c r="O2428" i="138" s="1"/>
  <c r="N1155" i="138"/>
  <c r="M1155" i="138"/>
  <c r="N1190" i="138"/>
  <c r="M1190" i="138"/>
  <c r="N2721" i="138"/>
  <c r="M2721" i="138"/>
  <c r="N2045" i="138"/>
  <c r="M2045" i="138"/>
  <c r="N2738" i="138"/>
  <c r="M2738" i="138"/>
  <c r="N2886" i="138"/>
  <c r="M2886" i="138"/>
  <c r="O2886" i="138" s="1"/>
  <c r="N315" i="138"/>
  <c r="M315" i="138"/>
  <c r="N1747" i="138"/>
  <c r="M1747" i="138"/>
  <c r="N1896" i="138"/>
  <c r="M1896" i="138"/>
  <c r="N3970" i="138"/>
  <c r="O3970" i="138" s="1"/>
  <c r="M3970" i="138"/>
  <c r="N636" i="138"/>
  <c r="M636" i="138"/>
  <c r="N3967" i="138"/>
  <c r="M3967" i="138"/>
  <c r="N305" i="138"/>
  <c r="M305" i="138"/>
  <c r="O305" i="138" s="1"/>
  <c r="N1070" i="138"/>
  <c r="M1070" i="138"/>
  <c r="O1070" i="138" s="1"/>
  <c r="N2389" i="138"/>
  <c r="O2389" i="138" s="1"/>
  <c r="M2389" i="138"/>
  <c r="N2910" i="138"/>
  <c r="M2910" i="138"/>
  <c r="N501" i="138"/>
  <c r="M501" i="138"/>
  <c r="N2885" i="138"/>
  <c r="M2885" i="138"/>
  <c r="N2823" i="138"/>
  <c r="M2823" i="138"/>
  <c r="N1974" i="138"/>
  <c r="M1974" i="138"/>
  <c r="N2460" i="138"/>
  <c r="M2460" i="138"/>
  <c r="N2538" i="138"/>
  <c r="M2538" i="138"/>
  <c r="N2558" i="138"/>
  <c r="M2558" i="138"/>
  <c r="N1033" i="138"/>
  <c r="M1033" i="138"/>
  <c r="O1033" i="138" s="1"/>
  <c r="N16" i="138"/>
  <c r="M16" i="138"/>
  <c r="O16" i="138" s="1"/>
  <c r="N1948" i="138"/>
  <c r="M1948" i="138"/>
  <c r="O1948" i="138" s="1"/>
  <c r="N1323" i="138"/>
  <c r="O1323" i="138" s="1"/>
  <c r="M1323" i="138"/>
  <c r="N1944" i="138"/>
  <c r="M1944" i="138"/>
  <c r="N273" i="138"/>
  <c r="M273" i="138"/>
  <c r="N626" i="138"/>
  <c r="M626" i="138"/>
  <c r="O626" i="138" s="1"/>
  <c r="N869" i="138"/>
  <c r="M869" i="138"/>
  <c r="N2318" i="138"/>
  <c r="M2318" i="138"/>
  <c r="N2035" i="138"/>
  <c r="M2035" i="138"/>
  <c r="N2404" i="138"/>
  <c r="O2404" i="138" s="1"/>
  <c r="M2404" i="138"/>
  <c r="N2055" i="138"/>
  <c r="O2055" i="138" s="1"/>
  <c r="M2055" i="138"/>
  <c r="N1816" i="138"/>
  <c r="M1816" i="138"/>
  <c r="N2287" i="138"/>
  <c r="M2287" i="138"/>
  <c r="N2313" i="138"/>
  <c r="M2313" i="138"/>
  <c r="O2313" i="138" s="1"/>
  <c r="N2599" i="138"/>
  <c r="M2599" i="138"/>
  <c r="N357" i="138"/>
  <c r="M357" i="138"/>
  <c r="N1233" i="138"/>
  <c r="M1233" i="138"/>
  <c r="N1339" i="138"/>
  <c r="M1339" i="138"/>
  <c r="N699" i="138"/>
  <c r="M699" i="138"/>
  <c r="N136" i="138"/>
  <c r="M136" i="138"/>
  <c r="N2898" i="138"/>
  <c r="M2898" i="138"/>
  <c r="N947" i="138"/>
  <c r="M947" i="138"/>
  <c r="N2551" i="138"/>
  <c r="M2551" i="138"/>
  <c r="N1010" i="138"/>
  <c r="M1010" i="138"/>
  <c r="N1922" i="138"/>
  <c r="M1922" i="138"/>
  <c r="O1922" i="138" s="1"/>
  <c r="N2348" i="138"/>
  <c r="M2348" i="138"/>
  <c r="N2787" i="138"/>
  <c r="O2787" i="138" s="1"/>
  <c r="M2787" i="138"/>
  <c r="N939" i="138"/>
  <c r="M939" i="138"/>
  <c r="N1166" i="138"/>
  <c r="M1166" i="138"/>
  <c r="N2247" i="138"/>
  <c r="M2247" i="138"/>
  <c r="O2247" i="138" s="1"/>
  <c r="N952" i="138"/>
  <c r="M952" i="138"/>
  <c r="N1002" i="138"/>
  <c r="M1002" i="138"/>
  <c r="O1002" i="138" s="1"/>
  <c r="N1990" i="138"/>
  <c r="M1990" i="138"/>
  <c r="O1990" i="138" s="1"/>
  <c r="N2314" i="138"/>
  <c r="O2314" i="138" s="1"/>
  <c r="M2314" i="138"/>
  <c r="N2145" i="138"/>
  <c r="O2145" i="138" s="1"/>
  <c r="M2145" i="138"/>
  <c r="N1148" i="138"/>
  <c r="M1148" i="138"/>
  <c r="N2124" i="138"/>
  <c r="M2124" i="138"/>
  <c r="N2951" i="138"/>
  <c r="M2951" i="138"/>
  <c r="O2951" i="138" s="1"/>
  <c r="N641" i="138"/>
  <c r="M641" i="138"/>
  <c r="N2305" i="138"/>
  <c r="M2305" i="138"/>
  <c r="N421" i="138"/>
  <c r="M421" i="138"/>
  <c r="O421" i="138" s="1"/>
  <c r="N887" i="138"/>
  <c r="O887" i="138" s="1"/>
  <c r="M887" i="138"/>
  <c r="N1801" i="138"/>
  <c r="O1801" i="138" s="1"/>
  <c r="M1801" i="138"/>
  <c r="N1753" i="138"/>
  <c r="M1753" i="138"/>
  <c r="N2207" i="138"/>
  <c r="M2207" i="138"/>
  <c r="N3062" i="138"/>
  <c r="M3062" i="138"/>
  <c r="O3062" i="138" s="1"/>
  <c r="N180" i="138"/>
  <c r="M180" i="138"/>
  <c r="N1833" i="138"/>
  <c r="M1833" i="138"/>
  <c r="N1784" i="138"/>
  <c r="M1784" i="138"/>
  <c r="N2906" i="138"/>
  <c r="M2906" i="138"/>
  <c r="O2906" i="138" s="1"/>
  <c r="N2487" i="138"/>
  <c r="M2487" i="138"/>
  <c r="N955" i="138"/>
  <c r="M955" i="138"/>
  <c r="N192" i="138"/>
  <c r="M192" i="138"/>
  <c r="N2383" i="138"/>
  <c r="M2383" i="138"/>
  <c r="N981" i="138"/>
  <c r="M981" i="138"/>
  <c r="N2526" i="138"/>
  <c r="M2526" i="138"/>
  <c r="N2471" i="138"/>
  <c r="M2471" i="138"/>
  <c r="O2471" i="138" s="1"/>
  <c r="N215" i="138"/>
  <c r="M215" i="138"/>
  <c r="N2680" i="138"/>
  <c r="M2680" i="138"/>
  <c r="N1247" i="138"/>
  <c r="M1247" i="138"/>
  <c r="N1024" i="138"/>
  <c r="M1024" i="138"/>
  <c r="N2054" i="138"/>
  <c r="M2054" i="138"/>
  <c r="O2054" i="138" s="1"/>
  <c r="N964" i="138"/>
  <c r="M964" i="138"/>
  <c r="N1848" i="138"/>
  <c r="M1848" i="138"/>
  <c r="O1848" i="138" s="1"/>
  <c r="N1983" i="138"/>
  <c r="M1983" i="138"/>
  <c r="O1983" i="138" s="1"/>
  <c r="N3061" i="138"/>
  <c r="M3061" i="138"/>
  <c r="N793" i="138"/>
  <c r="O793" i="138" s="1"/>
  <c r="M793" i="138"/>
  <c r="N2808" i="138"/>
  <c r="M2808" i="138"/>
  <c r="N2616" i="138"/>
  <c r="M2616" i="138"/>
  <c r="N1150" i="138"/>
  <c r="M1150" i="138"/>
  <c r="O1150" i="138" s="1"/>
  <c r="N2447" i="138"/>
  <c r="M2447" i="138"/>
  <c r="N682" i="138"/>
  <c r="M682" i="138"/>
  <c r="N933" i="138"/>
  <c r="M933" i="138"/>
  <c r="N2345" i="138"/>
  <c r="O2345" i="138" s="1"/>
  <c r="M2345" i="138"/>
  <c r="N2174" i="138"/>
  <c r="M2174" i="138"/>
  <c r="N1097" i="138"/>
  <c r="M1097" i="138"/>
  <c r="N2452" i="138"/>
  <c r="M2452" i="138"/>
  <c r="N2792" i="138"/>
  <c r="M2792" i="138"/>
  <c r="N2590" i="138"/>
  <c r="M2590" i="138"/>
  <c r="N2506" i="138"/>
  <c r="M2506" i="138"/>
  <c r="O2506" i="138" s="1"/>
  <c r="N340" i="138"/>
  <c r="M340" i="138"/>
  <c r="O340" i="138" s="1"/>
  <c r="N436" i="138"/>
  <c r="M436" i="138"/>
  <c r="N473" i="138"/>
  <c r="M473" i="138"/>
  <c r="N2171" i="138"/>
  <c r="M2171" i="138"/>
  <c r="N2595" i="138"/>
  <c r="M2595" i="138"/>
  <c r="N1081" i="138"/>
  <c r="M1081" i="138"/>
  <c r="O1081" i="138" s="1"/>
  <c r="N3936" i="138"/>
  <c r="M3936" i="138"/>
  <c r="N561" i="138"/>
  <c r="M561" i="138"/>
  <c r="N1141" i="138"/>
  <c r="M1141" i="138"/>
  <c r="O1141" i="138" s="1"/>
  <c r="N2448" i="138"/>
  <c r="O2448" i="138" s="1"/>
  <c r="M2448" i="138"/>
  <c r="N2311" i="138"/>
  <c r="O2311" i="138" s="1"/>
  <c r="M2311" i="138"/>
  <c r="N2720" i="138"/>
  <c r="M2720" i="138"/>
  <c r="N2268" i="138"/>
  <c r="M2268" i="138"/>
  <c r="N1823" i="138"/>
  <c r="M1823" i="138"/>
  <c r="O1823" i="138" s="1"/>
  <c r="N1787" i="138"/>
  <c r="M1787" i="138"/>
  <c r="N2552" i="138"/>
  <c r="M2552" i="138"/>
  <c r="N2712" i="138"/>
  <c r="M2712" i="138"/>
  <c r="N1271" i="138"/>
  <c r="O1271" i="138" s="1"/>
  <c r="M1271" i="138"/>
  <c r="N2520" i="138"/>
  <c r="M2520" i="138"/>
  <c r="N2904" i="138"/>
  <c r="M2904" i="138"/>
  <c r="N775" i="138"/>
  <c r="M775" i="138"/>
  <c r="N2139" i="138"/>
  <c r="O2139" i="138" s="1"/>
  <c r="M2139" i="138"/>
  <c r="N3024" i="138"/>
  <c r="O3024" i="138" s="1"/>
  <c r="M3024" i="138"/>
  <c r="N2476" i="138"/>
  <c r="M2476" i="138"/>
  <c r="N1123" i="138"/>
  <c r="M1123" i="138"/>
  <c r="N2850" i="138"/>
  <c r="M2850" i="138"/>
  <c r="O2850" i="138" s="1"/>
  <c r="N1232" i="138"/>
  <c r="M1232" i="138"/>
  <c r="N316" i="138"/>
  <c r="M316" i="138"/>
  <c r="N1872" i="138"/>
  <c r="M1872" i="138"/>
  <c r="N1295" i="138"/>
  <c r="O1295" i="138" s="1"/>
  <c r="M1295" i="138"/>
  <c r="N1267" i="138"/>
  <c r="M1267" i="138"/>
  <c r="N18" i="138"/>
  <c r="M18" i="138"/>
  <c r="N137" i="138"/>
  <c r="M137" i="138"/>
  <c r="O2160" i="138"/>
  <c r="N2160" i="138"/>
  <c r="M2160" i="138"/>
  <c r="N4020" i="138"/>
  <c r="M4020" i="138"/>
  <c r="N946" i="138"/>
  <c r="M946" i="138"/>
  <c r="O946" i="138" s="1"/>
  <c r="N740" i="138"/>
  <c r="M740" i="138"/>
  <c r="N2324" i="138"/>
  <c r="M2324" i="138"/>
  <c r="N1906" i="138"/>
  <c r="M1906" i="138"/>
  <c r="N868" i="138"/>
  <c r="M868" i="138"/>
  <c r="N2995" i="138"/>
  <c r="M2995" i="138"/>
  <c r="N2037" i="138"/>
  <c r="M2037" i="138"/>
  <c r="O2037" i="138" s="1"/>
  <c r="N3026" i="138"/>
  <c r="M3026" i="138"/>
  <c r="N1888" i="138"/>
  <c r="M1888" i="138"/>
  <c r="N2555" i="138"/>
  <c r="M2555" i="138"/>
  <c r="N19" i="138"/>
  <c r="O19" i="138" s="1"/>
  <c r="M19" i="138"/>
  <c r="N2798" i="138"/>
  <c r="M2798" i="138"/>
  <c r="N738" i="138"/>
  <c r="M738" i="138"/>
  <c r="O738" i="138" s="1"/>
  <c r="N2481" i="138"/>
  <c r="M2481" i="138"/>
  <c r="N1268" i="138"/>
  <c r="M1268" i="138"/>
  <c r="O1268" i="138" s="1"/>
  <c r="N1337" i="138"/>
  <c r="O1337" i="138" s="1"/>
  <c r="M1337" i="138"/>
  <c r="N2006" i="138"/>
  <c r="M2006" i="138"/>
  <c r="N2019" i="138"/>
  <c r="M2019" i="138"/>
  <c r="N2754" i="138"/>
  <c r="M2754" i="138"/>
  <c r="N1147" i="138"/>
  <c r="M1147" i="138"/>
  <c r="N394" i="138"/>
  <c r="M394" i="138"/>
  <c r="N310" i="138"/>
  <c r="M310" i="138"/>
  <c r="N1104" i="138"/>
  <c r="M1104" i="138"/>
  <c r="N4094" i="138"/>
  <c r="M4094" i="138"/>
  <c r="N385" i="138"/>
  <c r="M385" i="138"/>
  <c r="O385" i="138" s="1"/>
  <c r="N2255" i="138"/>
  <c r="M2255" i="138"/>
  <c r="N2377" i="138"/>
  <c r="M2377" i="138"/>
  <c r="O2377" i="138" s="1"/>
  <c r="N760" i="138"/>
  <c r="O760" i="138" s="1"/>
  <c r="M760" i="138"/>
  <c r="N3115" i="138"/>
  <c r="M3115" i="138"/>
  <c r="N2871" i="138"/>
  <c r="M2871" i="138"/>
  <c r="N1093" i="138"/>
  <c r="M1093" i="138"/>
  <c r="O1093" i="138" s="1"/>
  <c r="N548" i="138"/>
  <c r="M548" i="138"/>
  <c r="N2646" i="138"/>
  <c r="M2646" i="138"/>
  <c r="O2646" i="138" s="1"/>
  <c r="N942" i="138"/>
  <c r="M942" i="138"/>
  <c r="N2060" i="138"/>
  <c r="M2060" i="138"/>
  <c r="N1124" i="138"/>
  <c r="M1124" i="138"/>
  <c r="N2146" i="138"/>
  <c r="M2146" i="138"/>
  <c r="N680" i="138"/>
  <c r="M680" i="138"/>
  <c r="O680" i="138" s="1"/>
  <c r="N1813" i="138"/>
  <c r="M1813" i="138"/>
  <c r="N1230" i="138"/>
  <c r="M1230" i="138"/>
  <c r="N2863" i="138"/>
  <c r="M2863" i="138"/>
  <c r="N1032" i="138"/>
  <c r="M1032" i="138"/>
  <c r="N2186" i="138"/>
  <c r="O2186" i="138" s="1"/>
  <c r="M2186" i="138"/>
  <c r="N2491" i="138"/>
  <c r="O2491" i="138" s="1"/>
  <c r="M2491" i="138"/>
  <c r="N1861" i="138"/>
  <c r="M1861" i="138"/>
  <c r="O1861" i="138" s="1"/>
  <c r="N2802" i="138"/>
  <c r="M2802" i="138"/>
  <c r="N996" i="138"/>
  <c r="M996" i="138"/>
  <c r="N2522" i="138"/>
  <c r="M2522" i="138"/>
  <c r="N2733" i="138"/>
  <c r="M2733" i="138"/>
  <c r="N2516" i="138"/>
  <c r="M2516" i="138"/>
  <c r="N388" i="138"/>
  <c r="M388" i="138"/>
  <c r="N1330" i="138"/>
  <c r="M1330" i="138"/>
  <c r="N4077" i="138"/>
  <c r="M4077" i="138"/>
  <c r="N116" i="138"/>
  <c r="M116" i="138"/>
  <c r="N2402" i="138"/>
  <c r="M2402" i="138"/>
  <c r="O2402" i="138" s="1"/>
  <c r="N3106" i="138"/>
  <c r="M3106" i="138"/>
  <c r="N1794" i="138"/>
  <c r="M1794" i="138"/>
  <c r="N1225" i="138"/>
  <c r="M1225" i="138"/>
  <c r="N1877" i="138"/>
  <c r="M1877" i="138"/>
  <c r="O1877" i="138" s="1"/>
  <c r="N2771" i="138"/>
  <c r="M2771" i="138"/>
  <c r="N1962" i="138"/>
  <c r="M1962" i="138"/>
  <c r="N2542" i="138"/>
  <c r="M2542" i="138"/>
  <c r="O2284" i="138"/>
  <c r="N2284" i="138"/>
  <c r="M2284" i="138"/>
  <c r="N308" i="138"/>
  <c r="M308" i="138"/>
  <c r="N2414" i="138"/>
  <c r="M2414" i="138"/>
  <c r="O2414" i="138" s="1"/>
  <c r="N1075" i="138"/>
  <c r="M1075" i="138"/>
  <c r="N1969" i="138"/>
  <c r="M1969" i="138"/>
  <c r="N1687" i="138"/>
  <c r="M1687" i="138"/>
  <c r="N1957" i="138"/>
  <c r="M1957" i="138"/>
  <c r="N3028" i="138"/>
  <c r="M3028" i="138"/>
  <c r="O3028" i="138" s="1"/>
  <c r="N53" i="138"/>
  <c r="M53" i="138"/>
  <c r="O53" i="138" s="1"/>
  <c r="N3048" i="138"/>
  <c r="M3048" i="138"/>
  <c r="N2101" i="138"/>
  <c r="M2101" i="138"/>
  <c r="N149" i="138"/>
  <c r="M149" i="138"/>
  <c r="N1140" i="138"/>
  <c r="M1140" i="138"/>
  <c r="O1140" i="138" s="1"/>
  <c r="N2346" i="138"/>
  <c r="M2346" i="138"/>
  <c r="N252" i="138"/>
  <c r="M252" i="138"/>
  <c r="O252" i="138" s="1"/>
  <c r="N1907" i="138"/>
  <c r="M1907" i="138"/>
  <c r="N2039" i="138"/>
  <c r="O2039" i="138" s="1"/>
  <c r="M2039" i="138"/>
  <c r="N963" i="138"/>
  <c r="O963" i="138" s="1"/>
  <c r="M963" i="138"/>
  <c r="N2456" i="138"/>
  <c r="M2456" i="138"/>
  <c r="N270" i="138"/>
  <c r="M270" i="138"/>
  <c r="N1045" i="138"/>
  <c r="M1045" i="138"/>
  <c r="N1828" i="138"/>
  <c r="O1828" i="138" s="1"/>
  <c r="M1828" i="138"/>
  <c r="N1270" i="138"/>
  <c r="M1270" i="138"/>
  <c r="N2640" i="138"/>
  <c r="M2640" i="138"/>
  <c r="N876" i="138"/>
  <c r="O876" i="138" s="1"/>
  <c r="M876" i="138"/>
  <c r="N1060" i="138"/>
  <c r="M1060" i="138"/>
  <c r="N2705" i="138"/>
  <c r="M2705" i="138"/>
  <c r="O2705" i="138" s="1"/>
  <c r="N1810" i="138"/>
  <c r="M1810" i="138"/>
  <c r="N207" i="138"/>
  <c r="M207" i="138"/>
  <c r="O207" i="138" s="1"/>
  <c r="N2275" i="138"/>
  <c r="O2275" i="138" s="1"/>
  <c r="M2275" i="138"/>
  <c r="N1144" i="138"/>
  <c r="M1144" i="138"/>
  <c r="N4073" i="138"/>
  <c r="M4073" i="138"/>
  <c r="N1186" i="138"/>
  <c r="M1186" i="138"/>
  <c r="O1186" i="138" s="1"/>
  <c r="N58" i="138"/>
  <c r="M58" i="138"/>
  <c r="N1923" i="138"/>
  <c r="M1923" i="138"/>
  <c r="O1923" i="138" s="1"/>
  <c r="N1853" i="138"/>
  <c r="M1853" i="138"/>
  <c r="N2940" i="138"/>
  <c r="O2940" i="138" s="1"/>
  <c r="M2940" i="138"/>
  <c r="N146" i="138"/>
  <c r="M146" i="138"/>
  <c r="N842" i="138"/>
  <c r="M842" i="138"/>
  <c r="O842" i="138" s="1"/>
  <c r="N1298" i="138"/>
  <c r="M1298" i="138"/>
  <c r="O1298" i="138" s="1"/>
  <c r="N2403" i="138"/>
  <c r="M2403" i="138"/>
  <c r="O2403" i="138" s="1"/>
  <c r="N950" i="138"/>
  <c r="M950" i="138"/>
  <c r="N1788" i="138"/>
  <c r="M1788" i="138"/>
  <c r="N772" i="138"/>
  <c r="M772" i="138"/>
  <c r="N2629" i="138"/>
  <c r="M2629" i="138"/>
  <c r="O2629" i="138" s="1"/>
  <c r="N2934" i="138"/>
  <c r="M2934" i="138"/>
  <c r="N2952" i="138"/>
  <c r="M2952" i="138"/>
  <c r="O2952" i="138" s="1"/>
  <c r="N3017" i="138"/>
  <c r="M3017" i="138"/>
  <c r="N1187" i="138"/>
  <c r="M1187" i="138"/>
  <c r="N2932" i="138"/>
  <c r="O2932" i="138" s="1"/>
  <c r="M2932" i="138"/>
  <c r="N2779" i="138"/>
  <c r="M2779" i="138"/>
  <c r="N2063" i="138"/>
  <c r="M2063" i="138"/>
  <c r="N1165" i="138"/>
  <c r="M1165" i="138"/>
  <c r="N1805" i="138"/>
  <c r="O1805" i="138" s="1"/>
  <c r="M1805" i="138"/>
  <c r="N1786" i="138"/>
  <c r="M1786" i="138"/>
  <c r="N1850" i="138"/>
  <c r="M1850" i="138"/>
  <c r="N1333" i="138"/>
  <c r="M1333" i="138"/>
  <c r="O1333" i="138" s="1"/>
  <c r="N4096" i="138"/>
  <c r="M4096" i="138"/>
  <c r="N2485" i="138"/>
  <c r="M2485" i="138"/>
  <c r="O2485" i="138" s="1"/>
  <c r="N1858" i="138"/>
  <c r="M1858" i="138"/>
  <c r="N4092" i="138"/>
  <c r="O4092" i="138" s="1"/>
  <c r="M4092" i="138"/>
  <c r="N2611" i="138"/>
  <c r="O2611" i="138" s="1"/>
  <c r="M2611" i="138"/>
  <c r="N371" i="138"/>
  <c r="M371" i="138"/>
  <c r="N1240" i="138"/>
  <c r="M1240" i="138"/>
  <c r="N1835" i="138"/>
  <c r="M1835" i="138"/>
  <c r="O1835" i="138" s="1"/>
  <c r="N1284" i="138"/>
  <c r="M1284" i="138"/>
  <c r="N663" i="138"/>
  <c r="M663" i="138"/>
  <c r="N2012" i="138"/>
  <c r="M2012" i="138"/>
  <c r="N1840" i="138"/>
  <c r="M1840" i="138"/>
  <c r="N2789" i="138"/>
  <c r="M2789" i="138"/>
  <c r="N1976" i="138"/>
  <c r="M1976" i="138"/>
  <c r="O1976" i="138" s="1"/>
  <c r="N2328" i="138"/>
  <c r="M2328" i="138"/>
  <c r="N1007" i="138"/>
  <c r="M1007" i="138"/>
  <c r="N1708" i="138"/>
  <c r="M1708" i="138"/>
  <c r="N2373" i="138"/>
  <c r="M2373" i="138"/>
  <c r="N2993" i="138"/>
  <c r="M2993" i="138"/>
  <c r="N1103" i="138"/>
  <c r="M1103" i="138"/>
  <c r="O1103" i="138" s="1"/>
  <c r="N3006" i="138"/>
  <c r="M3006" i="138"/>
  <c r="N965" i="138"/>
  <c r="M965" i="138"/>
  <c r="N2413" i="138"/>
  <c r="M2413" i="138"/>
  <c r="N298" i="138"/>
  <c r="O298" i="138" s="1"/>
  <c r="M298" i="138"/>
  <c r="N1203" i="138"/>
  <c r="O1203" i="138" s="1"/>
  <c r="M1203" i="138"/>
  <c r="N1901" i="138"/>
  <c r="M1901" i="138"/>
  <c r="N3124" i="138"/>
  <c r="M3124" i="138"/>
  <c r="N2082" i="138"/>
  <c r="M2082" i="138"/>
  <c r="N486" i="138"/>
  <c r="O486" i="138" s="1"/>
  <c r="M486" i="138"/>
  <c r="N2585" i="138"/>
  <c r="M2585" i="138"/>
  <c r="N493" i="138"/>
  <c r="M493" i="138"/>
  <c r="N935" i="138"/>
  <c r="M935" i="138"/>
  <c r="N1966" i="138"/>
  <c r="M1966" i="138"/>
  <c r="N796" i="138"/>
  <c r="M796" i="138"/>
  <c r="O796" i="138" s="1"/>
  <c r="N649" i="138"/>
  <c r="M649" i="138"/>
  <c r="N1299" i="138"/>
  <c r="M1299" i="138"/>
  <c r="N2794" i="138"/>
  <c r="O2794" i="138" s="1"/>
  <c r="M2794" i="138"/>
  <c r="N189" i="138"/>
  <c r="M189" i="138"/>
  <c r="N2753" i="138"/>
  <c r="M2753" i="138"/>
  <c r="N1297" i="138"/>
  <c r="M1297" i="138"/>
  <c r="O1297" i="138" s="1"/>
  <c r="N2603" i="138"/>
  <c r="M2603" i="138"/>
  <c r="N2198" i="138"/>
  <c r="M2198" i="138"/>
  <c r="O2198" i="138" s="1"/>
  <c r="N1264" i="138"/>
  <c r="M1264" i="138"/>
  <c r="O1264" i="138" s="1"/>
  <c r="N617" i="138"/>
  <c r="M617" i="138"/>
  <c r="N2632" i="138"/>
  <c r="M2632" i="138"/>
  <c r="N2624" i="138"/>
  <c r="M2624" i="138"/>
  <c r="O2624" i="138" s="1"/>
  <c r="N311" i="138"/>
  <c r="M311" i="138"/>
  <c r="O311" i="138" s="1"/>
  <c r="N2890" i="138"/>
  <c r="M2890" i="138"/>
  <c r="N2964" i="138"/>
  <c r="M2964" i="138"/>
  <c r="N1095" i="138"/>
  <c r="M1095" i="138"/>
  <c r="N2367" i="138"/>
  <c r="M2367" i="138"/>
  <c r="N2674" i="138"/>
  <c r="M2674" i="138"/>
  <c r="O2674" i="138" s="1"/>
  <c r="N1182" i="138"/>
  <c r="M1182" i="138"/>
  <c r="N2042" i="138"/>
  <c r="M2042" i="138"/>
  <c r="O2042" i="138" s="1"/>
  <c r="N94" i="138"/>
  <c r="M94" i="138"/>
  <c r="N576" i="138"/>
  <c r="O576" i="138" s="1"/>
  <c r="M576" i="138"/>
  <c r="N2057" i="138"/>
  <c r="M2057" i="138"/>
  <c r="N958" i="138"/>
  <c r="M958" i="138"/>
  <c r="N2573" i="138"/>
  <c r="M2573" i="138"/>
  <c r="N2795" i="138"/>
  <c r="M2795" i="138"/>
  <c r="N2347" i="138"/>
  <c r="M2347" i="138"/>
  <c r="N2467" i="138"/>
  <c r="M2467" i="138"/>
  <c r="N1900" i="138"/>
  <c r="M1900" i="138"/>
  <c r="N1128" i="138"/>
  <c r="M1128" i="138"/>
  <c r="O1128" i="138" s="1"/>
  <c r="N2696" i="138"/>
  <c r="M2696" i="138"/>
  <c r="N1871" i="138"/>
  <c r="M1871" i="138"/>
  <c r="O1871" i="138" s="1"/>
  <c r="N2071" i="138"/>
  <c r="M2071" i="138"/>
  <c r="N24" i="138"/>
  <c r="O24" i="138" s="1"/>
  <c r="M24" i="138"/>
  <c r="N2095" i="138"/>
  <c r="O2095" i="138" s="1"/>
  <c r="M2095" i="138"/>
  <c r="N2695" i="138"/>
  <c r="M2695" i="138"/>
  <c r="N546" i="138"/>
  <c r="M546" i="138"/>
  <c r="N619" i="138"/>
  <c r="O619" i="138" s="1"/>
  <c r="M619" i="138"/>
  <c r="N1975" i="138"/>
  <c r="M1975" i="138"/>
  <c r="N1870" i="138"/>
  <c r="M1870" i="138"/>
  <c r="O1870" i="138" s="1"/>
  <c r="N3092" i="138"/>
  <c r="M3092" i="138"/>
  <c r="O3092" i="138" s="1"/>
  <c r="N3004" i="138"/>
  <c r="M3004" i="138"/>
  <c r="N2965" i="138"/>
  <c r="M2965" i="138"/>
  <c r="N1119" i="138"/>
  <c r="M1119" i="138"/>
  <c r="N1971" i="138"/>
  <c r="M1971" i="138"/>
  <c r="N1917" i="138"/>
  <c r="M1917" i="138"/>
  <c r="O1917" i="138" s="1"/>
  <c r="N1263" i="138"/>
  <c r="M1263" i="138"/>
  <c r="N931" i="138"/>
  <c r="M931" i="138"/>
  <c r="N125" i="138"/>
  <c r="M125" i="138"/>
  <c r="O1303" i="138"/>
  <c r="N1303" i="138"/>
  <c r="M1303" i="138"/>
  <c r="N1316" i="138"/>
  <c r="M1316" i="138"/>
  <c r="N989" i="138"/>
  <c r="M989" i="138"/>
  <c r="N1756" i="138"/>
  <c r="M1756" i="138"/>
  <c r="N940" i="138"/>
  <c r="M940" i="138"/>
  <c r="N2812" i="138"/>
  <c r="M2812" i="138"/>
  <c r="N258" i="138"/>
  <c r="M258" i="138"/>
  <c r="N2335" i="138"/>
  <c r="M2335" i="138"/>
  <c r="N504" i="138"/>
  <c r="O504" i="138" s="1"/>
  <c r="M504" i="138"/>
  <c r="N2809" i="138"/>
  <c r="O2809" i="138" s="1"/>
  <c r="M2809" i="138"/>
  <c r="N2267" i="138"/>
  <c r="M2267" i="138"/>
  <c r="N2062" i="138"/>
  <c r="M2062" i="138"/>
  <c r="N275" i="138"/>
  <c r="M275" i="138"/>
  <c r="O275" i="138" s="1"/>
  <c r="N55" i="138"/>
  <c r="M55" i="138"/>
  <c r="N1857" i="138"/>
  <c r="M1857" i="138"/>
  <c r="N898" i="138"/>
  <c r="M898" i="138"/>
  <c r="N3932" i="138"/>
  <c r="M3932" i="138"/>
  <c r="N1224" i="138"/>
  <c r="M1224" i="138"/>
  <c r="N2197" i="138"/>
  <c r="M2197" i="138"/>
  <c r="N2768" i="138"/>
  <c r="M2768" i="138"/>
  <c r="N1008" i="138"/>
  <c r="M1008" i="138"/>
  <c r="O1008" i="138" s="1"/>
  <c r="N899" i="138"/>
  <c r="M899" i="138"/>
  <c r="N2384" i="138"/>
  <c r="M2384" i="138"/>
  <c r="O2384" i="138" s="1"/>
  <c r="N1290" i="138"/>
  <c r="M1290" i="138"/>
  <c r="O1290" i="138" s="1"/>
  <c r="N2974" i="138"/>
  <c r="M2974" i="138"/>
  <c r="N2078" i="138"/>
  <c r="M2078" i="138"/>
  <c r="N1015" i="138"/>
  <c r="M1015" i="138"/>
  <c r="O1015" i="138" s="1"/>
  <c r="N2195" i="138"/>
  <c r="M2195" i="138"/>
  <c r="O2195" i="138" s="1"/>
  <c r="N2693" i="138"/>
  <c r="M2693" i="138"/>
  <c r="N2968" i="138"/>
  <c r="M2968" i="138"/>
  <c r="N2025" i="138"/>
  <c r="M2025" i="138"/>
  <c r="N1766" i="138"/>
  <c r="M1766" i="138"/>
  <c r="N2046" i="138"/>
  <c r="M2046" i="138"/>
  <c r="O2046" i="138" s="1"/>
  <c r="N1795" i="138"/>
  <c r="M1795" i="138"/>
  <c r="N425" i="138"/>
  <c r="M425" i="138"/>
  <c r="O425" i="138" s="1"/>
  <c r="N2365" i="138"/>
  <c r="M2365" i="138"/>
  <c r="N1304" i="138"/>
  <c r="M1304" i="138"/>
  <c r="N2189" i="138"/>
  <c r="O2189" i="138" s="1"/>
  <c r="M2189" i="138"/>
  <c r="N2719" i="138"/>
  <c r="M2719" i="138"/>
  <c r="N2683" i="138"/>
  <c r="M2683" i="138"/>
  <c r="N2560" i="138"/>
  <c r="M2560" i="138"/>
  <c r="N1185" i="138"/>
  <c r="M1185" i="138"/>
  <c r="N2996" i="138"/>
  <c r="M2996" i="138"/>
  <c r="N640" i="138"/>
  <c r="M640" i="138"/>
  <c r="N359" i="138"/>
  <c r="M359" i="138"/>
  <c r="O359" i="138" s="1"/>
  <c r="N1710" i="138"/>
  <c r="M1710" i="138"/>
  <c r="N2722" i="138"/>
  <c r="M2722" i="138"/>
  <c r="N2707" i="138"/>
  <c r="M2707" i="138"/>
  <c r="N3093" i="138"/>
  <c r="M3093" i="138"/>
  <c r="N1250" i="138"/>
  <c r="M1250" i="138"/>
  <c r="N1003" i="138"/>
  <c r="M1003" i="138"/>
  <c r="N2605" i="138"/>
  <c r="M2605" i="138"/>
  <c r="N2643" i="138"/>
  <c r="M2643" i="138"/>
  <c r="N776" i="138"/>
  <c r="M776" i="138"/>
  <c r="N1886" i="138"/>
  <c r="M1886" i="138"/>
  <c r="O1886" i="138" s="1"/>
  <c r="N2442" i="138"/>
  <c r="M2442" i="138"/>
  <c r="O2442" i="138" s="1"/>
  <c r="N616" i="138"/>
  <c r="M616" i="138"/>
  <c r="N930" i="138"/>
  <c r="M930" i="138"/>
  <c r="N2773" i="138"/>
  <c r="M2773" i="138"/>
  <c r="N925" i="138"/>
  <c r="M925" i="138"/>
  <c r="N2253" i="138"/>
  <c r="M2253" i="138"/>
  <c r="O2253" i="138" s="1"/>
  <c r="N438" i="138"/>
  <c r="M438" i="138"/>
  <c r="N3099" i="138"/>
  <c r="M3099" i="138"/>
  <c r="N2786" i="138"/>
  <c r="M2786" i="138"/>
  <c r="N474" i="138"/>
  <c r="M474" i="138"/>
  <c r="N829" i="138"/>
  <c r="M829" i="138"/>
  <c r="N2026" i="138"/>
  <c r="M2026" i="138"/>
  <c r="O2026" i="138" s="1"/>
  <c r="N916" i="138"/>
  <c r="M916" i="138"/>
  <c r="N2596" i="138"/>
  <c r="M2596" i="138"/>
  <c r="N2155" i="138"/>
  <c r="O2155" i="138" s="1"/>
  <c r="M2155" i="138"/>
  <c r="N257" i="138"/>
  <c r="M257" i="138"/>
  <c r="N1338" i="138"/>
  <c r="M1338" i="138"/>
  <c r="N4008" i="138"/>
  <c r="M4008" i="138"/>
  <c r="N2412" i="138"/>
  <c r="M2412" i="138"/>
  <c r="N1138" i="138"/>
  <c r="M1138" i="138"/>
  <c r="N789" i="138"/>
  <c r="M789" i="138"/>
  <c r="N1729" i="138"/>
  <c r="M1729" i="138"/>
  <c r="O1729" i="138" s="1"/>
  <c r="N1237" i="138"/>
  <c r="M1237" i="138"/>
  <c r="N2400" i="138"/>
  <c r="M2400" i="138"/>
  <c r="N2784" i="138"/>
  <c r="M2784" i="138"/>
  <c r="N356" i="138"/>
  <c r="M356" i="138"/>
  <c r="N2371" i="138"/>
  <c r="M2371" i="138"/>
  <c r="N770" i="138"/>
  <c r="M770" i="138"/>
  <c r="N2673" i="138"/>
  <c r="M2673" i="138"/>
  <c r="N1980" i="138"/>
  <c r="M1980" i="138"/>
  <c r="N944" i="138"/>
  <c r="M944" i="138"/>
  <c r="N976" i="138"/>
  <c r="M976" i="138"/>
  <c r="O976" i="138" s="1"/>
  <c r="N3121" i="138"/>
  <c r="M3121" i="138"/>
  <c r="O3121" i="138" s="1"/>
  <c r="N545" i="138"/>
  <c r="M545" i="138"/>
  <c r="N959" i="138"/>
  <c r="M959" i="138"/>
  <c r="N2577" i="138"/>
  <c r="M2577" i="138"/>
  <c r="N365" i="138"/>
  <c r="M365" i="138"/>
  <c r="O365" i="138" s="1"/>
  <c r="N2953" i="138"/>
  <c r="M2953" i="138"/>
  <c r="O2953" i="138" s="1"/>
  <c r="N2836" i="138"/>
  <c r="M2836" i="138"/>
  <c r="N1275" i="138"/>
  <c r="M1275" i="138"/>
  <c r="N565" i="138"/>
  <c r="M565" i="138"/>
  <c r="O1014" i="138"/>
  <c r="N1014" i="138"/>
  <c r="M1014" i="138"/>
  <c r="N2977" i="138"/>
  <c r="M2977" i="138"/>
  <c r="N2511" i="138"/>
  <c r="M2511" i="138"/>
  <c r="N601" i="138"/>
  <c r="M601" i="138"/>
  <c r="N2089" i="138"/>
  <c r="M2089" i="138"/>
  <c r="N1279" i="138"/>
  <c r="O1279" i="138" s="1"/>
  <c r="M1279" i="138"/>
  <c r="N370" i="138"/>
  <c r="M370" i="138"/>
  <c r="N2108" i="138"/>
  <c r="M2108" i="138"/>
  <c r="N2010" i="138"/>
  <c r="O2010" i="138" s="1"/>
  <c r="M2010" i="138"/>
  <c r="N418" i="138"/>
  <c r="O418" i="138" s="1"/>
  <c r="M418" i="138"/>
  <c r="N1931" i="138"/>
  <c r="M1931" i="138"/>
  <c r="N2122" i="138"/>
  <c r="M2122" i="138"/>
  <c r="N2924" i="138"/>
  <c r="M2924" i="138"/>
  <c r="O2924" i="138" s="1"/>
  <c r="N334" i="138"/>
  <c r="M334" i="138"/>
  <c r="N739" i="138"/>
  <c r="M739" i="138"/>
  <c r="O739" i="138" s="1"/>
  <c r="N2775" i="138"/>
  <c r="M2775" i="138"/>
  <c r="N927" i="138"/>
  <c r="M927" i="138"/>
  <c r="N2697" i="138"/>
  <c r="O2697" i="138" s="1"/>
  <c r="M2697" i="138"/>
  <c r="N2986" i="138"/>
  <c r="M2986" i="138"/>
  <c r="N633" i="138"/>
  <c r="M633" i="138"/>
  <c r="N2839" i="138"/>
  <c r="M2839" i="138"/>
  <c r="O2839" i="138" s="1"/>
  <c r="N1113" i="138"/>
  <c r="M1113" i="138"/>
  <c r="N2757" i="138"/>
  <c r="M2757" i="138"/>
  <c r="O2757" i="138" s="1"/>
  <c r="N2896" i="138"/>
  <c r="M2896" i="138"/>
  <c r="N279" i="138"/>
  <c r="M279" i="138"/>
  <c r="N2040" i="138"/>
  <c r="M2040" i="138"/>
  <c r="N4047" i="138"/>
  <c r="M4047" i="138"/>
  <c r="O4047" i="138" s="1"/>
  <c r="N391" i="138"/>
  <c r="M391" i="138"/>
  <c r="O391" i="138" s="1"/>
  <c r="N2718" i="138"/>
  <c r="M2718" i="138"/>
  <c r="N3016" i="138"/>
  <c r="M3016" i="138"/>
  <c r="N2091" i="138"/>
  <c r="M2091" i="138"/>
  <c r="N111" i="138"/>
  <c r="M111" i="138"/>
  <c r="N57" i="138"/>
  <c r="O57" i="138" s="1"/>
  <c r="M57" i="138"/>
  <c r="N2440" i="138"/>
  <c r="M2440" i="138"/>
  <c r="N423" i="138"/>
  <c r="M423" i="138"/>
  <c r="O423" i="138" s="1"/>
  <c r="N2297" i="138"/>
  <c r="M2297" i="138"/>
  <c r="N2737" i="138"/>
  <c r="M2737" i="138"/>
  <c r="O2737" i="138" s="1"/>
  <c r="N3989" i="138"/>
  <c r="M3989" i="138"/>
  <c r="N532" i="138"/>
  <c r="M532" i="138"/>
  <c r="N2848" i="138"/>
  <c r="M2848" i="138"/>
  <c r="N2831" i="138"/>
  <c r="O2831" i="138" s="1"/>
  <c r="M2831" i="138"/>
  <c r="N2736" i="138"/>
  <c r="M2736" i="138"/>
  <c r="N2774" i="138"/>
  <c r="M2774" i="138"/>
  <c r="N2785" i="138"/>
  <c r="M2785" i="138"/>
  <c r="N1757" i="138"/>
  <c r="M1757" i="138"/>
  <c r="O1757" i="138" s="1"/>
  <c r="N1194" i="138"/>
  <c r="M1194" i="138"/>
  <c r="N2699" i="138"/>
  <c r="M2699" i="138"/>
  <c r="N2858" i="138"/>
  <c r="M2858" i="138"/>
  <c r="N1731" i="138"/>
  <c r="M1731" i="138"/>
  <c r="O1731" i="138" s="1"/>
  <c r="N630" i="138"/>
  <c r="M630" i="138"/>
  <c r="N3015" i="138"/>
  <c r="M3015" i="138"/>
  <c r="N2125" i="138"/>
  <c r="M2125" i="138"/>
  <c r="O1278" i="138"/>
  <c r="N1278" i="138"/>
  <c r="M1278" i="138"/>
  <c r="N10" i="138"/>
  <c r="M10" i="138"/>
  <c r="N2090" i="138"/>
  <c r="M2090" i="138"/>
  <c r="O2090" i="138" s="1"/>
  <c r="N2606" i="138"/>
  <c r="M2606" i="138"/>
  <c r="N2582" i="138"/>
  <c r="M2582" i="138"/>
  <c r="N4044" i="138"/>
  <c r="M4044" i="138"/>
  <c r="N856" i="138"/>
  <c r="M856" i="138"/>
  <c r="N2165" i="138"/>
  <c r="M2165" i="138"/>
  <c r="O2165" i="138" s="1"/>
  <c r="N2454" i="138"/>
  <c r="M2454" i="138"/>
  <c r="N2258" i="138"/>
  <c r="M2258" i="138"/>
  <c r="N2970" i="138"/>
  <c r="M2970" i="138"/>
  <c r="N2419" i="138"/>
  <c r="M2419" i="138"/>
  <c r="N138" i="138"/>
  <c r="M138" i="138"/>
  <c r="O138" i="138" s="1"/>
  <c r="N1909" i="138"/>
  <c r="M1909" i="138"/>
  <c r="N1281" i="138"/>
  <c r="M1281" i="138"/>
  <c r="O1281" i="138" s="1"/>
  <c r="N112" i="138"/>
  <c r="M112" i="138"/>
  <c r="N2110" i="138"/>
  <c r="O2110" i="138" s="1"/>
  <c r="M2110" i="138"/>
  <c r="N179" i="138"/>
  <c r="O179" i="138" s="1"/>
  <c r="M179" i="138"/>
  <c r="N1881" i="138"/>
  <c r="M1881" i="138"/>
  <c r="N1893" i="138"/>
  <c r="M1893" i="138"/>
  <c r="N86" i="138"/>
  <c r="M86" i="138"/>
  <c r="N2770" i="138"/>
  <c r="O2770" i="138" s="1"/>
  <c r="M2770" i="138"/>
  <c r="N1977" i="138"/>
  <c r="M1977" i="138"/>
  <c r="N872" i="138"/>
  <c r="M872" i="138"/>
  <c r="N360" i="138"/>
  <c r="M360" i="138"/>
  <c r="O360" i="138" s="1"/>
  <c r="N2282" i="138"/>
  <c r="M2282" i="138"/>
  <c r="N2457" i="138"/>
  <c r="M2457" i="138"/>
  <c r="O2457" i="138" s="1"/>
  <c r="N2308" i="138"/>
  <c r="M2308" i="138"/>
  <c r="N108" i="138"/>
  <c r="M108" i="138"/>
  <c r="N2592" i="138"/>
  <c r="O2592" i="138" s="1"/>
  <c r="M2592" i="138"/>
  <c r="N191" i="138"/>
  <c r="M191" i="138"/>
  <c r="N2790" i="138"/>
  <c r="M2790" i="138"/>
  <c r="N2545" i="138"/>
  <c r="O2545" i="138" s="1"/>
  <c r="M2545" i="138"/>
  <c r="N2465" i="138"/>
  <c r="O2465" i="138" s="1"/>
  <c r="M2465" i="138"/>
  <c r="N369" i="138"/>
  <c r="M369" i="138"/>
  <c r="O369" i="138" s="1"/>
  <c r="N2431" i="138"/>
  <c r="M2431" i="138"/>
  <c r="O2431" i="138" s="1"/>
  <c r="N2430" i="138"/>
  <c r="M2430" i="138"/>
  <c r="N2128" i="138"/>
  <c r="M2128" i="138"/>
  <c r="N1105" i="138"/>
  <c r="M1105" i="138"/>
  <c r="N321" i="138"/>
  <c r="M321" i="138"/>
  <c r="N2889" i="138"/>
  <c r="M2889" i="138"/>
  <c r="O2889" i="138" s="1"/>
  <c r="N2115" i="138"/>
  <c r="M2115" i="138"/>
  <c r="N499" i="138"/>
  <c r="M499" i="138"/>
  <c r="N4012" i="138"/>
  <c r="M4012" i="138"/>
  <c r="O2847" i="138"/>
  <c r="N2847" i="138"/>
  <c r="M2847" i="138"/>
  <c r="N602" i="138"/>
  <c r="M602" i="138"/>
  <c r="N1084" i="138"/>
  <c r="M1084" i="138"/>
  <c r="N1988" i="138"/>
  <c r="M1988" i="138"/>
  <c r="N2752" i="138"/>
  <c r="M2752" i="138"/>
  <c r="O2752" i="138" s="1"/>
  <c r="N11" i="138"/>
  <c r="M11" i="138"/>
  <c r="N1160" i="138"/>
  <c r="M1160" i="138"/>
  <c r="N837" i="138"/>
  <c r="M837" i="138"/>
  <c r="N1181" i="138"/>
  <c r="O1181" i="138" s="1"/>
  <c r="M1181" i="138"/>
  <c r="N979" i="138"/>
  <c r="M979" i="138"/>
  <c r="N895" i="138"/>
  <c r="M895" i="138"/>
  <c r="N790" i="138"/>
  <c r="M790" i="138"/>
  <c r="N2625" i="138"/>
  <c r="M2625" i="138"/>
  <c r="O2625" i="138" s="1"/>
  <c r="N1807" i="138"/>
  <c r="M1807" i="138"/>
  <c r="N853" i="138"/>
  <c r="M853" i="138"/>
  <c r="N141" i="138"/>
  <c r="M141" i="138"/>
  <c r="N4075" i="138"/>
  <c r="M4075" i="138"/>
  <c r="O4075" i="138" s="1"/>
  <c r="N2980" i="138"/>
  <c r="M2980" i="138"/>
  <c r="N2243" i="138"/>
  <c r="M2243" i="138"/>
  <c r="N2745" i="138"/>
  <c r="M2745" i="138"/>
  <c r="O1814" i="138"/>
  <c r="N1814" i="138"/>
  <c r="M1814" i="138"/>
  <c r="N1178" i="138"/>
  <c r="M1178" i="138"/>
  <c r="N2961" i="138"/>
  <c r="M2961" i="138"/>
  <c r="O2961" i="138" s="1"/>
  <c r="N1291" i="138"/>
  <c r="M1291" i="138"/>
  <c r="N667" i="138"/>
  <c r="O667" i="138" s="1"/>
  <c r="M667" i="138"/>
  <c r="N1076" i="138"/>
  <c r="M1076" i="138"/>
  <c r="N2315" i="138"/>
  <c r="M2315" i="138"/>
  <c r="O2315" i="138" s="1"/>
  <c r="N1096" i="138"/>
  <c r="M1096" i="138"/>
  <c r="O1096" i="138" s="1"/>
  <c r="N2735" i="138"/>
  <c r="M2735" i="138"/>
  <c r="O2735" i="138" s="1"/>
  <c r="N2421" i="138"/>
  <c r="M2421" i="138"/>
  <c r="N1257" i="138"/>
  <c r="M1257" i="138"/>
  <c r="N2731" i="138"/>
  <c r="M2731" i="138"/>
  <c r="N962" i="138"/>
  <c r="M962" i="138"/>
  <c r="O962" i="138" s="1"/>
  <c r="N479" i="138"/>
  <c r="O479" i="138" s="1"/>
  <c r="M479" i="138"/>
  <c r="N2807" i="138"/>
  <c r="M2807" i="138"/>
  <c r="N2085" i="138"/>
  <c r="M2085" i="138"/>
  <c r="N1241" i="138"/>
  <c r="M1241" i="138"/>
  <c r="O1241" i="138" s="1"/>
  <c r="N134" i="138"/>
  <c r="M134" i="138"/>
  <c r="N2072" i="138"/>
  <c r="M2072" i="138"/>
  <c r="O2072" i="138" s="1"/>
  <c r="N2634" i="138"/>
  <c r="M2634" i="138"/>
  <c r="N2984" i="138"/>
  <c r="O2984" i="138" s="1"/>
  <c r="M2984" i="138"/>
  <c r="N2947" i="138"/>
  <c r="O2947" i="138" s="1"/>
  <c r="M2947" i="138"/>
  <c r="N2971" i="138"/>
  <c r="M2971" i="138"/>
  <c r="N2982" i="138"/>
  <c r="M2982" i="138"/>
  <c r="O2982" i="138" s="1"/>
  <c r="N1177" i="138"/>
  <c r="M1177" i="138"/>
  <c r="O1177" i="138" s="1"/>
  <c r="N2700" i="138"/>
  <c r="M2700" i="138"/>
  <c r="N677" i="138"/>
  <c r="M677" i="138"/>
  <c r="N2112" i="138"/>
  <c r="M2112" i="138"/>
  <c r="N3056" i="138"/>
  <c r="M3056" i="138"/>
  <c r="N1209" i="138"/>
  <c r="M1209" i="138"/>
  <c r="N1077" i="138"/>
  <c r="M1077" i="138"/>
  <c r="N2883" i="138"/>
  <c r="M2883" i="138"/>
  <c r="N1732" i="138"/>
  <c r="M1732" i="138"/>
  <c r="N1133" i="138"/>
  <c r="M1133" i="138"/>
  <c r="N2645" i="138"/>
  <c r="M2645" i="138"/>
  <c r="O2645" i="138" s="1"/>
  <c r="N253" i="138"/>
  <c r="M253" i="138"/>
  <c r="O253" i="138" s="1"/>
  <c r="N2811" i="138"/>
  <c r="M2811" i="138"/>
  <c r="N1790" i="138"/>
  <c r="O1790" i="138" s="1"/>
  <c r="M1790" i="138"/>
  <c r="N1965" i="138"/>
  <c r="M1965" i="138"/>
  <c r="N1693" i="138"/>
  <c r="M1693" i="138"/>
  <c r="N1915" i="138"/>
  <c r="M1915" i="138"/>
  <c r="N1260" i="138"/>
  <c r="M1260" i="138"/>
  <c r="N1171" i="138"/>
  <c r="M1171" i="138"/>
  <c r="O1171" i="138" s="1"/>
  <c r="N135" i="138"/>
  <c r="M135" i="138"/>
  <c r="N2235" i="138"/>
  <c r="M2235" i="138"/>
  <c r="N1832" i="138"/>
  <c r="M1832" i="138"/>
  <c r="N625" i="138"/>
  <c r="M625" i="138"/>
  <c r="O625" i="138" s="1"/>
  <c r="N2816" i="138"/>
  <c r="M2816" i="138"/>
  <c r="N2892" i="138"/>
  <c r="M2892" i="138"/>
  <c r="O2892" i="138" s="1"/>
  <c r="N1082" i="138"/>
  <c r="M1082" i="138"/>
  <c r="N140" i="138"/>
  <c r="M140" i="138"/>
  <c r="N498" i="138"/>
  <c r="M498" i="138"/>
  <c r="N2439" i="138"/>
  <c r="O2439" i="138" s="1"/>
  <c r="M2439" i="138"/>
  <c r="N120" i="138"/>
  <c r="M120" i="138"/>
  <c r="N2897" i="138"/>
  <c r="M2897" i="138"/>
  <c r="N2490" i="138"/>
  <c r="M2490" i="138"/>
  <c r="N2323" i="138"/>
  <c r="O2323" i="138" s="1"/>
  <c r="M2323" i="138"/>
  <c r="N395" i="138"/>
  <c r="M395" i="138"/>
  <c r="N2386" i="138"/>
  <c r="M2386" i="138"/>
  <c r="O2386" i="138" s="1"/>
  <c r="N3050" i="138"/>
  <c r="M3050" i="138"/>
  <c r="N1775" i="138"/>
  <c r="M1775" i="138"/>
  <c r="N2647" i="138"/>
  <c r="M2647" i="138"/>
  <c r="N2191" i="138"/>
  <c r="M2191" i="138"/>
  <c r="N2662" i="138"/>
  <c r="M2662" i="138"/>
  <c r="N1206" i="138"/>
  <c r="M1206" i="138"/>
  <c r="O1206" i="138" s="1"/>
  <c r="N4013" i="138"/>
  <c r="M4013" i="138"/>
  <c r="N211" i="138"/>
  <c r="M211" i="138"/>
  <c r="O211" i="138" s="1"/>
  <c r="N4005" i="138"/>
  <c r="M4005" i="138"/>
  <c r="N2459" i="138"/>
  <c r="M2459" i="138"/>
  <c r="N2483" i="138"/>
  <c r="M2483" i="138"/>
  <c r="N1167" i="138"/>
  <c r="M1167" i="138"/>
  <c r="O1167" i="138" s="1"/>
  <c r="N900" i="138"/>
  <c r="M900" i="138"/>
  <c r="O900" i="138" s="1"/>
  <c r="N1887" i="138"/>
  <c r="M1887" i="138"/>
  <c r="O1887" i="138" s="1"/>
  <c r="N2565" i="138"/>
  <c r="M2565" i="138"/>
  <c r="N1964" i="138"/>
  <c r="M1964" i="138"/>
  <c r="N2641" i="138"/>
  <c r="M2641" i="138"/>
  <c r="N2068" i="138"/>
  <c r="M2068" i="138"/>
  <c r="O2068" i="138" s="1"/>
  <c r="N834" i="138"/>
  <c r="M834" i="138"/>
  <c r="N984" i="138"/>
  <c r="M984" i="138"/>
  <c r="O984" i="138" s="1"/>
  <c r="N317" i="138"/>
  <c r="M317" i="138"/>
  <c r="N105" i="138"/>
  <c r="M105" i="138"/>
  <c r="O105" i="138" s="1"/>
  <c r="N2398" i="138"/>
  <c r="O2398" i="138" s="1"/>
  <c r="M2398" i="138"/>
  <c r="N2213" i="138"/>
  <c r="M2213" i="138"/>
  <c r="N643" i="138"/>
  <c r="M643" i="138"/>
  <c r="N967" i="138"/>
  <c r="M967" i="138"/>
  <c r="N2899" i="138"/>
  <c r="M2899" i="138"/>
  <c r="N3940" i="138"/>
  <c r="M3940" i="138"/>
  <c r="O3940" i="138" s="1"/>
  <c r="N2143" i="138"/>
  <c r="M2143" i="138"/>
  <c r="N647" i="138"/>
  <c r="M647" i="138"/>
  <c r="O647" i="138" s="1"/>
  <c r="N1135" i="138"/>
  <c r="M1135" i="138"/>
  <c r="N2464" i="138"/>
  <c r="M2464" i="138"/>
  <c r="N2652" i="138"/>
  <c r="M2652" i="138"/>
  <c r="N2289" i="138"/>
  <c r="M2289" i="138"/>
  <c r="N2729" i="138"/>
  <c r="O2729" i="138" s="1"/>
  <c r="M2729" i="138"/>
  <c r="N2134" i="138"/>
  <c r="M2134" i="138"/>
  <c r="N3100" i="138"/>
  <c r="M3100" i="138"/>
  <c r="N2317" i="138"/>
  <c r="O2317" i="138" s="1"/>
  <c r="M2317" i="138"/>
  <c r="F39" i="137"/>
  <c r="N818" i="138"/>
  <c r="M818" i="138"/>
  <c r="N390" i="138"/>
  <c r="O390" i="138" s="1"/>
  <c r="M390" i="138"/>
  <c r="N4041" i="138"/>
  <c r="M4041" i="138"/>
  <c r="N1139" i="138"/>
  <c r="M1139" i="138"/>
  <c r="O1139" i="138" s="1"/>
  <c r="N2369" i="138"/>
  <c r="M2369" i="138"/>
  <c r="N2234" i="138"/>
  <c r="M2234" i="138"/>
  <c r="N998" i="138"/>
  <c r="M998" i="138"/>
  <c r="N4068" i="138"/>
  <c r="M4068" i="138"/>
  <c r="N3992" i="138"/>
  <c r="M3992" i="138"/>
  <c r="O3992" i="138" s="1"/>
  <c r="N152" i="138"/>
  <c r="M152" i="138"/>
  <c r="N4109" i="138"/>
  <c r="M4109" i="138"/>
  <c r="N1845" i="138"/>
  <c r="M1845" i="138"/>
  <c r="O1845" i="138" s="1"/>
  <c r="N1951" i="138"/>
  <c r="M1951" i="138"/>
  <c r="O1951" i="138" s="1"/>
  <c r="N482" i="138"/>
  <c r="M482" i="138"/>
  <c r="N1059" i="138"/>
  <c r="M1059" i="138"/>
  <c r="N2329" i="138"/>
  <c r="M2329" i="138"/>
  <c r="N2717" i="138"/>
  <c r="M2717" i="138"/>
  <c r="O2717" i="138" s="1"/>
  <c r="N2133" i="138"/>
  <c r="M2133" i="138"/>
  <c r="N1200" i="138"/>
  <c r="M1200" i="138"/>
  <c r="O1200" i="138" s="1"/>
  <c r="N2819" i="138"/>
  <c r="M2819" i="138"/>
  <c r="N2109" i="138"/>
  <c r="M2109" i="138"/>
  <c r="O2109" i="138" s="1"/>
  <c r="N1956" i="138"/>
  <c r="O1956" i="138" s="1"/>
  <c r="M1956" i="138"/>
  <c r="N119" i="138"/>
  <c r="M119" i="138"/>
  <c r="N1022" i="138"/>
  <c r="M1022" i="138"/>
  <c r="O1022" i="138" s="1"/>
  <c r="N1829" i="138"/>
  <c r="M1829" i="138"/>
  <c r="O1829" i="138" s="1"/>
  <c r="N2740" i="138"/>
  <c r="M2740" i="138"/>
  <c r="N1947" i="138"/>
  <c r="M1947" i="138"/>
  <c r="N2942" i="138"/>
  <c r="M2942" i="138"/>
  <c r="N2574" i="138"/>
  <c r="M2574" i="138"/>
  <c r="O2574" i="138" s="1"/>
  <c r="N807" i="138"/>
  <c r="M807" i="138"/>
  <c r="N2319" i="138"/>
  <c r="M2319" i="138"/>
  <c r="N1927" i="138"/>
  <c r="M1927" i="138"/>
  <c r="N2777" i="138"/>
  <c r="M2777" i="138"/>
  <c r="O2777" i="138" s="1"/>
  <c r="N985" i="138"/>
  <c r="O985" i="138" s="1"/>
  <c r="M985" i="138"/>
  <c r="N2484" i="138"/>
  <c r="M2484" i="138"/>
  <c r="O2484" i="138" s="1"/>
  <c r="N403" i="138"/>
  <c r="M403" i="138"/>
  <c r="O403" i="138" s="1"/>
  <c r="N2446" i="138"/>
  <c r="M2446" i="138"/>
  <c r="O2446" i="138" s="1"/>
  <c r="N2496" i="138"/>
  <c r="M2496" i="138"/>
  <c r="N420" i="138"/>
  <c r="M420" i="138"/>
  <c r="N972" i="138"/>
  <c r="M972" i="138"/>
  <c r="N4006" i="138"/>
  <c r="M4006" i="138"/>
  <c r="O4006" i="138" s="1"/>
  <c r="N2939" i="138"/>
  <c r="M2939" i="138"/>
  <c r="N99" i="138"/>
  <c r="M99" i="138"/>
  <c r="N2151" i="138"/>
  <c r="M2151" i="138"/>
  <c r="N2659" i="138"/>
  <c r="M2659" i="138"/>
  <c r="O2659" i="138" s="1"/>
  <c r="N4078" i="138"/>
  <c r="O4078" i="138" s="1"/>
  <c r="M4078" i="138"/>
  <c r="N1767" i="138"/>
  <c r="M1767" i="138"/>
  <c r="N1009" i="138"/>
  <c r="M1009" i="138"/>
  <c r="O1009" i="138" s="1"/>
  <c r="N2684" i="138"/>
  <c r="M2684" i="138"/>
  <c r="O2684" i="138" s="1"/>
  <c r="N2497" i="138"/>
  <c r="M2497" i="138"/>
  <c r="N367" i="138"/>
  <c r="M367" i="138"/>
  <c r="O367" i="138" s="1"/>
  <c r="N2765" i="138"/>
  <c r="M2765" i="138"/>
  <c r="N1809" i="138"/>
  <c r="M1809" i="138"/>
  <c r="O1809" i="138" s="1"/>
  <c r="N624" i="138"/>
  <c r="M624" i="138"/>
  <c r="N195" i="138"/>
  <c r="M195" i="138"/>
  <c r="N1016" i="138"/>
  <c r="M1016" i="138"/>
  <c r="N1705" i="138"/>
  <c r="M1705" i="138"/>
  <c r="O1705" i="138" s="1"/>
  <c r="N3966" i="138"/>
  <c r="O3966" i="138" s="1"/>
  <c r="M3966" i="138"/>
  <c r="N2527" i="138"/>
  <c r="M2527" i="138"/>
  <c r="N2887" i="138"/>
  <c r="M2887" i="138"/>
  <c r="N3969" i="138"/>
  <c r="M3969" i="138"/>
  <c r="N2568" i="138"/>
  <c r="O2568" i="138" s="1"/>
  <c r="M2568" i="138"/>
  <c r="N2676" i="138"/>
  <c r="M2676" i="138"/>
  <c r="N2766" i="138"/>
  <c r="M2766" i="138"/>
  <c r="N2701" i="138"/>
  <c r="M2701" i="138"/>
  <c r="O2701" i="138" s="1"/>
  <c r="N1249" i="138"/>
  <c r="M1249" i="138"/>
  <c r="N95" i="138"/>
  <c r="M95" i="138"/>
  <c r="N2728" i="138"/>
  <c r="M2728" i="138"/>
  <c r="N1841" i="138"/>
  <c r="M1841" i="138"/>
  <c r="O1841" i="138" s="1"/>
  <c r="N2946" i="138"/>
  <c r="M2946" i="138"/>
  <c r="N397" i="138"/>
  <c r="M397" i="138"/>
  <c r="O397" i="138" s="1"/>
  <c r="N114" i="138"/>
  <c r="M114" i="138"/>
  <c r="N2294" i="138"/>
  <c r="M2294" i="138"/>
  <c r="O2294" i="138" s="1"/>
  <c r="N1903" i="138"/>
  <c r="M1903" i="138"/>
  <c r="N1847" i="138"/>
  <c r="M1847" i="138"/>
  <c r="N389" i="138"/>
  <c r="M389" i="138"/>
  <c r="N505" i="138"/>
  <c r="M505" i="138"/>
  <c r="N659" i="138"/>
  <c r="M659" i="138"/>
  <c r="N758" i="138"/>
  <c r="M758" i="138"/>
  <c r="N2223" i="138"/>
  <c r="M2223" i="138"/>
  <c r="N1968" i="138"/>
  <c r="M1968" i="138"/>
  <c r="O1968" i="138" s="1"/>
  <c r="N1269" i="138"/>
  <c r="M1269" i="138"/>
  <c r="N1910" i="138"/>
  <c r="M1910" i="138"/>
  <c r="N2994" i="138"/>
  <c r="M2994" i="138"/>
  <c r="N1074" i="138"/>
  <c r="M1074" i="138"/>
  <c r="N2416" i="138"/>
  <c r="M2416" i="138"/>
  <c r="N4105" i="138"/>
  <c r="M4105" i="138"/>
  <c r="O4105" i="138" s="1"/>
  <c r="N529" i="138"/>
  <c r="M529" i="138"/>
  <c r="N2408" i="138"/>
  <c r="M2408" i="138"/>
  <c r="N2989" i="138"/>
  <c r="M2989" i="138"/>
  <c r="N1862" i="138"/>
  <c r="M1862" i="138"/>
  <c r="N1020" i="138"/>
  <c r="M1020" i="138"/>
  <c r="N9" i="138"/>
  <c r="M9" i="138"/>
  <c r="N2525" i="138"/>
  <c r="M2525" i="138"/>
  <c r="N1030" i="138"/>
  <c r="M1030" i="138"/>
  <c r="N4018" i="138"/>
  <c r="M4018" i="138"/>
  <c r="O4018" i="138" s="1"/>
  <c r="N2755" i="138"/>
  <c r="M2755" i="138"/>
  <c r="O2755" i="138" s="1"/>
  <c r="N2610" i="138"/>
  <c r="O2610" i="138" s="1"/>
  <c r="M2610" i="138"/>
  <c r="N2278" i="138"/>
  <c r="M2278" i="138"/>
  <c r="N662" i="138"/>
  <c r="M662" i="138"/>
  <c r="O662" i="138" s="1"/>
  <c r="N629" i="138"/>
  <c r="M629" i="138"/>
  <c r="O629" i="138" s="1"/>
  <c r="N3007" i="138"/>
  <c r="M3007" i="138"/>
  <c r="N2860" i="138"/>
  <c r="M2860" i="138"/>
  <c r="O2860" i="138" s="1"/>
  <c r="N2104" i="138"/>
  <c r="M2104" i="138"/>
  <c r="N2830" i="138"/>
  <c r="M2830" i="138"/>
  <c r="O2830" i="138" s="1"/>
  <c r="N2548" i="138"/>
  <c r="M2548" i="138"/>
  <c r="N1733" i="138"/>
  <c r="M1733" i="138"/>
  <c r="N181" i="138"/>
  <c r="M181" i="138"/>
  <c r="N929" i="138"/>
  <c r="M929" i="138"/>
  <c r="N1228" i="138"/>
  <c r="O1228" i="138" s="1"/>
  <c r="M1228" i="138"/>
  <c r="N299" i="138"/>
  <c r="M299" i="138"/>
  <c r="N2031" i="138"/>
  <c r="M2031" i="138"/>
  <c r="O2031" i="138" s="1"/>
  <c r="N638" i="138"/>
  <c r="M638" i="138"/>
  <c r="N1317" i="138"/>
  <c r="M1317" i="138"/>
  <c r="N2661" i="138"/>
  <c r="M2661" i="138"/>
  <c r="N2279" i="138"/>
  <c r="M2279" i="138"/>
  <c r="N587" i="138"/>
  <c r="M587" i="138"/>
  <c r="O587" i="138" s="1"/>
  <c r="N1985" i="138"/>
  <c r="M1985" i="138"/>
  <c r="N4065" i="138"/>
  <c r="M4065" i="138"/>
  <c r="N903" i="138"/>
  <c r="M903" i="138"/>
  <c r="N1820" i="138"/>
  <c r="M1820" i="138"/>
  <c r="N2633" i="138"/>
  <c r="O2633" i="138" s="1"/>
  <c r="M2633" i="138"/>
  <c r="N2597" i="138"/>
  <c r="M2597" i="138"/>
  <c r="N2486" i="138"/>
  <c r="M2486" i="138"/>
  <c r="O2486" i="138" s="1"/>
  <c r="N1061" i="138"/>
  <c r="M1061" i="138"/>
  <c r="N2818" i="138"/>
  <c r="M2818" i="138"/>
  <c r="N2576" i="138"/>
  <c r="M2576" i="138"/>
  <c r="N836" i="138"/>
  <c r="M836" i="138"/>
  <c r="N531" i="138"/>
  <c r="M531" i="138"/>
  <c r="N182" i="138"/>
  <c r="M182" i="138"/>
  <c r="N1328" i="138"/>
  <c r="M1328" i="138"/>
  <c r="N1911" i="138"/>
  <c r="M1911" i="138"/>
  <c r="N2220" i="138"/>
  <c r="M2220" i="138"/>
  <c r="O2220" i="138" s="1"/>
  <c r="N2041" i="138"/>
  <c r="M2041" i="138"/>
  <c r="N891" i="138"/>
  <c r="M891" i="138"/>
  <c r="N2167" i="138"/>
  <c r="M2167" i="138"/>
  <c r="N1686" i="138"/>
  <c r="M1686" i="138"/>
  <c r="N1134" i="138"/>
  <c r="M1134" i="138"/>
  <c r="N1213" i="138"/>
  <c r="M1213" i="138"/>
  <c r="N127" i="138"/>
  <c r="M127" i="138"/>
  <c r="N2613" i="138"/>
  <c r="M2613" i="138"/>
  <c r="N1897" i="138"/>
  <c r="M1897" i="138"/>
  <c r="N970" i="138"/>
  <c r="M970" i="138"/>
  <c r="N183" i="138"/>
  <c r="M183" i="138"/>
  <c r="N2495" i="138"/>
  <c r="M2495" i="138"/>
  <c r="N3069" i="138"/>
  <c r="M3069" i="138"/>
  <c r="N2005" i="138"/>
  <c r="M2005" i="138"/>
  <c r="N2231" i="138"/>
  <c r="M2231" i="138"/>
  <c r="O2231" i="138" s="1"/>
  <c r="N2580" i="138"/>
  <c r="M2580" i="138"/>
  <c r="O2580" i="138" s="1"/>
  <c r="N1866" i="138"/>
  <c r="M1866" i="138"/>
  <c r="N2385" i="138"/>
  <c r="M2385" i="138"/>
  <c r="N857" i="138"/>
  <c r="M857" i="138"/>
  <c r="N3091" i="138"/>
  <c r="M3091" i="138"/>
  <c r="N2723" i="138"/>
  <c r="M2723" i="138"/>
  <c r="N336" i="138"/>
  <c r="M336" i="138"/>
  <c r="N2048" i="138"/>
  <c r="M2048" i="138"/>
  <c r="O1143" i="138"/>
  <c r="N1143" i="138"/>
  <c r="M1143" i="138"/>
  <c r="N256" i="138"/>
  <c r="M256" i="138"/>
  <c r="N2923" i="138"/>
  <c r="M2923" i="138"/>
  <c r="N1274" i="138"/>
  <c r="M1274" i="138"/>
  <c r="N2926" i="138"/>
  <c r="M2926" i="138"/>
  <c r="N911" i="138"/>
  <c r="M911" i="138"/>
  <c r="N2394" i="138"/>
  <c r="M2394" i="138"/>
  <c r="N1778" i="138"/>
  <c r="M1778" i="138"/>
  <c r="N3055" i="138"/>
  <c r="M3055" i="138"/>
  <c r="N2540" i="138"/>
  <c r="O2540" i="138" s="1"/>
  <c r="M2540" i="138"/>
  <c r="N2631" i="138"/>
  <c r="M2631" i="138"/>
  <c r="N31" i="138"/>
  <c r="M31" i="138"/>
  <c r="N2935" i="138"/>
  <c r="M2935" i="138"/>
  <c r="O2935" i="138" s="1"/>
  <c r="N2330" i="138"/>
  <c r="M2330" i="138"/>
  <c r="N941" i="138"/>
  <c r="M941" i="138"/>
  <c r="N951" i="138"/>
  <c r="M951" i="138"/>
  <c r="N651" i="138"/>
  <c r="O651" i="138" s="1"/>
  <c r="M651" i="138"/>
  <c r="N2094" i="138"/>
  <c r="O2094" i="138" s="1"/>
  <c r="M2094" i="138"/>
  <c r="N808" i="138"/>
  <c r="M808" i="138"/>
  <c r="O808" i="138" s="1"/>
  <c r="N2763" i="138"/>
  <c r="M2763" i="138"/>
  <c r="O2763" i="138" s="1"/>
  <c r="N2244" i="138"/>
  <c r="M2244" i="138"/>
  <c r="N1116" i="138"/>
  <c r="M1116" i="138"/>
  <c r="N2196" i="138"/>
  <c r="M2196" i="138"/>
  <c r="N957" i="138"/>
  <c r="M957" i="138"/>
  <c r="N980" i="138"/>
  <c r="M980" i="138"/>
  <c r="O980" i="138" s="1"/>
  <c r="N276" i="138"/>
  <c r="M276" i="138"/>
  <c r="N2096" i="138"/>
  <c r="M2096" i="138"/>
  <c r="N745" i="138"/>
  <c r="M745" i="138"/>
  <c r="N1031" i="138"/>
  <c r="M1031" i="138"/>
  <c r="O1031" i="138" s="1"/>
  <c r="N1043" i="138"/>
  <c r="M1043" i="138"/>
  <c r="N33" i="138"/>
  <c r="M33" i="138"/>
  <c r="N2644" i="138"/>
  <c r="M2644" i="138"/>
  <c r="N2869" i="138"/>
  <c r="M2869" i="138"/>
  <c r="N3094" i="138"/>
  <c r="M3094" i="138"/>
  <c r="N1320" i="138"/>
  <c r="M1320" i="138"/>
  <c r="N4118" i="138"/>
  <c r="M4118" i="138"/>
  <c r="N2978" i="138"/>
  <c r="M2978" i="138"/>
  <c r="N1313" i="138"/>
  <c r="O1313" i="138" s="1"/>
  <c r="M1313" i="138"/>
  <c r="N2260" i="138"/>
  <c r="M2260" i="138"/>
  <c r="N2053" i="138"/>
  <c r="M2053" i="138"/>
  <c r="O2053" i="138" s="1"/>
  <c r="N128" i="138"/>
  <c r="M128" i="138"/>
  <c r="N2205" i="138"/>
  <c r="M2205" i="138"/>
  <c r="N1946" i="138"/>
  <c r="M1946" i="138"/>
  <c r="O1946" i="138" s="1"/>
  <c r="N2230" i="138"/>
  <c r="M2230" i="138"/>
  <c r="N2601" i="138"/>
  <c r="M2601" i="138"/>
  <c r="O2601" i="138" s="1"/>
  <c r="N902" i="138"/>
  <c r="M902" i="138"/>
  <c r="N2208" i="138"/>
  <c r="M2208" i="138"/>
  <c r="N2331" i="138"/>
  <c r="M2331" i="138"/>
  <c r="N1925" i="138"/>
  <c r="M1925" i="138"/>
  <c r="O1925" i="138" s="1"/>
  <c r="N97" i="138"/>
  <c r="O97" i="138" s="1"/>
  <c r="M97" i="138"/>
  <c r="N1843" i="138"/>
  <c r="M1843" i="138"/>
  <c r="O1843" i="138" s="1"/>
  <c r="N213" i="138"/>
  <c r="M213" i="138"/>
  <c r="O213" i="138" s="1"/>
  <c r="N2843" i="138"/>
  <c r="M2843" i="138"/>
  <c r="O2843" i="138" s="1"/>
  <c r="N3074" i="138"/>
  <c r="O3074" i="138" s="1"/>
  <c r="M3074" i="138"/>
  <c r="N2799" i="138"/>
  <c r="M2799" i="138"/>
  <c r="N2099" i="138"/>
  <c r="M2099" i="138"/>
  <c r="N2309" i="138"/>
  <c r="M2309" i="138"/>
  <c r="N2859" i="138"/>
  <c r="M2859" i="138"/>
  <c r="N1954" i="138"/>
  <c r="M1954" i="138"/>
  <c r="O1954" i="138" s="1"/>
  <c r="N1025" i="138"/>
  <c r="M1025" i="138"/>
  <c r="N25" i="138"/>
  <c r="M25" i="138"/>
  <c r="O25" i="138" s="1"/>
  <c r="N2649" i="138"/>
  <c r="M2649" i="138"/>
  <c r="N147" i="138"/>
  <c r="M147" i="138"/>
  <c r="N1034" i="138"/>
  <c r="M1034" i="138"/>
  <c r="O1034" i="138" s="1"/>
  <c r="N1838" i="138"/>
  <c r="M1838" i="138"/>
  <c r="N1019" i="138"/>
  <c r="O1019" i="138" s="1"/>
  <c r="M1019" i="138"/>
  <c r="N2032" i="138"/>
  <c r="M2032" i="138"/>
  <c r="N2670" i="138"/>
  <c r="M2670" i="138"/>
  <c r="N1221" i="138"/>
  <c r="M1221" i="138"/>
  <c r="O1221" i="138" s="1"/>
  <c r="N1728" i="138"/>
  <c r="M1728" i="138"/>
  <c r="N2254" i="138"/>
  <c r="M2254" i="138"/>
  <c r="N2232" i="138"/>
  <c r="M2232" i="138"/>
  <c r="N2270" i="138"/>
  <c r="M2270" i="138"/>
  <c r="N2228" i="138"/>
  <c r="M2228" i="138"/>
  <c r="N1773" i="138"/>
  <c r="M1773" i="138"/>
  <c r="O1773" i="138" s="1"/>
  <c r="N1069" i="138"/>
  <c r="M1069" i="138"/>
  <c r="N1197" i="138"/>
  <c r="M1197" i="138"/>
  <c r="N590" i="138"/>
  <c r="M590" i="138"/>
  <c r="N366" i="138"/>
  <c r="M366" i="138"/>
  <c r="N815" i="138"/>
  <c r="M815" i="138"/>
  <c r="N2034" i="138"/>
  <c r="M2034" i="138"/>
  <c r="O2034" i="138" s="1"/>
  <c r="N2240" i="138"/>
  <c r="M2240" i="138"/>
  <c r="N2600" i="138"/>
  <c r="M2600" i="138"/>
  <c r="N1875" i="138"/>
  <c r="M1875" i="138"/>
  <c r="N645" i="138"/>
  <c r="M645" i="138"/>
  <c r="O645" i="138" s="1"/>
  <c r="N2979" i="138"/>
  <c r="M2979" i="138"/>
  <c r="N1889" i="138"/>
  <c r="M1889" i="138"/>
  <c r="O1889" i="138" s="1"/>
  <c r="N1056" i="138"/>
  <c r="M1056" i="138"/>
  <c r="N2004" i="138"/>
  <c r="M2004" i="138"/>
  <c r="N2734" i="138"/>
  <c r="M2734" i="138"/>
  <c r="N1196" i="138"/>
  <c r="M1196" i="138"/>
  <c r="O1196" i="138" s="1"/>
  <c r="N2332" i="138"/>
  <c r="M2332" i="138"/>
  <c r="N1798" i="138"/>
  <c r="M1798" i="138"/>
  <c r="O1798" i="138" s="1"/>
  <c r="N178" i="138"/>
  <c r="M178" i="138"/>
  <c r="N2747" i="138"/>
  <c r="M2747" i="138"/>
  <c r="N2758" i="138"/>
  <c r="M2758" i="138"/>
  <c r="N2559" i="138"/>
  <c r="M2559" i="138"/>
  <c r="N1694" i="138"/>
  <c r="M1694" i="138"/>
  <c r="N2933" i="138"/>
  <c r="M2933" i="138"/>
  <c r="N2344" i="138"/>
  <c r="M2344" i="138"/>
  <c r="N582" i="138"/>
  <c r="M582" i="138"/>
  <c r="N2806" i="138"/>
  <c r="M2806" i="138"/>
  <c r="N2374" i="138"/>
  <c r="M2374" i="138"/>
  <c r="O2374" i="138" s="1"/>
  <c r="N691" i="138"/>
  <c r="M691" i="138"/>
  <c r="N3954" i="138"/>
  <c r="M3954" i="138"/>
  <c r="O3954" i="138" s="1"/>
  <c r="N4069" i="138"/>
  <c r="M4069" i="138"/>
  <c r="N2704" i="138"/>
  <c r="M2704" i="138"/>
  <c r="N635" i="138"/>
  <c r="M635" i="138"/>
  <c r="N1789" i="138"/>
  <c r="M1789" i="138"/>
  <c r="N3942" i="138"/>
  <c r="O3942" i="138" s="1"/>
  <c r="M3942" i="138"/>
  <c r="N1163" i="138"/>
  <c r="M1163" i="138"/>
  <c r="N2027" i="138"/>
  <c r="M2027" i="138"/>
  <c r="O2027" i="138" s="1"/>
  <c r="N318" i="138"/>
  <c r="M318" i="138"/>
  <c r="N620" i="138"/>
  <c r="M620" i="138"/>
  <c r="N2854" i="138"/>
  <c r="M2854" i="138"/>
  <c r="N3019" i="138"/>
  <c r="M3019" i="138"/>
  <c r="N304" i="138"/>
  <c r="M304" i="138"/>
  <c r="O304" i="138" s="1"/>
  <c r="N2840" i="138"/>
  <c r="M2840" i="138"/>
  <c r="N250" i="138"/>
  <c r="M250" i="138"/>
  <c r="N2067" i="138"/>
  <c r="M2067" i="138"/>
  <c r="O2067" i="138" s="1"/>
  <c r="N2667" i="138"/>
  <c r="O2667" i="138" s="1"/>
  <c r="M2667" i="138"/>
  <c r="N1792" i="138"/>
  <c r="M1792" i="138"/>
  <c r="N696" i="138"/>
  <c r="M696" i="138"/>
  <c r="N1993" i="138"/>
  <c r="M1993" i="138"/>
  <c r="N2575" i="138"/>
  <c r="M2575" i="138"/>
  <c r="N544" i="138"/>
  <c r="M544" i="138"/>
  <c r="N2022" i="138"/>
  <c r="M2022" i="138"/>
  <c r="N2333" i="138"/>
  <c r="M2333" i="138"/>
  <c r="O2350" i="138"/>
  <c r="N2350" i="138"/>
  <c r="M2350" i="138"/>
  <c r="N2949" i="138"/>
  <c r="M2949" i="138"/>
  <c r="N3018" i="138"/>
  <c r="M3018" i="138"/>
  <c r="O3018" i="138" s="1"/>
  <c r="N4071" i="138"/>
  <c r="M4071" i="138"/>
  <c r="N1724" i="138"/>
  <c r="M1724" i="138"/>
  <c r="N1905" i="138"/>
  <c r="M1905" i="138"/>
  <c r="N1036" i="138"/>
  <c r="M1036" i="138"/>
  <c r="O1036" i="138" s="1"/>
  <c r="N416" i="138"/>
  <c r="M416" i="138"/>
  <c r="N2164" i="138"/>
  <c r="M2164" i="138"/>
  <c r="O2164" i="138" s="1"/>
  <c r="N2229" i="138"/>
  <c r="M2229" i="138"/>
  <c r="N2626" i="138"/>
  <c r="M2626" i="138"/>
  <c r="N4072" i="138"/>
  <c r="M4072" i="138"/>
  <c r="N337" i="138"/>
  <c r="M337" i="138"/>
  <c r="N2201" i="138"/>
  <c r="O2201" i="138" s="1"/>
  <c r="M2201" i="138"/>
  <c r="N2691" i="138"/>
  <c r="M2691" i="138"/>
  <c r="N689" i="138"/>
  <c r="M689" i="138"/>
  <c r="O689" i="138" s="1"/>
  <c r="N2955" i="138"/>
  <c r="M2955" i="138"/>
  <c r="N1201" i="138"/>
  <c r="M1201" i="138"/>
  <c r="N1026" i="138"/>
  <c r="M1026" i="138"/>
  <c r="O1026" i="138" s="1"/>
  <c r="N1898" i="138"/>
  <c r="M1898" i="138"/>
  <c r="N2204" i="138"/>
  <c r="M2204" i="138"/>
  <c r="N1057" i="138"/>
  <c r="M1057" i="138"/>
  <c r="N1950" i="138"/>
  <c r="M1950" i="138"/>
  <c r="N1695" i="138"/>
  <c r="M1695" i="138"/>
  <c r="O1695" i="138" s="1"/>
  <c r="N2103" i="138"/>
  <c r="M2103" i="138"/>
  <c r="O2103" i="138" s="1"/>
  <c r="N983" i="138"/>
  <c r="M983" i="138"/>
  <c r="N1300" i="138"/>
  <c r="M1300" i="138"/>
  <c r="N440" i="138"/>
  <c r="M440" i="138"/>
  <c r="N4009" i="138"/>
  <c r="M4009" i="138"/>
  <c r="N2200" i="138"/>
  <c r="M2200" i="138"/>
  <c r="N2274" i="138"/>
  <c r="M2274" i="138"/>
  <c r="N2948" i="138"/>
  <c r="M2948" i="138"/>
  <c r="N2521" i="138"/>
  <c r="M2521" i="138"/>
  <c r="N1341" i="138"/>
  <c r="M1341" i="138"/>
  <c r="N190" i="138"/>
  <c r="M190" i="138"/>
  <c r="N2245" i="138"/>
  <c r="M2245" i="138"/>
  <c r="O2245" i="138" s="1"/>
  <c r="N2351" i="138"/>
  <c r="M2351" i="138"/>
  <c r="O2351" i="138" s="1"/>
  <c r="N2999" i="138"/>
  <c r="M2999" i="138"/>
  <c r="N2975" i="138"/>
  <c r="M2975" i="138"/>
  <c r="N2821" i="138"/>
  <c r="M2821" i="138"/>
  <c r="N874" i="138"/>
  <c r="M874" i="138"/>
  <c r="O874" i="138" s="1"/>
  <c r="N2210" i="138"/>
  <c r="M2210" i="138"/>
  <c r="N2188" i="138"/>
  <c r="M2188" i="138"/>
  <c r="O2188" i="138" s="1"/>
  <c r="N1930" i="138"/>
  <c r="M1930" i="138"/>
  <c r="N2225" i="138"/>
  <c r="M2225" i="138"/>
  <c r="O2225" i="138" s="1"/>
  <c r="N2059" i="138"/>
  <c r="M2059" i="138"/>
  <c r="N974" i="138"/>
  <c r="M974" i="138"/>
  <c r="N3937" i="138"/>
  <c r="M3937" i="138"/>
  <c r="N3033" i="138"/>
  <c r="M3033" i="138"/>
  <c r="N571" i="138"/>
  <c r="O571" i="138" s="1"/>
  <c r="M571" i="138"/>
  <c r="N2286" i="138"/>
  <c r="M2286" i="138"/>
  <c r="O2286" i="138" s="1"/>
  <c r="N104" i="138"/>
  <c r="M104" i="138"/>
  <c r="O104" i="138" s="1"/>
  <c r="N384" i="138"/>
  <c r="M384" i="138"/>
  <c r="N322" i="138"/>
  <c r="M322" i="138"/>
  <c r="N66" i="138"/>
  <c r="M66" i="138"/>
  <c r="N2969" i="138"/>
  <c r="M2969" i="138"/>
  <c r="N934" i="138"/>
  <c r="M934" i="138"/>
  <c r="O934" i="138" s="1"/>
  <c r="N2686" i="138"/>
  <c r="M2686" i="138"/>
  <c r="N1310" i="138"/>
  <c r="M1310" i="138"/>
  <c r="N688" i="138"/>
  <c r="M688" i="138"/>
  <c r="N1132" i="138"/>
  <c r="M1132" i="138"/>
  <c r="O1132" i="138" s="1"/>
  <c r="N2578" i="138"/>
  <c r="O2578" i="138" s="1"/>
  <c r="M2578" i="138"/>
  <c r="N3009" i="138"/>
  <c r="M3009" i="138"/>
  <c r="N2820" i="138"/>
  <c r="M2820" i="138"/>
  <c r="O2820" i="138" s="1"/>
  <c r="N13" i="138"/>
  <c r="M13" i="138"/>
  <c r="O13" i="138" s="1"/>
  <c r="N1246" i="138"/>
  <c r="M1246" i="138"/>
  <c r="N4016" i="138"/>
  <c r="M4016" i="138"/>
  <c r="O4016" i="138" s="1"/>
  <c r="N476" i="138"/>
  <c r="M476" i="138"/>
  <c r="N4099" i="138"/>
  <c r="M4099" i="138"/>
  <c r="N2562" i="138"/>
  <c r="M2562" i="138"/>
  <c r="N2837" i="138"/>
  <c r="M2837" i="138"/>
  <c r="O2837" i="138" s="1"/>
  <c r="N1159" i="138"/>
  <c r="M1159" i="138"/>
  <c r="O1159" i="138" s="1"/>
  <c r="N2183" i="138"/>
  <c r="M2183" i="138"/>
  <c r="O2183" i="138" s="1"/>
  <c r="N1802" i="138"/>
  <c r="O1802" i="138" s="1"/>
  <c r="M1802" i="138"/>
  <c r="N341" i="138"/>
  <c r="M341" i="138"/>
  <c r="N591" i="138"/>
  <c r="M591" i="138"/>
  <c r="O591" i="138" s="1"/>
  <c r="N992" i="138"/>
  <c r="M992" i="138"/>
  <c r="O992" i="138" s="1"/>
  <c r="N2623" i="138"/>
  <c r="M2623" i="138"/>
  <c r="N1939" i="138"/>
  <c r="M1939" i="138"/>
  <c r="N325" i="138"/>
  <c r="M325" i="138"/>
  <c r="N2550" i="138"/>
  <c r="M2550" i="138"/>
  <c r="O2550" i="138" s="1"/>
  <c r="N1777" i="138"/>
  <c r="M1777" i="138"/>
  <c r="N907" i="138"/>
  <c r="M907" i="138"/>
  <c r="N1229" i="138"/>
  <c r="M1229" i="138"/>
  <c r="O1229" i="138" s="1"/>
  <c r="N2612" i="138"/>
  <c r="M2612" i="138"/>
  <c r="N2810" i="138"/>
  <c r="M2810" i="138"/>
  <c r="N2944" i="138"/>
  <c r="M2944" i="138"/>
  <c r="O2944" i="138" s="1"/>
  <c r="N2868" i="138"/>
  <c r="M2868" i="138"/>
  <c r="O2868" i="138" s="1"/>
  <c r="N1926" i="138"/>
  <c r="M1926" i="138"/>
  <c r="O1926" i="138" s="1"/>
  <c r="N2157" i="138"/>
  <c r="M2157" i="138"/>
  <c r="N1127" i="138"/>
  <c r="M1127" i="138"/>
  <c r="O1127" i="138" s="1"/>
  <c r="N32" i="138"/>
  <c r="M32" i="138"/>
  <c r="N400" i="138"/>
  <c r="M400" i="138"/>
  <c r="N503" i="138"/>
  <c r="M503" i="138"/>
  <c r="N2352" i="138"/>
  <c r="M2352" i="138"/>
  <c r="N2642" i="138"/>
  <c r="M2642" i="138"/>
  <c r="O2642" i="138" s="1"/>
  <c r="N628" i="138"/>
  <c r="M628" i="138"/>
  <c r="N1908" i="138"/>
  <c r="M1908" i="138"/>
  <c r="N956" i="138"/>
  <c r="M956" i="138"/>
  <c r="N212" i="138"/>
  <c r="M212" i="138"/>
  <c r="N2936" i="138"/>
  <c r="M2936" i="138"/>
  <c r="N585" i="138"/>
  <c r="M585" i="138"/>
  <c r="N1830" i="138"/>
  <c r="M1830" i="138"/>
  <c r="N2604" i="138"/>
  <c r="M2604" i="138"/>
  <c r="N2715" i="138"/>
  <c r="M2715" i="138"/>
  <c r="O2715" i="138" s="1"/>
  <c r="N3933" i="138"/>
  <c r="M3933" i="138"/>
  <c r="N2547" i="138"/>
  <c r="M2547" i="138"/>
  <c r="N2098" i="138"/>
  <c r="M2098" i="138"/>
  <c r="N757" i="138"/>
  <c r="M757" i="138"/>
  <c r="N2815" i="138"/>
  <c r="M2815" i="138"/>
  <c r="N2660" i="138"/>
  <c r="M2660" i="138"/>
  <c r="N4019" i="138"/>
  <c r="M4019" i="138"/>
  <c r="O4019" i="138" s="1"/>
  <c r="N549" i="138"/>
  <c r="M549" i="138"/>
  <c r="N2461" i="138"/>
  <c r="M2461" i="138"/>
  <c r="N358" i="138"/>
  <c r="M358" i="138"/>
  <c r="O358" i="138" s="1"/>
  <c r="N1068" i="138"/>
  <c r="M1068" i="138"/>
  <c r="N417" i="138"/>
  <c r="M417" i="138"/>
  <c r="N426" i="138"/>
  <c r="M426" i="138"/>
  <c r="N1760" i="138"/>
  <c r="M1760" i="138"/>
  <c r="N150" i="138"/>
  <c r="M150" i="138"/>
  <c r="N604" i="138"/>
  <c r="M604" i="138"/>
  <c r="O604" i="138" s="1"/>
  <c r="N2248" i="138"/>
  <c r="M2248" i="138"/>
  <c r="N2159" i="138"/>
  <c r="M2159" i="138"/>
  <c r="N1309" i="138"/>
  <c r="M1309" i="138"/>
  <c r="N2829" i="138"/>
  <c r="M2829" i="138"/>
  <c r="N4015" i="138"/>
  <c r="M4015" i="138"/>
  <c r="N3953" i="138"/>
  <c r="M3953" i="138"/>
  <c r="N307" i="138"/>
  <c r="M307" i="138"/>
  <c r="N2237" i="138"/>
  <c r="M2237" i="138"/>
  <c r="N1782" i="138"/>
  <c r="M1782" i="138"/>
  <c r="N139" i="138"/>
  <c r="M139" i="138"/>
  <c r="N214" i="138"/>
  <c r="M214" i="138"/>
  <c r="N794" i="138"/>
  <c r="M794" i="138"/>
  <c r="N2466" i="138"/>
  <c r="O2466" i="138" s="1"/>
  <c r="M2466" i="138"/>
  <c r="N2121" i="138"/>
  <c r="M2121" i="138"/>
  <c r="N1752" i="138"/>
  <c r="M1752" i="138"/>
  <c r="O1752" i="138" s="1"/>
  <c r="N1244" i="138"/>
  <c r="M1244" i="138"/>
  <c r="N1107" i="138"/>
  <c r="M1107" i="138"/>
  <c r="N1153" i="138"/>
  <c r="M1153" i="138"/>
  <c r="N4040" i="138"/>
  <c r="M4040" i="138"/>
  <c r="N2372" i="138"/>
  <c r="M2372" i="138"/>
  <c r="O2372" i="138" s="1"/>
  <c r="N2150" i="138"/>
  <c r="M2150" i="138"/>
  <c r="N2450" i="138"/>
  <c r="M2450" i="138"/>
  <c r="N762" i="138"/>
  <c r="M762" i="138"/>
  <c r="N3994" i="138"/>
  <c r="M3994" i="138"/>
  <c r="O3994" i="138" s="1"/>
  <c r="N1709" i="138"/>
  <c r="M1709" i="138"/>
  <c r="N2769" i="138"/>
  <c r="M2769" i="138"/>
  <c r="O2769" i="138" s="1"/>
  <c r="N1768" i="138"/>
  <c r="M1768" i="138"/>
  <c r="N2554" i="138"/>
  <c r="M2554" i="138"/>
  <c r="N560" i="138"/>
  <c r="M560" i="138"/>
  <c r="N221" i="138"/>
  <c r="M221" i="138"/>
  <c r="O221" i="138" s="1"/>
  <c r="N1198" i="138"/>
  <c r="M1198" i="138"/>
  <c r="N1243" i="138"/>
  <c r="M1243" i="138"/>
  <c r="O1243" i="138" s="1"/>
  <c r="N2870" i="138"/>
  <c r="M2870" i="138"/>
  <c r="N1115" i="138"/>
  <c r="M1115" i="138"/>
  <c r="N2776" i="138"/>
  <c r="M2776" i="138"/>
  <c r="N1803" i="138"/>
  <c r="M1803" i="138"/>
  <c r="O1803" i="138" s="1"/>
  <c r="N2877" i="138"/>
  <c r="O2877" i="138" s="1"/>
  <c r="M2877" i="138"/>
  <c r="N355" i="138"/>
  <c r="M355" i="138"/>
  <c r="N487" i="138"/>
  <c r="M487" i="138"/>
  <c r="O487" i="138" s="1"/>
  <c r="N339" i="138"/>
  <c r="M339" i="138"/>
  <c r="N2472" i="138"/>
  <c r="O2472" i="138" s="1"/>
  <c r="M2472" i="138"/>
  <c r="N480" i="138"/>
  <c r="M480" i="138"/>
  <c r="N2761" i="138"/>
  <c r="M2761" i="138"/>
  <c r="N387" i="138"/>
  <c r="M387" i="138"/>
  <c r="O387" i="138" s="1"/>
  <c r="N2418" i="138"/>
  <c r="M2418" i="138"/>
  <c r="N1883" i="138"/>
  <c r="M1883" i="138"/>
  <c r="N2741" i="138"/>
  <c r="M2741" i="138"/>
  <c r="N622" i="138"/>
  <c r="M622" i="138"/>
  <c r="O622" i="138" s="1"/>
  <c r="N1106" i="138"/>
  <c r="M1106" i="138"/>
  <c r="N1692" i="138"/>
  <c r="M1692" i="138"/>
  <c r="N1055" i="138"/>
  <c r="M1055" i="138"/>
  <c r="N2814" i="138"/>
  <c r="M2814" i="138"/>
  <c r="N917" i="138"/>
  <c r="M917" i="138"/>
  <c r="N2494" i="138"/>
  <c r="M2494" i="138"/>
  <c r="N2449" i="138"/>
  <c r="M2449" i="138"/>
  <c r="N1972" i="138"/>
  <c r="M1972" i="138"/>
  <c r="N2444" i="138"/>
  <c r="M2444" i="138"/>
  <c r="N441" i="138"/>
  <c r="M441" i="138"/>
  <c r="N1265" i="138"/>
  <c r="M1265" i="138"/>
  <c r="N338" i="138"/>
  <c r="M338" i="138"/>
  <c r="O338" i="138" s="1"/>
  <c r="N2074" i="138"/>
  <c r="M2074" i="138"/>
  <c r="N2727" i="138"/>
  <c r="M2727" i="138"/>
  <c r="N924" i="138"/>
  <c r="M924" i="138"/>
  <c r="N2190" i="138"/>
  <c r="O2190" i="138" s="1"/>
  <c r="M2190" i="138"/>
  <c r="N2620" i="138"/>
  <c r="O2620" i="138" s="1"/>
  <c r="M2620" i="138"/>
  <c r="N1162" i="138"/>
  <c r="M1162" i="138"/>
  <c r="N363" i="138"/>
  <c r="M363" i="138"/>
  <c r="O363" i="138" s="1"/>
  <c r="N445" i="138"/>
  <c r="M445" i="138"/>
  <c r="O445" i="138" s="1"/>
  <c r="N901" i="138"/>
  <c r="M901" i="138"/>
  <c r="N1078" i="138"/>
  <c r="M1078" i="138"/>
  <c r="N2803" i="138"/>
  <c r="M2803" i="138"/>
  <c r="N1914" i="138"/>
  <c r="M1914" i="138"/>
  <c r="O1914" i="138" s="1"/>
  <c r="N3972" i="138"/>
  <c r="M3972" i="138"/>
  <c r="N1860" i="138"/>
  <c r="M1860" i="138"/>
  <c r="N1050" i="138"/>
  <c r="M1050" i="138"/>
  <c r="O1050" i="138" s="1"/>
  <c r="N2296" i="138"/>
  <c r="M2296" i="138"/>
  <c r="N2361" i="138"/>
  <c r="M2361" i="138"/>
  <c r="N2422" i="138"/>
  <c r="M2422" i="138"/>
  <c r="O2422" i="138" s="1"/>
  <c r="N1869" i="138"/>
  <c r="M1869" i="138"/>
  <c r="N1256" i="138"/>
  <c r="M1256" i="138"/>
  <c r="O1256" i="138" s="1"/>
  <c r="N1982" i="138"/>
  <c r="M1982" i="138"/>
  <c r="N811" i="138"/>
  <c r="M811" i="138"/>
  <c r="N3985" i="138"/>
  <c r="M3985" i="138"/>
  <c r="N2725" i="138"/>
  <c r="M2725" i="138"/>
  <c r="N1817" i="138"/>
  <c r="M1817" i="138"/>
  <c r="N1691" i="138"/>
  <c r="M1691" i="138"/>
  <c r="N12" i="138"/>
  <c r="M12" i="138"/>
  <c r="N442" i="138"/>
  <c r="M442" i="138"/>
  <c r="O442" i="138" s="1"/>
  <c r="N4014" i="138"/>
  <c r="M4014" i="138"/>
  <c r="N2417" i="138"/>
  <c r="M2417" i="138"/>
  <c r="N1852" i="138"/>
  <c r="M1852" i="138"/>
  <c r="N2796" i="138"/>
  <c r="M2796" i="138"/>
  <c r="O2796" i="138" s="1"/>
  <c r="N581" i="138"/>
  <c r="M581" i="138"/>
  <c r="N1067" i="138"/>
  <c r="M1067" i="138"/>
  <c r="N1707" i="138"/>
  <c r="M1707" i="138"/>
  <c r="O1707" i="138" s="1"/>
  <c r="N1751" i="138"/>
  <c r="M1751" i="138"/>
  <c r="N1248" i="138"/>
  <c r="M1248" i="138"/>
  <c r="N2021" i="138"/>
  <c r="M2021" i="138"/>
  <c r="O2021" i="138" s="1"/>
  <c r="N2477" i="138"/>
  <c r="M2477" i="138"/>
  <c r="N1110" i="138"/>
  <c r="M1110" i="138"/>
  <c r="O1110" i="138" s="1"/>
  <c r="N1072" i="138"/>
  <c r="M1072" i="138"/>
  <c r="N2024" i="138"/>
  <c r="M2024" i="138"/>
  <c r="N56" i="138"/>
  <c r="M56" i="138"/>
  <c r="N2826" i="138"/>
  <c r="M2826" i="138"/>
  <c r="N2861" i="138"/>
  <c r="M2861" i="138"/>
  <c r="N278" i="138"/>
  <c r="M278" i="138"/>
  <c r="N2458" i="138"/>
  <c r="M2458" i="138"/>
  <c r="O2458" i="138" s="1"/>
  <c r="N2153" i="138"/>
  <c r="M2153" i="138"/>
  <c r="N3959" i="138"/>
  <c r="M3959" i="138"/>
  <c r="N2903" i="138"/>
  <c r="M2903" i="138"/>
  <c r="N2778" i="138"/>
  <c r="M2778" i="138"/>
  <c r="O2778" i="138" s="1"/>
  <c r="N771" i="138"/>
  <c r="M771" i="138"/>
  <c r="O771" i="138" s="1"/>
  <c r="N4010" i="138"/>
  <c r="M4010" i="138"/>
  <c r="N2064" i="138"/>
  <c r="M2064" i="138"/>
  <c r="N2523" i="138"/>
  <c r="M2523" i="138"/>
  <c r="N1776" i="138"/>
  <c r="M1776" i="138"/>
  <c r="N2556" i="138"/>
  <c r="M2556" i="138"/>
  <c r="N1071" i="138"/>
  <c r="M1071" i="138"/>
  <c r="N2000" i="138"/>
  <c r="M2000" i="138"/>
  <c r="O2000" i="138" s="1"/>
  <c r="N2382" i="138"/>
  <c r="M2382" i="138"/>
  <c r="N2281" i="138"/>
  <c r="M2281" i="138"/>
  <c r="N2058" i="138"/>
  <c r="M2058" i="138"/>
  <c r="N4076" i="138"/>
  <c r="M4076" i="138"/>
  <c r="N1849" i="138"/>
  <c r="M1849" i="138"/>
  <c r="N320" i="138"/>
  <c r="M320" i="138"/>
  <c r="N1066" i="138"/>
  <c r="M1066" i="138"/>
  <c r="N2381" i="138"/>
  <c r="M2381" i="138"/>
  <c r="O2381" i="138" s="1"/>
  <c r="N2972" i="138"/>
  <c r="M2972" i="138"/>
  <c r="N2130" i="138"/>
  <c r="M2130" i="138"/>
  <c r="N2828" i="138"/>
  <c r="M2828" i="138"/>
  <c r="N2136" i="138"/>
  <c r="M2136" i="138"/>
  <c r="O2136" i="138" s="1"/>
  <c r="N1085" i="138"/>
  <c r="O1085" i="138" s="1"/>
  <c r="M1085" i="138"/>
  <c r="N2748" i="138"/>
  <c r="M2748" i="138"/>
  <c r="N527" i="138"/>
  <c r="M527" i="138"/>
  <c r="N4048" i="138"/>
  <c r="M4048" i="138"/>
  <c r="O4048" i="138" s="1"/>
  <c r="N219" i="138"/>
  <c r="M219" i="138"/>
  <c r="O219" i="138" s="1"/>
  <c r="N2173" i="138"/>
  <c r="M2173" i="138"/>
  <c r="N765" i="138"/>
  <c r="M765" i="138"/>
  <c r="N361" i="138"/>
  <c r="M361" i="138"/>
  <c r="O361" i="138" s="1"/>
  <c r="N1164" i="138"/>
  <c r="M1164" i="138"/>
  <c r="O1164" i="138" s="1"/>
  <c r="N2628" i="138"/>
  <c r="M2628" i="138"/>
  <c r="N2637" i="138"/>
  <c r="M2637" i="138"/>
  <c r="O2637" i="138" s="1"/>
  <c r="N3008" i="138"/>
  <c r="M3008" i="138"/>
  <c r="N2900" i="138"/>
  <c r="M2900" i="138"/>
  <c r="N1978" i="138"/>
  <c r="M1978" i="138"/>
  <c r="N2872" i="138"/>
  <c r="M2872" i="138"/>
  <c r="O2872" i="138" s="1"/>
  <c r="N1277" i="138"/>
  <c r="M1277" i="138"/>
  <c r="O1277" i="138" s="1"/>
  <c r="N109" i="138"/>
  <c r="M109" i="138"/>
  <c r="O109" i="138" s="1"/>
  <c r="N4021" i="138"/>
  <c r="M4021" i="138"/>
  <c r="N1149" i="138"/>
  <c r="M1149" i="138"/>
  <c r="N2895" i="138"/>
  <c r="M2895" i="138"/>
  <c r="N877" i="138"/>
  <c r="M877" i="138"/>
  <c r="O877" i="138" s="1"/>
  <c r="N2170" i="138"/>
  <c r="M2170" i="138"/>
  <c r="N1058" i="138"/>
  <c r="M1058" i="138"/>
  <c r="N563" i="138"/>
  <c r="M563" i="138"/>
  <c r="N255" i="138"/>
  <c r="M255" i="138"/>
  <c r="N1941" i="138"/>
  <c r="M1941" i="138"/>
  <c r="N494" i="138"/>
  <c r="M494" i="138"/>
  <c r="O494" i="138" s="1"/>
  <c r="N2817" i="138"/>
  <c r="M2817" i="138"/>
  <c r="O2817" i="138" s="1"/>
  <c r="N2131" i="138"/>
  <c r="M2131" i="138"/>
  <c r="O2131" i="138" s="1"/>
  <c r="N2781" i="138"/>
  <c r="M2781" i="138"/>
  <c r="N873" i="138"/>
  <c r="M873" i="138"/>
  <c r="N759" i="138"/>
  <c r="M759" i="138"/>
  <c r="N8" i="138"/>
  <c r="M8" i="138"/>
  <c r="N2052" i="138"/>
  <c r="M2052" i="138"/>
  <c r="N584" i="138"/>
  <c r="M584" i="138"/>
  <c r="N2607" i="138"/>
  <c r="M2607" i="138"/>
  <c r="N1239" i="138"/>
  <c r="O1239" i="138" s="1"/>
  <c r="M1239" i="138"/>
  <c r="N2587" i="138"/>
  <c r="M2587" i="138"/>
  <c r="N2357" i="138"/>
  <c r="M2357" i="138"/>
  <c r="N488" i="138"/>
  <c r="M488" i="138"/>
  <c r="N1088" i="138"/>
  <c r="M1088" i="138"/>
  <c r="N402" i="138"/>
  <c r="M402" i="138"/>
  <c r="N2893" i="138"/>
  <c r="M2893" i="138"/>
  <c r="N2306" i="138"/>
  <c r="M2306" i="138"/>
  <c r="N2326" i="138"/>
  <c r="M2326" i="138"/>
  <c r="O2326" i="138" s="1"/>
  <c r="N2455" i="138"/>
  <c r="O2455" i="138" s="1"/>
  <c r="M2455" i="138"/>
  <c r="N2985" i="138"/>
  <c r="M2985" i="138"/>
  <c r="N2140" i="138"/>
  <c r="M2140" i="138"/>
  <c r="N1806" i="138"/>
  <c r="M1806" i="138"/>
  <c r="N3987" i="138"/>
  <c r="M3987" i="138"/>
  <c r="N3934" i="138"/>
  <c r="M3934" i="138"/>
  <c r="N2303" i="138"/>
  <c r="M2303" i="138"/>
  <c r="N621" i="138"/>
  <c r="M621" i="138"/>
  <c r="N2291" i="138"/>
  <c r="M2291" i="138"/>
  <c r="N87" i="138"/>
  <c r="M87" i="138"/>
  <c r="N1761" i="138"/>
  <c r="M1761" i="138"/>
  <c r="O1761" i="138" s="1"/>
  <c r="N1018" i="138"/>
  <c r="M1018" i="138"/>
  <c r="O1018" i="138" s="1"/>
  <c r="N919" i="138"/>
  <c r="M919" i="138"/>
  <c r="N3063" i="138"/>
  <c r="M3063" i="138"/>
  <c r="N218" i="138"/>
  <c r="M218" i="138"/>
  <c r="N1842" i="138"/>
  <c r="M1842" i="138"/>
  <c r="O1842" i="138" s="1"/>
  <c r="N2283" i="138"/>
  <c r="M2283" i="138"/>
  <c r="N280" i="138"/>
  <c r="M280" i="138"/>
  <c r="N393" i="138"/>
  <c r="M393" i="138"/>
  <c r="N1953" i="138"/>
  <c r="M1953" i="138"/>
  <c r="N2264" i="138"/>
  <c r="M2264" i="138"/>
  <c r="N1118" i="138"/>
  <c r="M1118" i="138"/>
  <c r="N2962" i="138"/>
  <c r="M2962" i="138"/>
  <c r="O2962" i="138" s="1"/>
  <c r="N2851" i="138"/>
  <c r="M2851" i="138"/>
  <c r="N1834" i="138"/>
  <c r="O1834" i="138" s="1"/>
  <c r="M1834" i="138"/>
  <c r="N3045" i="138"/>
  <c r="M3045" i="138"/>
  <c r="N1098" i="138"/>
  <c r="M1098" i="138"/>
  <c r="N2181" i="138"/>
  <c r="M2181" i="138"/>
  <c r="O2181" i="138" s="1"/>
  <c r="N1053" i="138"/>
  <c r="M1053" i="138"/>
  <c r="N2427" i="138"/>
  <c r="M2427" i="138"/>
  <c r="N2888" i="138"/>
  <c r="M2888" i="138"/>
  <c r="N1117" i="138"/>
  <c r="O1117" i="138" s="1"/>
  <c r="M1117" i="138"/>
  <c r="N830" i="138"/>
  <c r="O830" i="138" s="1"/>
  <c r="M830" i="138"/>
  <c r="N1749" i="138"/>
  <c r="M1749" i="138"/>
  <c r="N2514" i="138"/>
  <c r="M2514" i="138"/>
  <c r="N1048" i="138"/>
  <c r="M1048" i="138"/>
  <c r="N4070" i="138"/>
  <c r="M4070" i="138"/>
  <c r="N2658" i="138"/>
  <c r="M2658" i="138"/>
  <c r="N2675" i="138"/>
  <c r="M2675" i="138"/>
  <c r="N1092" i="138"/>
  <c r="M1092" i="138"/>
  <c r="O1092" i="138" s="1"/>
  <c r="N2415" i="138"/>
  <c r="M2415" i="138"/>
  <c r="N2390" i="138"/>
  <c r="M2390" i="138"/>
  <c r="N2498" i="138"/>
  <c r="M2498" i="138"/>
  <c r="N481" i="138"/>
  <c r="M481" i="138"/>
  <c r="N742" i="138"/>
  <c r="M742" i="138"/>
  <c r="N1027" i="138"/>
  <c r="M1027" i="138"/>
  <c r="O1027" i="138" s="1"/>
  <c r="F47" i="137"/>
  <c r="I47" i="137" s="1"/>
  <c r="N1745" i="138"/>
  <c r="M1745" i="138"/>
  <c r="N3958" i="138"/>
  <c r="M3958" i="138"/>
  <c r="N1111" i="138"/>
  <c r="M1111" i="138"/>
  <c r="N2397" i="138"/>
  <c r="M2397" i="138"/>
  <c r="N1041" i="138"/>
  <c r="M1041" i="138"/>
  <c r="N2515" i="138"/>
  <c r="M2515" i="138"/>
  <c r="O2515" i="138" s="1"/>
  <c r="N764" i="138"/>
  <c r="O764" i="138" s="1"/>
  <c r="M764" i="138"/>
  <c r="N216" i="138"/>
  <c r="M216" i="138"/>
  <c r="N2029" i="138"/>
  <c r="M2029" i="138"/>
  <c r="N2679" i="138"/>
  <c r="M2679" i="138"/>
  <c r="O2679" i="138" s="1"/>
  <c r="N1336" i="138"/>
  <c r="M1336" i="138"/>
  <c r="N2392" i="138"/>
  <c r="M2392" i="138"/>
  <c r="N3991" i="138"/>
  <c r="M3991" i="138"/>
  <c r="N2922" i="138"/>
  <c r="M2922" i="138"/>
  <c r="N2929" i="138"/>
  <c r="M2929" i="138"/>
  <c r="N2087" i="138"/>
  <c r="M2087" i="138"/>
  <c r="N2651" i="138"/>
  <c r="M2651" i="138"/>
  <c r="N2681" i="138"/>
  <c r="M2681" i="138"/>
  <c r="O2681" i="138" s="1"/>
  <c r="N1142" i="138"/>
  <c r="M1142" i="138"/>
  <c r="N2470" i="138"/>
  <c r="M2470" i="138"/>
  <c r="N1021" i="138"/>
  <c r="M1021" i="138"/>
  <c r="N533" i="138"/>
  <c r="M533" i="138"/>
  <c r="N314" i="138"/>
  <c r="O314" i="138" s="1"/>
  <c r="M314" i="138"/>
  <c r="N2" i="138"/>
  <c r="M2" i="138"/>
  <c r="N954" i="138"/>
  <c r="M954" i="138"/>
  <c r="N1933" i="138"/>
  <c r="M1933" i="138"/>
  <c r="N960" i="138"/>
  <c r="M960" i="138"/>
  <c r="O960" i="138" s="1"/>
  <c r="N2083" i="138"/>
  <c r="M2083" i="138"/>
  <c r="N2702" i="138"/>
  <c r="M2702" i="138"/>
  <c r="N319" i="138"/>
  <c r="M319" i="138"/>
  <c r="O319" i="138" s="1"/>
  <c r="N655" i="138"/>
  <c r="M655" i="138"/>
  <c r="N2894" i="138"/>
  <c r="O2894" i="138" s="1"/>
  <c r="M2894" i="138"/>
  <c r="N2927" i="138"/>
  <c r="M2927" i="138"/>
  <c r="N2401" i="138"/>
  <c r="M2401" i="138"/>
  <c r="O2401" i="138" s="1"/>
  <c r="N828" i="138"/>
  <c r="M828" i="138"/>
  <c r="N3988" i="138"/>
  <c r="M3988" i="138"/>
  <c r="N2804" i="138"/>
  <c r="M2804" i="138"/>
  <c r="N2945" i="138"/>
  <c r="M2945" i="138"/>
  <c r="N2919" i="138"/>
  <c r="M2919" i="138"/>
  <c r="O2919" i="138" s="1"/>
  <c r="N302" i="138"/>
  <c r="M302" i="138"/>
  <c r="N1094" i="138"/>
  <c r="M1094" i="138"/>
  <c r="N2708" i="138"/>
  <c r="M2708" i="138"/>
  <c r="O2708" i="138" s="1"/>
  <c r="N2845" i="138"/>
  <c r="M2845" i="138"/>
  <c r="N1152" i="138"/>
  <c r="O1152" i="138" s="1"/>
  <c r="M1152" i="138"/>
  <c r="N2492" i="138"/>
  <c r="M2492" i="138"/>
  <c r="O2492" i="138" s="1"/>
  <c r="N2425" i="138"/>
  <c r="M2425" i="138"/>
  <c r="O2425" i="138" s="1"/>
  <c r="N4107" i="138"/>
  <c r="M4107" i="138"/>
  <c r="N744" i="138"/>
  <c r="M744" i="138"/>
  <c r="N2015" i="138"/>
  <c r="M2015" i="138"/>
  <c r="N1255" i="138"/>
  <c r="M1255" i="138"/>
  <c r="N2743" i="138"/>
  <c r="M2743" i="138"/>
  <c r="O2743" i="138" s="1"/>
  <c r="N1234" i="138"/>
  <c r="M1234" i="138"/>
  <c r="N2251" i="138"/>
  <c r="M2251" i="138"/>
  <c r="N439" i="138"/>
  <c r="M439" i="138"/>
  <c r="N973" i="138"/>
  <c r="O973" i="138" s="1"/>
  <c r="M973" i="138"/>
  <c r="N1880" i="138"/>
  <c r="O1880" i="138" s="1"/>
  <c r="M1880" i="138"/>
  <c r="N2066" i="138"/>
  <c r="M2066" i="138"/>
  <c r="N20" i="138"/>
  <c r="M20" i="138"/>
  <c r="O20" i="138" s="1"/>
  <c r="N1918" i="138"/>
  <c r="M1918" i="138"/>
  <c r="N1222" i="138"/>
  <c r="M1222" i="138"/>
  <c r="N2301" i="138"/>
  <c r="M2301" i="138"/>
  <c r="N3955" i="138"/>
  <c r="M3955" i="138"/>
  <c r="N2163" i="138"/>
  <c r="M2163" i="138"/>
  <c r="N1183" i="138"/>
  <c r="M1183" i="138"/>
  <c r="N1087" i="138"/>
  <c r="M1087" i="138"/>
  <c r="N2016" i="138"/>
  <c r="M2016" i="138"/>
  <c r="N2669" i="138"/>
  <c r="M2669" i="138"/>
  <c r="O2669" i="138" s="1"/>
  <c r="N101" i="138"/>
  <c r="M101" i="138"/>
  <c r="N1199" i="138"/>
  <c r="M1199" i="138"/>
  <c r="N2880" i="138"/>
  <c r="M2880" i="138"/>
  <c r="N249" i="138"/>
  <c r="M249" i="138"/>
  <c r="N1013" i="138"/>
  <c r="M1013" i="138"/>
  <c r="N2320" i="138"/>
  <c r="M2320" i="138"/>
  <c r="N3081" i="138"/>
  <c r="M3081" i="138"/>
  <c r="N326" i="138"/>
  <c r="M326" i="138"/>
  <c r="N2007" i="138"/>
  <c r="M2007" i="138"/>
  <c r="N1168" i="138"/>
  <c r="M1168" i="138"/>
  <c r="N2584" i="138"/>
  <c r="M2584" i="138"/>
  <c r="N2080" i="138"/>
  <c r="M2080" i="138"/>
  <c r="N2013" i="138"/>
  <c r="M2013" i="138"/>
  <c r="N269" i="138"/>
  <c r="M269" i="138"/>
  <c r="N1746" i="138"/>
  <c r="M1746" i="138"/>
  <c r="N457" i="138"/>
  <c r="M457" i="138"/>
  <c r="N2436" i="138"/>
  <c r="M2436" i="138"/>
  <c r="N2426" i="138"/>
  <c r="M2426" i="138"/>
  <c r="N324" i="138"/>
  <c r="M324" i="138"/>
  <c r="N2118" i="138"/>
  <c r="M2118" i="138"/>
  <c r="N1821" i="138"/>
  <c r="M1821" i="138"/>
  <c r="N743" i="138"/>
  <c r="M743" i="138"/>
  <c r="N1991" i="138"/>
  <c r="M1991" i="138"/>
  <c r="N2685" i="138"/>
  <c r="M2685" i="138"/>
  <c r="O2685" i="138" s="1"/>
  <c r="N2963" i="138"/>
  <c r="M2963" i="138"/>
  <c r="N833" i="138"/>
  <c r="M833" i="138"/>
  <c r="N14" i="138"/>
  <c r="M14" i="138"/>
  <c r="O14" i="138" s="1"/>
  <c r="N1204" i="138"/>
  <c r="M1204" i="138"/>
  <c r="N90" i="138"/>
  <c r="M90" i="138"/>
  <c r="N1121" i="138"/>
  <c r="M1121" i="138"/>
  <c r="O1121" i="138" s="1"/>
  <c r="N1748" i="138"/>
  <c r="M1748" i="138"/>
  <c r="N1811" i="138"/>
  <c r="M1811" i="138"/>
  <c r="N1713" i="138"/>
  <c r="M1713" i="138"/>
  <c r="N3013" i="138"/>
  <c r="M3013" i="138"/>
  <c r="N2242" i="138"/>
  <c r="M2242" i="138"/>
  <c r="N1321" i="138"/>
  <c r="M1321" i="138"/>
  <c r="N2713" i="138"/>
  <c r="O2713" i="138" s="1"/>
  <c r="M2713" i="138"/>
  <c r="N401" i="138"/>
  <c r="M401" i="138"/>
  <c r="N306" i="138"/>
  <c r="M306" i="138"/>
  <c r="O306" i="138" s="1"/>
  <c r="N6" i="138"/>
  <c r="M6" i="138"/>
  <c r="O6" i="138" s="1"/>
  <c r="N551" i="138"/>
  <c r="M551" i="138"/>
  <c r="N949" i="138"/>
  <c r="M949" i="138"/>
  <c r="O949" i="138" s="1"/>
  <c r="N2233" i="138"/>
  <c r="M2233" i="138"/>
  <c r="N550" i="138"/>
  <c r="M550" i="138"/>
  <c r="N892" i="138"/>
  <c r="M892" i="138"/>
  <c r="N2665" i="138"/>
  <c r="M2665" i="138"/>
  <c r="N1137" i="138"/>
  <c r="M1137" i="138"/>
  <c r="N26" i="138"/>
  <c r="M26" i="138"/>
  <c r="O26" i="138" s="1"/>
  <c r="N2310" i="138"/>
  <c r="M2310" i="138"/>
  <c r="N4042" i="138"/>
  <c r="M4042" i="138"/>
  <c r="N1936" i="138"/>
  <c r="M1936" i="138"/>
  <c r="N85" i="138"/>
  <c r="M85" i="138"/>
  <c r="N1726" i="138"/>
  <c r="O1726" i="138" s="1"/>
  <c r="M1726" i="138"/>
  <c r="N905" i="138"/>
  <c r="M905" i="138"/>
  <c r="N904" i="138"/>
  <c r="M904" i="138"/>
  <c r="N1685" i="138"/>
  <c r="M1685" i="138"/>
  <c r="N1235" i="138"/>
  <c r="M1235" i="138"/>
  <c r="N484" i="138"/>
  <c r="M484" i="138"/>
  <c r="O484" i="138" s="1"/>
  <c r="N2698" i="138"/>
  <c r="M2698" i="138"/>
  <c r="N2692" i="138"/>
  <c r="M2692" i="138"/>
  <c r="N2434" i="138"/>
  <c r="O2434" i="138" s="1"/>
  <c r="M2434" i="138"/>
  <c r="N583" i="138"/>
  <c r="M583" i="138"/>
  <c r="N444" i="138"/>
  <c r="M444" i="138"/>
  <c r="N1266" i="138"/>
  <c r="M1266" i="138"/>
  <c r="O1266" i="138" s="1"/>
  <c r="N2194" i="138"/>
  <c r="M2194" i="138"/>
  <c r="N2269" i="138"/>
  <c r="M2269" i="138"/>
  <c r="N2589" i="138"/>
  <c r="M2589" i="138"/>
  <c r="N2008" i="138"/>
  <c r="M2008" i="138"/>
  <c r="N921" i="138"/>
  <c r="M921" i="138"/>
  <c r="N1215" i="138"/>
  <c r="M1215" i="138"/>
  <c r="N54" i="138"/>
  <c r="M54" i="138"/>
  <c r="N1004" i="138"/>
  <c r="M1004" i="138"/>
  <c r="O1004" i="138" s="1"/>
  <c r="N2212" i="138"/>
  <c r="M2212" i="138"/>
  <c r="N2337" i="138"/>
  <c r="M2337" i="138"/>
  <c r="N463" i="138"/>
  <c r="M463" i="138"/>
  <c r="N2930" i="138"/>
  <c r="M2930" i="138"/>
  <c r="N210" i="138"/>
  <c r="M210" i="138"/>
  <c r="N3105" i="138"/>
  <c r="M3105" i="138"/>
  <c r="O3105" i="138" s="1"/>
  <c r="N2783" i="138"/>
  <c r="M2783" i="138"/>
  <c r="N3119" i="138"/>
  <c r="M3119" i="138"/>
  <c r="N2931" i="138"/>
  <c r="M2931" i="138"/>
  <c r="N428" i="138"/>
  <c r="M428" i="138"/>
  <c r="N1987" i="138"/>
  <c r="M1987" i="138"/>
  <c r="N399" i="138"/>
  <c r="M399" i="138"/>
  <c r="N1943" i="138"/>
  <c r="M1943" i="138"/>
  <c r="N2111" i="138"/>
  <c r="M2111" i="138"/>
  <c r="N530" i="138"/>
  <c r="M530" i="138"/>
  <c r="N1130" i="138"/>
  <c r="M1130" i="138"/>
  <c r="O1130" i="138" s="1"/>
  <c r="N2265" i="138"/>
  <c r="M2265" i="138"/>
  <c r="N2387" i="138"/>
  <c r="M2387" i="138"/>
  <c r="N2654" i="138"/>
  <c r="M2654" i="138"/>
  <c r="N1174" i="138"/>
  <c r="M1174" i="138"/>
  <c r="N383" i="138"/>
  <c r="M383" i="138"/>
  <c r="N2084" i="138"/>
  <c r="M2084" i="138"/>
  <c r="O2084" i="138" s="1"/>
  <c r="N2142" i="138"/>
  <c r="M2142" i="138"/>
  <c r="N3107" i="138"/>
  <c r="M3107" i="138"/>
  <c r="O3107" i="138" s="1"/>
  <c r="N1979" i="138"/>
  <c r="M1979" i="138"/>
  <c r="N4046" i="138"/>
  <c r="M4046" i="138"/>
  <c r="N2937" i="138"/>
  <c r="M2937" i="138"/>
  <c r="N650" i="138"/>
  <c r="M650" i="138"/>
  <c r="N2219" i="138"/>
  <c r="M2219" i="138"/>
  <c r="N2664" i="138"/>
  <c r="M2664" i="138"/>
  <c r="O2664" i="138" s="1"/>
  <c r="N1855" i="138"/>
  <c r="O1855" i="138" s="1"/>
  <c r="M1855" i="138"/>
  <c r="N1028" i="138"/>
  <c r="O1028" i="138" s="1"/>
  <c r="M1028" i="138"/>
  <c r="N2636" i="138"/>
  <c r="M2636" i="138"/>
  <c r="O2636" i="138" s="1"/>
  <c r="N4007" i="138"/>
  <c r="M4007" i="138"/>
  <c r="N547" i="138"/>
  <c r="M547" i="138"/>
  <c r="N605" i="138"/>
  <c r="M605" i="138"/>
  <c r="N1220" i="138"/>
  <c r="M1220" i="138"/>
  <c r="N3112" i="138"/>
  <c r="M3112" i="138"/>
  <c r="N2076" i="138"/>
  <c r="M2076" i="138"/>
  <c r="O2076" i="138" s="1"/>
  <c r="N1001" i="138"/>
  <c r="M1001" i="138"/>
  <c r="N1252" i="138"/>
  <c r="M1252" i="138"/>
  <c r="N1207" i="138"/>
  <c r="M1207" i="138"/>
  <c r="N2983" i="138"/>
  <c r="M2983" i="138"/>
  <c r="N1712" i="138"/>
  <c r="M1712" i="138"/>
  <c r="N2356" i="138"/>
  <c r="M2356" i="138"/>
  <c r="O2356" i="138" s="1"/>
  <c r="N1955" i="138"/>
  <c r="M1955" i="138"/>
  <c r="O1955" i="138" s="1"/>
  <c r="N2503" i="138"/>
  <c r="M2503" i="138"/>
  <c r="N993" i="138"/>
  <c r="M993" i="138"/>
  <c r="N1005" i="138"/>
  <c r="M1005" i="138"/>
  <c r="N606" i="138"/>
  <c r="M606" i="138"/>
  <c r="N787" i="138"/>
  <c r="M787" i="138"/>
  <c r="O787" i="138" s="1"/>
  <c r="N100" i="138"/>
  <c r="M100" i="138"/>
  <c r="N2437" i="138"/>
  <c r="M2437" i="138"/>
  <c r="N2824" i="138"/>
  <c r="M2824" i="138"/>
  <c r="O2824" i="138" s="1"/>
  <c r="N3080" i="138"/>
  <c r="M3080" i="138"/>
  <c r="N1188" i="138"/>
  <c r="M1188" i="138"/>
  <c r="N3968" i="138"/>
  <c r="M3968" i="138"/>
  <c r="N133" i="138"/>
  <c r="M133" i="138"/>
  <c r="N1176" i="138"/>
  <c r="M1176" i="138"/>
  <c r="N2127" i="138"/>
  <c r="M2127" i="138"/>
  <c r="O2127" i="138" s="1"/>
  <c r="N540" i="138"/>
  <c r="M540" i="138"/>
  <c r="N1919" i="138"/>
  <c r="M1919" i="138"/>
  <c r="N4095" i="138"/>
  <c r="M4095" i="138"/>
  <c r="O4095" i="138" s="1"/>
  <c r="N1772" i="138"/>
  <c r="M1772" i="138"/>
  <c r="O1772" i="138" s="1"/>
  <c r="N914" i="138"/>
  <c r="M914" i="138"/>
  <c r="N3012" i="138"/>
  <c r="M3012" i="138"/>
  <c r="N627" i="138"/>
  <c r="O627" i="138" s="1"/>
  <c r="M627" i="138"/>
  <c r="N1205" i="138"/>
  <c r="M1205" i="138"/>
  <c r="N2321" i="138"/>
  <c r="M2321" i="138"/>
  <c r="O2321" i="138" s="1"/>
  <c r="N1884" i="138"/>
  <c r="M1884" i="138"/>
  <c r="O1884" i="138" s="1"/>
  <c r="N2001" i="138"/>
  <c r="O2001" i="138" s="1"/>
  <c r="M2001" i="138"/>
  <c r="N2358" i="138"/>
  <c r="M2358" i="138"/>
  <c r="N654" i="138"/>
  <c r="M654" i="138"/>
  <c r="N564" i="138"/>
  <c r="M564" i="138"/>
  <c r="N674" i="138"/>
  <c r="M674" i="138"/>
  <c r="O674" i="138" s="1"/>
  <c r="N932" i="138"/>
  <c r="M932" i="138"/>
  <c r="O932" i="138" s="1"/>
  <c r="N1305" i="138"/>
  <c r="M1305" i="138"/>
  <c r="N205" i="138"/>
  <c r="M205" i="138"/>
  <c r="O205" i="138" s="1"/>
  <c r="N2299" i="138"/>
  <c r="M2299" i="138"/>
  <c r="N1799" i="138"/>
  <c r="M1799" i="138"/>
  <c r="N3075" i="138"/>
  <c r="M3075" i="138"/>
  <c r="N2838" i="138"/>
  <c r="M2838" i="138"/>
  <c r="O2838" i="138" s="1"/>
  <c r="N1125" i="138"/>
  <c r="M1125" i="138"/>
  <c r="N1831" i="138"/>
  <c r="M1831" i="138"/>
  <c r="O1831" i="138" s="1"/>
  <c r="N1879" i="138"/>
  <c r="M1879" i="138"/>
  <c r="N665" i="138"/>
  <c r="M665" i="138"/>
  <c r="N1226" i="138"/>
  <c r="M1226" i="138"/>
  <c r="O1226" i="138" s="1"/>
  <c r="N746" i="138"/>
  <c r="M746" i="138"/>
  <c r="N404" i="138"/>
  <c r="M404" i="138"/>
  <c r="N2998" i="138"/>
  <c r="M2998" i="138"/>
  <c r="N912" i="138"/>
  <c r="M912" i="138"/>
  <c r="N118" i="138"/>
  <c r="M118" i="138"/>
  <c r="N4104" i="138"/>
  <c r="M4104" i="138"/>
  <c r="O4104" i="138" s="1"/>
  <c r="N1254" i="138"/>
  <c r="M1254" i="138"/>
  <c r="N3935" i="138"/>
  <c r="O3935" i="138" s="1"/>
  <c r="M3935" i="138"/>
  <c r="N396" i="138"/>
  <c r="M396" i="138"/>
  <c r="N2307" i="138"/>
  <c r="M2307" i="138"/>
  <c r="N2161" i="138"/>
  <c r="M2161" i="138"/>
  <c r="N300" i="138"/>
  <c r="M300" i="138"/>
  <c r="O300" i="138" s="1"/>
  <c r="N3020" i="138"/>
  <c r="M3020" i="138"/>
  <c r="O3020" i="138" s="1"/>
  <c r="N2891" i="138"/>
  <c r="M2891" i="138"/>
  <c r="N2841" i="138"/>
  <c r="M2841" i="138"/>
  <c r="O2841" i="138" s="1"/>
  <c r="N2478" i="138"/>
  <c r="M2478" i="138"/>
  <c r="N1800" i="138"/>
  <c r="M1800" i="138"/>
  <c r="N1051" i="138"/>
  <c r="M1051" i="138"/>
  <c r="N2682" i="138"/>
  <c r="M2682" i="138"/>
  <c r="O2682" i="138" s="1"/>
  <c r="N2257" i="138"/>
  <c r="M2257" i="138"/>
  <c r="N2312" i="138"/>
  <c r="M2312" i="138"/>
  <c r="O2312" i="138" s="1"/>
  <c r="N303" i="138"/>
  <c r="M303" i="138"/>
  <c r="O303" i="138" s="1"/>
  <c r="N913" i="138"/>
  <c r="M913" i="138"/>
  <c r="O913" i="138" s="1"/>
  <c r="N1000" i="138"/>
  <c r="M1000" i="138"/>
  <c r="N2156" i="138"/>
  <c r="M2156" i="138"/>
  <c r="N652" i="138"/>
  <c r="M652" i="138"/>
  <c r="N2690" i="138"/>
  <c r="M2690" i="138"/>
  <c r="O2690" i="138" s="1"/>
  <c r="N831" i="138"/>
  <c r="M831" i="138"/>
  <c r="N419" i="138"/>
  <c r="M419" i="138"/>
  <c r="O419" i="138" s="1"/>
  <c r="N1189" i="138"/>
  <c r="M1189" i="138"/>
  <c r="N2349" i="138"/>
  <c r="M2349" i="138"/>
  <c r="N975" i="138"/>
  <c r="O975" i="138" s="1"/>
  <c r="M975" i="138"/>
  <c r="N2864" i="138"/>
  <c r="M2864" i="138"/>
  <c r="O2864" i="138" s="1"/>
  <c r="N2316" i="138"/>
  <c r="M2316" i="138"/>
  <c r="O2316" i="138" s="1"/>
  <c r="N2488" i="138"/>
  <c r="M2488" i="138"/>
  <c r="O2488" i="138" s="1"/>
  <c r="N2764" i="138"/>
  <c r="M2764" i="138"/>
  <c r="N894" i="138"/>
  <c r="M894" i="138"/>
  <c r="O894" i="138" s="1"/>
  <c r="N1769" i="138"/>
  <c r="M1769" i="138"/>
  <c r="N1017" i="138"/>
  <c r="M1017" i="138"/>
  <c r="N2075" i="138"/>
  <c r="M2075" i="138"/>
  <c r="N277" i="138"/>
  <c r="M277" i="138"/>
  <c r="O277" i="138" s="1"/>
  <c r="N2241" i="138"/>
  <c r="M2241" i="138"/>
  <c r="N2178" i="138"/>
  <c r="M2178" i="138"/>
  <c r="O2178" i="138" s="1"/>
  <c r="N2846" i="138"/>
  <c r="M2846" i="138"/>
  <c r="N1294" i="138"/>
  <c r="O1294" i="138" s="1"/>
  <c r="M1294" i="138"/>
  <c r="N2703" i="138"/>
  <c r="M2703" i="138"/>
  <c r="N4103" i="138"/>
  <c r="M4103" i="138"/>
  <c r="N906" i="138"/>
  <c r="M906" i="138"/>
  <c r="N840" i="138"/>
  <c r="M840" i="138"/>
  <c r="N3003" i="138"/>
  <c r="M3003" i="138"/>
  <c r="N1684" i="138"/>
  <c r="M1684" i="138"/>
  <c r="N1844" i="138"/>
  <c r="M1844" i="138"/>
  <c r="N91" i="138"/>
  <c r="M91" i="138"/>
  <c r="N2602" i="138"/>
  <c r="M2602" i="138"/>
  <c r="N1973" i="138"/>
  <c r="M1973" i="138"/>
  <c r="N2360" i="138"/>
  <c r="M2360" i="138"/>
  <c r="N686" i="138"/>
  <c r="M686" i="138"/>
  <c r="N1214" i="138"/>
  <c r="M1214" i="138"/>
  <c r="N464" i="138"/>
  <c r="M464" i="138"/>
  <c r="N1859" i="138"/>
  <c r="M1859" i="138"/>
  <c r="N2954" i="138"/>
  <c r="M2954" i="138"/>
  <c r="O2954" i="138" s="1"/>
  <c r="N96" i="138"/>
  <c r="M96" i="138"/>
  <c r="N948" i="138"/>
  <c r="M948" i="138"/>
  <c r="N1307" i="138"/>
  <c r="M1307" i="138"/>
  <c r="N478" i="138"/>
  <c r="M478" i="138"/>
  <c r="N2621" i="138"/>
  <c r="M2621" i="138"/>
  <c r="N978" i="138"/>
  <c r="M978" i="138"/>
  <c r="O978" i="138" s="1"/>
  <c r="N2566" i="138"/>
  <c r="M2566" i="138"/>
  <c r="N2867" i="138"/>
  <c r="M2867" i="138"/>
  <c r="O2867" i="138" s="1"/>
  <c r="N2211" i="138"/>
  <c r="M2211" i="138"/>
  <c r="N3088" i="138"/>
  <c r="M3088" i="138"/>
  <c r="N2002" i="138"/>
  <c r="M2002" i="138"/>
  <c r="N1063" i="138"/>
  <c r="M1063" i="138"/>
  <c r="N1967" i="138"/>
  <c r="M1967" i="138"/>
  <c r="O1967" i="138" s="1"/>
  <c r="N1210" i="138"/>
  <c r="M1210" i="138"/>
  <c r="O1210" i="138" s="1"/>
  <c r="N1826" i="138"/>
  <c r="M1826" i="138"/>
  <c r="N2957" i="138"/>
  <c r="M2957" i="138"/>
  <c r="N2126" i="138"/>
  <c r="M2126" i="138"/>
  <c r="N1289" i="138"/>
  <c r="M1289" i="138"/>
  <c r="N991" i="138"/>
  <c r="M991" i="138"/>
  <c r="N580" i="138"/>
  <c r="M580" i="138"/>
  <c r="O580" i="138" s="1"/>
  <c r="N1812" i="138"/>
  <c r="M1812" i="138"/>
  <c r="N1161" i="138"/>
  <c r="M1161" i="138"/>
  <c r="N1211" i="138"/>
  <c r="M1211" i="138"/>
  <c r="N3000" i="138"/>
  <c r="O3000" i="138" s="1"/>
  <c r="M3000" i="138"/>
  <c r="N2154" i="138"/>
  <c r="M2154" i="138"/>
  <c r="N1963" i="138"/>
  <c r="M1963" i="138"/>
  <c r="O1963" i="138" s="1"/>
  <c r="N1899" i="138"/>
  <c r="M1899" i="138"/>
  <c r="N2262" i="138"/>
  <c r="M2262" i="138"/>
  <c r="N2482" i="138"/>
  <c r="M2482" i="138"/>
  <c r="O2482" i="138" s="1"/>
  <c r="N52" i="138"/>
  <c r="M52" i="138"/>
  <c r="N2043" i="138"/>
  <c r="M2043" i="138"/>
  <c r="N1873" i="138"/>
  <c r="M1873" i="138"/>
  <c r="N1192" i="138"/>
  <c r="M1192" i="138"/>
  <c r="N1129" i="138"/>
  <c r="M1129" i="138"/>
  <c r="N2273" i="138"/>
  <c r="M2273" i="138"/>
  <c r="O2273" i="138" s="1"/>
  <c r="N1730" i="138"/>
  <c r="M1730" i="138"/>
  <c r="N2594" i="138"/>
  <c r="M2594" i="138"/>
  <c r="O2594" i="138" s="1"/>
  <c r="N2563" i="138"/>
  <c r="M2563" i="138"/>
  <c r="N2544" i="138"/>
  <c r="O2544" i="138" s="1"/>
  <c r="M2544" i="138"/>
  <c r="N4102" i="138"/>
  <c r="M4102" i="138"/>
  <c r="N994" i="138"/>
  <c r="M994" i="138"/>
  <c r="O994" i="138" s="1"/>
  <c r="N2172" i="138"/>
  <c r="M2172" i="138"/>
  <c r="N1046" i="138"/>
  <c r="M1046" i="138"/>
  <c r="N475" i="138"/>
  <c r="M475" i="138"/>
  <c r="N2569" i="138"/>
  <c r="M2569" i="138"/>
  <c r="N2192" i="138"/>
  <c r="M2192" i="138"/>
  <c r="N2177" i="138"/>
  <c r="M2177" i="138"/>
  <c r="N1690" i="138"/>
  <c r="O1690" i="138" s="1"/>
  <c r="M1690" i="138"/>
  <c r="N1242" i="138"/>
  <c r="M1242" i="138"/>
  <c r="O1242" i="138" s="1"/>
  <c r="N2648" i="138"/>
  <c r="M2648" i="138"/>
  <c r="O2648" i="138" s="1"/>
  <c r="N1902" i="138"/>
  <c r="M1902" i="138"/>
  <c r="N2541" i="138"/>
  <c r="M2541" i="138"/>
  <c r="O2541" i="138" s="1"/>
  <c r="N102" i="138"/>
  <c r="M102" i="138"/>
  <c r="N966" i="138"/>
  <c r="M966" i="138"/>
  <c r="N335" i="138"/>
  <c r="M335" i="138"/>
  <c r="O335" i="138" s="1"/>
  <c r="N1324" i="138"/>
  <c r="M1324" i="138"/>
  <c r="O1324" i="138" s="1"/>
  <c r="N1942" i="138"/>
  <c r="M1942" i="138"/>
  <c r="N122" i="138"/>
  <c r="M122" i="138"/>
  <c r="O122" i="138" s="1"/>
  <c r="N1180" i="138"/>
  <c r="M1180" i="138"/>
  <c r="N1044" i="138"/>
  <c r="M1044" i="138"/>
  <c r="N1791" i="138"/>
  <c r="M1791" i="138"/>
  <c r="N1151" i="138"/>
  <c r="M1151" i="138"/>
  <c r="N492" i="138"/>
  <c r="O492" i="138" s="1"/>
  <c r="M492" i="138"/>
  <c r="N7" i="138"/>
  <c r="M7" i="138"/>
  <c r="O7" i="138" s="1"/>
  <c r="N1145" i="138"/>
  <c r="M1145" i="138"/>
  <c r="N835" i="138"/>
  <c r="M835" i="138"/>
  <c r="N816" i="138"/>
  <c r="M816" i="138"/>
  <c r="N897" i="138"/>
  <c r="M897" i="138"/>
  <c r="N3025" i="138"/>
  <c r="M3025" i="138"/>
  <c r="N495" i="138"/>
  <c r="M495" i="138"/>
  <c r="O495" i="138" s="1"/>
  <c r="N1238" i="138"/>
  <c r="M1238" i="138"/>
  <c r="N4093" i="138"/>
  <c r="M4093" i="138"/>
  <c r="N2581" i="138"/>
  <c r="M2581" i="138"/>
  <c r="O2581" i="138" s="1"/>
  <c r="N2579" i="138"/>
  <c r="M2579" i="138"/>
  <c r="O2579" i="138" s="1"/>
  <c r="N2238" i="138"/>
  <c r="M2238" i="138"/>
  <c r="N774" i="138"/>
  <c r="M774" i="138"/>
  <c r="N2588" i="138"/>
  <c r="M2588" i="138"/>
  <c r="N4067" i="138"/>
  <c r="M4067" i="138"/>
  <c r="N969" i="138"/>
  <c r="M969" i="138"/>
  <c r="O969" i="138" s="1"/>
  <c r="N123" i="138"/>
  <c r="M123" i="138"/>
  <c r="O123" i="138" s="1"/>
  <c r="N2842" i="138"/>
  <c r="M2842" i="138"/>
  <c r="N3993" i="138"/>
  <c r="M3993" i="138"/>
  <c r="O3993" i="138" s="1"/>
  <c r="N3011" i="138"/>
  <c r="M3011" i="138"/>
  <c r="N2215" i="138"/>
  <c r="M2215" i="138"/>
  <c r="N1114" i="138"/>
  <c r="M1114" i="138"/>
  <c r="N2835" i="138"/>
  <c r="M2835" i="138"/>
  <c r="N2657" i="138"/>
  <c r="M2657" i="138"/>
  <c r="N323" i="138"/>
  <c r="M323" i="138"/>
  <c r="O323" i="138" s="1"/>
  <c r="N2092" i="138"/>
  <c r="M2092" i="138"/>
  <c r="N2355" i="138"/>
  <c r="M2355" i="138"/>
  <c r="N2391" i="138"/>
  <c r="M2391" i="138"/>
  <c r="N2925" i="138"/>
  <c r="M2925" i="138"/>
  <c r="N126" i="138"/>
  <c r="M126" i="138"/>
  <c r="N920" i="138"/>
  <c r="M920" i="138"/>
  <c r="O920" i="138" s="1"/>
  <c r="N1863" i="138"/>
  <c r="M1863" i="138"/>
  <c r="O2148" i="138"/>
  <c r="N2148" i="138"/>
  <c r="M2148" i="138"/>
  <c r="N2504" i="138"/>
  <c r="M2504" i="138"/>
  <c r="O2504" i="138" s="1"/>
  <c r="N353" i="138"/>
  <c r="M353" i="138"/>
  <c r="O353" i="138" s="1"/>
  <c r="N1997" i="138"/>
  <c r="O1997" i="138" s="1"/>
  <c r="M1997" i="138"/>
  <c r="N2619" i="138"/>
  <c r="M2619" i="138"/>
  <c r="N1890" i="138"/>
  <c r="M1890" i="138"/>
  <c r="O1890" i="138" s="1"/>
  <c r="N859" i="138"/>
  <c r="M859" i="138"/>
  <c r="N1940" i="138"/>
  <c r="M1940" i="138"/>
  <c r="O1940" i="138" s="1"/>
  <c r="N1822" i="138"/>
  <c r="M1822" i="138"/>
  <c r="N2709" i="138"/>
  <c r="M2709" i="138"/>
  <c r="N2158" i="138"/>
  <c r="M2158" i="138"/>
  <c r="N2694" i="138"/>
  <c r="M2694" i="138"/>
  <c r="F40" i="137"/>
  <c r="G40" i="137" s="1"/>
  <c r="H40" i="137" s="1"/>
  <c r="F46" i="137"/>
  <c r="F48" i="137"/>
  <c r="I48" i="137" s="1"/>
  <c r="F42" i="137"/>
  <c r="F44" i="137"/>
  <c r="F43" i="137"/>
  <c r="F38" i="137"/>
  <c r="F45" i="137"/>
  <c r="F35" i="137"/>
  <c r="F37" i="137"/>
  <c r="I39" i="137"/>
  <c r="G39" i="137"/>
  <c r="H39" i="137" s="1"/>
  <c r="F41" i="137"/>
  <c r="F34" i="137"/>
  <c r="C68" i="137"/>
  <c r="F58" i="137"/>
  <c r="I58" i="137" s="1"/>
  <c r="F57" i="137"/>
  <c r="I57" i="137" s="1"/>
  <c r="F56" i="137"/>
  <c r="I56" i="137" s="1"/>
  <c r="F55" i="137"/>
  <c r="I55" i="137" s="1"/>
  <c r="F54" i="137"/>
  <c r="I54" i="137" s="1"/>
  <c r="F53" i="137"/>
  <c r="I53" i="137" s="1"/>
  <c r="F52" i="137"/>
  <c r="I52" i="137" s="1"/>
  <c r="F51" i="137"/>
  <c r="I51" i="137" s="1"/>
  <c r="F50" i="137"/>
  <c r="I50" i="137" s="1"/>
  <c r="F49" i="137"/>
  <c r="F33" i="137"/>
  <c r="F32" i="137"/>
  <c r="F31" i="137"/>
  <c r="F30" i="137"/>
  <c r="F29" i="137"/>
  <c r="F28" i="137"/>
  <c r="F27" i="137"/>
  <c r="F26" i="137"/>
  <c r="F25" i="137"/>
  <c r="F24" i="137"/>
  <c r="F23" i="137"/>
  <c r="F22" i="137"/>
  <c r="F21" i="137"/>
  <c r="F20" i="137"/>
  <c r="F19" i="137"/>
  <c r="F18" i="137"/>
  <c r="F17" i="137"/>
  <c r="F16" i="137"/>
  <c r="F15" i="137"/>
  <c r="F14" i="137"/>
  <c r="F13" i="137"/>
  <c r="F12" i="137"/>
  <c r="F11" i="137"/>
  <c r="F10" i="137"/>
  <c r="F9" i="137"/>
  <c r="F8" i="137"/>
  <c r="F7" i="137"/>
  <c r="F6" i="137"/>
  <c r="O2709" i="138" l="1"/>
  <c r="O478" i="138"/>
  <c r="O892" i="138"/>
  <c r="O4009" i="138"/>
  <c r="O1950" i="138"/>
  <c r="O2955" i="138"/>
  <c r="O2626" i="138"/>
  <c r="O691" i="138"/>
  <c r="O2309" i="138"/>
  <c r="O2869" i="138"/>
  <c r="O2096" i="138"/>
  <c r="O2244" i="138"/>
  <c r="O182" i="138"/>
  <c r="O2548" i="138"/>
  <c r="O126" i="138"/>
  <c r="O2842" i="138"/>
  <c r="O326" i="138"/>
  <c r="O2670" i="138"/>
  <c r="O3091" i="138"/>
  <c r="O2005" i="138"/>
  <c r="O2613" i="138"/>
  <c r="O3081" i="138"/>
  <c r="O3955" i="138"/>
  <c r="O1933" i="138"/>
  <c r="O3958" i="138"/>
  <c r="O2130" i="138"/>
  <c r="O2556" i="138"/>
  <c r="O1982" i="138"/>
  <c r="O2444" i="138"/>
  <c r="O2870" i="138"/>
  <c r="O2150" i="138"/>
  <c r="O503" i="138"/>
  <c r="O1341" i="138"/>
  <c r="O2301" i="138"/>
  <c r="O2845" i="138"/>
  <c r="O1142" i="138"/>
  <c r="O1745" i="138"/>
  <c r="O1048" i="138"/>
  <c r="O1776" i="138"/>
  <c r="O859" i="138"/>
  <c r="O2391" i="138"/>
  <c r="O816" i="138"/>
  <c r="O3003" i="138"/>
  <c r="O929" i="138"/>
  <c r="O4067" i="138"/>
  <c r="O4093" i="138"/>
  <c r="O835" i="138"/>
  <c r="O1044" i="138"/>
  <c r="O2172" i="138"/>
  <c r="O1730" i="138"/>
  <c r="O1289" i="138"/>
  <c r="O1063" i="138"/>
  <c r="O2846" i="138"/>
  <c r="O1769" i="138"/>
  <c r="O2257" i="138"/>
  <c r="O2891" i="138"/>
  <c r="O1125" i="138"/>
  <c r="O1305" i="138"/>
  <c r="O1176" i="138"/>
  <c r="O2437" i="138"/>
  <c r="O1252" i="138"/>
  <c r="O547" i="138"/>
  <c r="O2142" i="138"/>
  <c r="O1987" i="138"/>
  <c r="O54" i="138"/>
  <c r="O2698" i="138"/>
  <c r="O2242" i="138"/>
  <c r="O1197" i="138"/>
  <c r="O1863" i="138"/>
  <c r="O2092" i="138"/>
  <c r="O3011" i="138"/>
  <c r="O1238" i="138"/>
  <c r="O1145" i="138"/>
  <c r="O1180" i="138"/>
  <c r="O2177" i="138"/>
  <c r="O2158" i="138"/>
  <c r="O2675" i="138"/>
  <c r="O1098" i="138"/>
  <c r="O218" i="138"/>
  <c r="O2140" i="138"/>
  <c r="O2607" i="138"/>
  <c r="O1873" i="138"/>
  <c r="O686" i="138"/>
  <c r="O1684" i="138"/>
  <c r="O2075" i="138"/>
  <c r="O2478" i="138"/>
  <c r="O2307" i="138"/>
  <c r="O1879" i="138"/>
  <c r="O2654" i="138"/>
  <c r="O904" i="138"/>
  <c r="O2233" i="138"/>
  <c r="O324" i="138"/>
  <c r="O2498" i="138"/>
  <c r="O488" i="138"/>
  <c r="O2296" i="138"/>
  <c r="O441" i="138"/>
  <c r="O2814" i="138"/>
  <c r="O339" i="138"/>
  <c r="O1244" i="138"/>
  <c r="O139" i="138"/>
  <c r="O2829" i="138"/>
  <c r="O1760" i="138"/>
  <c r="O549" i="138"/>
  <c r="O2547" i="138"/>
  <c r="O2623" i="138"/>
  <c r="O2333" i="138"/>
  <c r="O2859" i="138"/>
  <c r="O902" i="138"/>
  <c r="O951" i="138"/>
  <c r="O1061" i="138"/>
  <c r="O4065" i="138"/>
  <c r="O638" i="138"/>
  <c r="O2989" i="138"/>
  <c r="O659" i="138"/>
  <c r="O1249" i="138"/>
  <c r="O2899" i="138"/>
  <c r="O2235" i="138"/>
  <c r="O1965" i="138"/>
  <c r="O1732" i="138"/>
  <c r="O677" i="138"/>
  <c r="O2807" i="138"/>
  <c r="O1291" i="138"/>
  <c r="O1105" i="138"/>
  <c r="O2606" i="138"/>
  <c r="O545" i="138"/>
  <c r="O474" i="138"/>
  <c r="O2773" i="138"/>
  <c r="O2643" i="138"/>
  <c r="O2722" i="138"/>
  <c r="O1185" i="138"/>
  <c r="O1224" i="138"/>
  <c r="O2812" i="138"/>
  <c r="O2795" i="138"/>
  <c r="O2890" i="138"/>
  <c r="O1299" i="138"/>
  <c r="O1075" i="138"/>
  <c r="O1147" i="138"/>
  <c r="O740" i="138"/>
  <c r="O436" i="138"/>
  <c r="O215" i="138"/>
  <c r="O947" i="138"/>
  <c r="O357" i="138"/>
  <c r="O2538" i="138"/>
  <c r="O2856" i="138"/>
  <c r="O810" i="138"/>
  <c r="O461" i="138"/>
  <c r="O634" i="138"/>
  <c r="O1301" i="138"/>
  <c r="O2079" i="138"/>
  <c r="O908" i="138"/>
  <c r="O1867" i="138"/>
  <c r="O1126" i="138"/>
  <c r="O1961" i="138"/>
  <c r="O2193" i="138"/>
  <c r="O644" i="138"/>
  <c r="O2767" i="138"/>
  <c r="O1846" i="138"/>
  <c r="O1039" i="138"/>
  <c r="O1837" i="138"/>
  <c r="O2304" i="138"/>
  <c r="O2650" i="138"/>
  <c r="O333" i="138"/>
  <c r="O505" i="138"/>
  <c r="O1082" i="138"/>
  <c r="O2980" i="138"/>
  <c r="O11" i="138"/>
  <c r="O630" i="138"/>
  <c r="O3989" i="138"/>
  <c r="O2511" i="138"/>
  <c r="O2371" i="138"/>
  <c r="O2560" i="138"/>
  <c r="O2693" i="138"/>
  <c r="O2771" i="138"/>
  <c r="O2754" i="138"/>
  <c r="O1267" i="138"/>
  <c r="O2520" i="138"/>
  <c r="O2174" i="138"/>
  <c r="O2487" i="138"/>
  <c r="O2035" i="138"/>
  <c r="O826" i="138"/>
  <c r="O986" i="138"/>
  <c r="O4108" i="138"/>
  <c r="O2617" i="138"/>
  <c r="O2135" i="138"/>
  <c r="O2298" i="138"/>
  <c r="O1212" i="138"/>
  <c r="O2766" i="138"/>
  <c r="O86" i="138"/>
  <c r="O2454" i="138"/>
  <c r="O2012" i="138"/>
  <c r="O1045" i="138"/>
  <c r="O2522" i="138"/>
  <c r="O603" i="138"/>
  <c r="O2635" i="138"/>
  <c r="O1282" i="138"/>
  <c r="O2339" i="138"/>
  <c r="O3044" i="138"/>
  <c r="O186" i="138"/>
  <c r="O668" i="138"/>
  <c r="O1891" i="138"/>
  <c r="O2044" i="138"/>
  <c r="O382" i="138"/>
  <c r="O2462" i="138"/>
  <c r="O2354" i="138"/>
  <c r="O152" i="138"/>
  <c r="O2415" i="138"/>
  <c r="O2283" i="138"/>
  <c r="O2587" i="138"/>
  <c r="O256" i="138"/>
  <c r="O2596" i="138"/>
  <c r="O1857" i="138"/>
  <c r="O989" i="138"/>
  <c r="O2082" i="138"/>
  <c r="O965" i="138"/>
  <c r="O663" i="138"/>
  <c r="O1187" i="138"/>
  <c r="O1104" i="138"/>
  <c r="O4020" i="138"/>
  <c r="O933" i="138"/>
  <c r="O1784" i="138"/>
  <c r="O2348" i="138"/>
  <c r="O1190" i="138"/>
  <c r="O1156" i="138"/>
  <c r="O2844" i="138"/>
  <c r="O2791" i="138"/>
  <c r="O562" i="138"/>
  <c r="O27" i="138"/>
  <c r="O1913" i="138"/>
  <c r="O1725" i="138"/>
  <c r="O971" i="138"/>
  <c r="O392" i="138"/>
  <c r="O188" i="138"/>
  <c r="O3022" i="138"/>
  <c r="O666" i="138"/>
  <c r="O2959" i="138"/>
  <c r="O2409" i="138"/>
  <c r="O1231" i="138"/>
  <c r="O4074" i="138"/>
  <c r="O1688" i="138"/>
  <c r="O1038" i="138"/>
  <c r="O2711" i="138"/>
  <c r="O909" i="138"/>
  <c r="O2406" i="138"/>
  <c r="O648" i="138"/>
  <c r="O1202" i="138"/>
  <c r="O483" i="138"/>
  <c r="O2621" i="138"/>
  <c r="O3013" i="138"/>
  <c r="O1204" i="138"/>
  <c r="O744" i="138"/>
  <c r="O2" i="138"/>
  <c r="O87" i="138"/>
  <c r="O1806" i="138"/>
  <c r="O1248" i="138"/>
  <c r="O2449" i="138"/>
  <c r="O1198" i="138"/>
  <c r="O2521" i="138"/>
  <c r="O2734" i="138"/>
  <c r="O2394" i="138"/>
  <c r="O127" i="138"/>
  <c r="O836" i="138"/>
  <c r="O9" i="138"/>
  <c r="O979" i="138"/>
  <c r="O856" i="138"/>
  <c r="O2736" i="138"/>
  <c r="O2057" i="138"/>
  <c r="O2262" i="138"/>
  <c r="O2241" i="138"/>
  <c r="O1051" i="138"/>
  <c r="O100" i="138"/>
  <c r="O650" i="138"/>
  <c r="O85" i="138"/>
  <c r="O1087" i="138"/>
  <c r="O1918" i="138"/>
  <c r="O2251" i="138"/>
  <c r="O4107" i="138"/>
  <c r="O828" i="138"/>
  <c r="O2651" i="138"/>
  <c r="O1336" i="138"/>
  <c r="O255" i="138"/>
  <c r="O1066" i="138"/>
  <c r="O2382" i="138"/>
  <c r="O2725" i="138"/>
  <c r="O3972" i="138"/>
  <c r="O2604" i="138"/>
  <c r="O325" i="138"/>
  <c r="O2969" i="138"/>
  <c r="O2948" i="138"/>
  <c r="O1898" i="138"/>
  <c r="O416" i="138"/>
  <c r="O250" i="138"/>
  <c r="O2704" i="138"/>
  <c r="O2331" i="138"/>
  <c r="O4118" i="138"/>
  <c r="O1020" i="138"/>
  <c r="O2223" i="138"/>
  <c r="O1016" i="138"/>
  <c r="O2151" i="138"/>
  <c r="O1927" i="138"/>
  <c r="O2819" i="138"/>
  <c r="O1209" i="138"/>
  <c r="O853" i="138"/>
  <c r="O1084" i="138"/>
  <c r="O2699" i="138"/>
  <c r="O2896" i="138"/>
  <c r="O2577" i="138"/>
  <c r="O1980" i="138"/>
  <c r="O2400" i="138"/>
  <c r="O2412" i="138"/>
  <c r="O1250" i="138"/>
  <c r="O2328" i="138"/>
  <c r="O1853" i="138"/>
  <c r="O1794" i="138"/>
  <c r="O1330" i="138"/>
  <c r="O942" i="138"/>
  <c r="O316" i="138"/>
  <c r="O2552" i="138"/>
  <c r="O2792" i="138"/>
  <c r="O3061" i="138"/>
  <c r="O2383" i="138"/>
  <c r="O1833" i="138"/>
  <c r="O699" i="138"/>
  <c r="O2823" i="138"/>
  <c r="O1155" i="138"/>
  <c r="O103" i="138"/>
  <c r="O2943" i="138"/>
  <c r="O2081" i="138"/>
  <c r="O2827" i="138"/>
  <c r="O1706" i="138"/>
  <c r="O2532" i="138"/>
  <c r="O2051" i="138"/>
  <c r="O1157" i="138"/>
  <c r="O2583" i="138"/>
  <c r="O2340" i="138"/>
  <c r="O3938" i="138"/>
  <c r="O1035" i="138"/>
  <c r="O761" i="138"/>
  <c r="O1970" i="138"/>
  <c r="O1099" i="138"/>
  <c r="O3078" i="138"/>
  <c r="O2300" i="138"/>
  <c r="O672" i="138"/>
  <c r="O1062" i="138"/>
  <c r="O935" i="138"/>
  <c r="O3967" i="138"/>
  <c r="O1915" i="138"/>
  <c r="O4008" i="138"/>
  <c r="O1975" i="138"/>
  <c r="O388" i="138"/>
  <c r="O1339" i="138"/>
  <c r="O1892" i="138"/>
  <c r="O1826" i="138"/>
  <c r="O1214" i="138"/>
  <c r="O2703" i="138"/>
  <c r="O2161" i="138"/>
  <c r="O118" i="138"/>
  <c r="O665" i="138"/>
  <c r="O564" i="138"/>
  <c r="O1205" i="138"/>
  <c r="O1919" i="138"/>
  <c r="O1188" i="138"/>
  <c r="O1174" i="138"/>
  <c r="O583" i="138"/>
  <c r="O1685" i="138"/>
  <c r="O4042" i="138"/>
  <c r="O550" i="138"/>
  <c r="O269" i="138"/>
  <c r="O1183" i="138"/>
  <c r="O302" i="138"/>
  <c r="O2087" i="138"/>
  <c r="O481" i="138"/>
  <c r="O3045" i="138"/>
  <c r="O1953" i="138"/>
  <c r="O1088" i="138"/>
  <c r="O2173" i="138"/>
  <c r="O1265" i="138"/>
  <c r="O762" i="138"/>
  <c r="O214" i="138"/>
  <c r="O150" i="138"/>
  <c r="O3033" i="138"/>
  <c r="O178" i="138"/>
  <c r="O2240" i="138"/>
  <c r="O1838" i="138"/>
  <c r="O128" i="138"/>
  <c r="O2631" i="138"/>
  <c r="O2926" i="138"/>
  <c r="O1866" i="138"/>
  <c r="O1911" i="138"/>
  <c r="O2289" i="138"/>
  <c r="O2459" i="138"/>
  <c r="O2191" i="138"/>
  <c r="O1693" i="138"/>
  <c r="O108" i="138"/>
  <c r="O927" i="138"/>
  <c r="O2089" i="138"/>
  <c r="O925" i="138"/>
  <c r="O1304" i="138"/>
  <c r="O1119" i="138"/>
  <c r="O2347" i="138"/>
  <c r="O1165" i="138"/>
  <c r="O1813" i="138"/>
  <c r="O473" i="138"/>
  <c r="O2680" i="138"/>
  <c r="O1233" i="138"/>
  <c r="O4101" i="138"/>
  <c r="O1727" i="138"/>
  <c r="O1173" i="138"/>
  <c r="O2288" i="138"/>
  <c r="O2293" i="138"/>
  <c r="O2429" i="138"/>
  <c r="O2564" i="138"/>
  <c r="O2618" i="138"/>
  <c r="O2221" i="138"/>
  <c r="O923" i="138"/>
  <c r="O22" i="138"/>
  <c r="O806" i="138"/>
  <c r="O889" i="138"/>
  <c r="O639" i="138"/>
  <c r="O2639" i="138"/>
  <c r="O943" i="138"/>
  <c r="O2706" i="138"/>
  <c r="O2393" i="138"/>
  <c r="O2271" i="138"/>
  <c r="O4091" i="138"/>
  <c r="O2129" i="138"/>
  <c r="O131" i="138"/>
  <c r="O2480" i="138"/>
  <c r="O2226" i="138"/>
  <c r="O1086" i="138"/>
  <c r="O1995" i="138"/>
  <c r="O2070" i="138"/>
  <c r="O2360" i="138"/>
  <c r="O1822" i="138"/>
  <c r="O2657" i="138"/>
  <c r="O774" i="138"/>
  <c r="O102" i="138"/>
  <c r="O52" i="138"/>
  <c r="O991" i="138"/>
  <c r="O2566" i="138"/>
  <c r="O96" i="138"/>
  <c r="O1017" i="138"/>
  <c r="O831" i="138"/>
  <c r="O1799" i="138"/>
  <c r="O3968" i="138"/>
  <c r="O1001" i="138"/>
  <c r="O2265" i="138"/>
  <c r="O399" i="138"/>
  <c r="O2269" i="138"/>
  <c r="O2692" i="138"/>
  <c r="O2118" i="138"/>
  <c r="O1199" i="138"/>
  <c r="O2163" i="138"/>
  <c r="O2392" i="138"/>
  <c r="O2427" i="138"/>
  <c r="O2851" i="138"/>
  <c r="O2303" i="138"/>
  <c r="O4021" i="138"/>
  <c r="O3008" i="138"/>
  <c r="O2064" i="138"/>
  <c r="O2153" i="138"/>
  <c r="O1751" i="138"/>
  <c r="O2417" i="138"/>
  <c r="O1817" i="138"/>
  <c r="O1869" i="138"/>
  <c r="O2727" i="138"/>
  <c r="O1972" i="138"/>
  <c r="O1768" i="138"/>
  <c r="O2461" i="138"/>
  <c r="O2098" i="138"/>
  <c r="O628" i="138"/>
  <c r="O2612" i="138"/>
  <c r="O476" i="138"/>
  <c r="O2975" i="138"/>
  <c r="O1300" i="138"/>
  <c r="O2204" i="138"/>
  <c r="O2229" i="138"/>
  <c r="O4071" i="138"/>
  <c r="O2854" i="138"/>
  <c r="O1789" i="138"/>
  <c r="O1694" i="138"/>
  <c r="O815" i="138"/>
  <c r="O2196" i="138"/>
  <c r="O911" i="138"/>
  <c r="O2048" i="138"/>
  <c r="O183" i="138"/>
  <c r="O1820" i="138"/>
  <c r="O2661" i="138"/>
  <c r="O2946" i="138"/>
  <c r="O2765" i="138"/>
  <c r="O972" i="138"/>
  <c r="O2942" i="138"/>
  <c r="O2329" i="138"/>
  <c r="O2464" i="138"/>
  <c r="O4005" i="138"/>
  <c r="O140" i="138"/>
  <c r="O1832" i="138"/>
  <c r="O3056" i="138"/>
  <c r="O134" i="138"/>
  <c r="O3932" i="138"/>
  <c r="O940" i="138"/>
  <c r="O2228" i="138"/>
  <c r="O1134" i="138"/>
  <c r="O2925" i="138"/>
  <c r="O2835" i="138"/>
  <c r="O2238" i="138"/>
  <c r="O3025" i="138"/>
  <c r="O1942" i="138"/>
  <c r="O2192" i="138"/>
  <c r="O4102" i="138"/>
  <c r="O1129" i="138"/>
  <c r="O1211" i="138"/>
  <c r="O2126" i="138"/>
  <c r="O2002" i="138"/>
  <c r="O1973" i="138"/>
  <c r="O840" i="138"/>
  <c r="O652" i="138"/>
  <c r="O396" i="138"/>
  <c r="O2998" i="138"/>
  <c r="O2299" i="138"/>
  <c r="O654" i="138"/>
  <c r="O540" i="138"/>
  <c r="O606" i="138"/>
  <c r="O1712" i="138"/>
  <c r="O3112" i="138"/>
  <c r="O2937" i="138"/>
  <c r="O428" i="138"/>
  <c r="O2930" i="138"/>
  <c r="O1321" i="138"/>
  <c r="O2426" i="138"/>
  <c r="O2080" i="138"/>
  <c r="O2927" i="138"/>
  <c r="O533" i="138"/>
  <c r="O1041" i="138"/>
  <c r="O8" i="138"/>
  <c r="O2170" i="138"/>
  <c r="O1849" i="138"/>
  <c r="O4010" i="138"/>
  <c r="O1072" i="138"/>
  <c r="O4014" i="138"/>
  <c r="O2074" i="138"/>
  <c r="O1106" i="138"/>
  <c r="O2761" i="138"/>
  <c r="O2237" i="138"/>
  <c r="O2936" i="138"/>
  <c r="O66" i="138"/>
  <c r="O983" i="138"/>
  <c r="O2575" i="138"/>
  <c r="O620" i="138"/>
  <c r="O2758" i="138"/>
  <c r="O1875" i="138"/>
  <c r="O2270" i="138"/>
  <c r="O2032" i="138"/>
  <c r="O2099" i="138"/>
  <c r="O2260" i="138"/>
  <c r="O1116" i="138"/>
  <c r="O1274" i="138"/>
  <c r="O1686" i="138"/>
  <c r="O1328" i="138"/>
  <c r="O1317" i="138"/>
  <c r="O181" i="138"/>
  <c r="O1074" i="138"/>
  <c r="O1903" i="138"/>
  <c r="O2728" i="138"/>
  <c r="O4041" i="138"/>
  <c r="O2134" i="138"/>
  <c r="O643" i="138"/>
  <c r="O1775" i="138"/>
  <c r="O2718" i="138"/>
  <c r="O585" i="138"/>
  <c r="O967" i="138"/>
  <c r="O3094" i="138"/>
  <c r="O1114" i="138"/>
  <c r="O897" i="138"/>
  <c r="O1151" i="138"/>
  <c r="O1902" i="138"/>
  <c r="O2569" i="138"/>
  <c r="O1192" i="138"/>
  <c r="O1161" i="138"/>
  <c r="O2957" i="138"/>
  <c r="O3088" i="138"/>
  <c r="O1859" i="138"/>
  <c r="O2602" i="138"/>
  <c r="O906" i="138"/>
  <c r="O2349" i="138"/>
  <c r="O2156" i="138"/>
  <c r="O404" i="138"/>
  <c r="O2358" i="138"/>
  <c r="O3012" i="138"/>
  <c r="O3080" i="138"/>
  <c r="O1005" i="138"/>
  <c r="O530" i="138"/>
  <c r="O463" i="138"/>
  <c r="O2665" i="138"/>
  <c r="O90" i="138"/>
  <c r="O1991" i="138"/>
  <c r="O2584" i="138"/>
  <c r="O2015" i="138"/>
  <c r="O2945" i="138"/>
  <c r="O1021" i="138"/>
  <c r="O2929" i="138"/>
  <c r="O3987" i="138"/>
  <c r="O2306" i="138"/>
  <c r="O2628" i="138"/>
  <c r="O4076" i="138"/>
  <c r="O811" i="138"/>
  <c r="O2361" i="138"/>
  <c r="O2803" i="138"/>
  <c r="O1709" i="138"/>
  <c r="O4040" i="138"/>
  <c r="O307" i="138"/>
  <c r="O417" i="138"/>
  <c r="O3933" i="138"/>
  <c r="O212" i="138"/>
  <c r="O1246" i="138"/>
  <c r="O3937" i="138"/>
  <c r="O337" i="138"/>
  <c r="O2949" i="138"/>
  <c r="O318" i="138"/>
  <c r="O582" i="138"/>
  <c r="O2004" i="138"/>
  <c r="O2600" i="138"/>
  <c r="O590" i="138"/>
  <c r="O2232" i="138"/>
  <c r="O2799" i="138"/>
  <c r="O2644" i="138"/>
  <c r="O3055" i="138"/>
  <c r="O2723" i="138"/>
  <c r="O1897" i="138"/>
  <c r="O3007" i="138"/>
  <c r="O2994" i="138"/>
  <c r="O95" i="138"/>
  <c r="O3969" i="138"/>
  <c r="O2497" i="138"/>
  <c r="O3093" i="138"/>
  <c r="O1007" i="138"/>
  <c r="O2028" i="138"/>
  <c r="O2052" i="138"/>
  <c r="O2157" i="138"/>
  <c r="O544" i="138"/>
  <c r="O912" i="138"/>
  <c r="O210" i="138"/>
  <c r="O1782" i="138"/>
  <c r="O2694" i="138"/>
  <c r="O2355" i="138"/>
  <c r="O2215" i="138"/>
  <c r="O1791" i="138"/>
  <c r="O475" i="138"/>
  <c r="O2563" i="138"/>
  <c r="O1899" i="138"/>
  <c r="O1812" i="138"/>
  <c r="O2211" i="138"/>
  <c r="O464" i="138"/>
  <c r="O91" i="138"/>
  <c r="O4103" i="138"/>
  <c r="O2764" i="138"/>
  <c r="O1189" i="138"/>
  <c r="O1000" i="138"/>
  <c r="O1254" i="138"/>
  <c r="O746" i="138"/>
  <c r="O914" i="138"/>
  <c r="O993" i="138"/>
  <c r="O605" i="138"/>
  <c r="O1979" i="138"/>
  <c r="O3119" i="138"/>
  <c r="O2337" i="138"/>
  <c r="O921" i="138"/>
  <c r="O1936" i="138"/>
  <c r="O457" i="138"/>
  <c r="O1168" i="138"/>
  <c r="O1013" i="138"/>
  <c r="O439" i="138"/>
  <c r="O2804" i="138"/>
  <c r="O655" i="138"/>
  <c r="O2922" i="138"/>
  <c r="O1111" i="138"/>
  <c r="O2264" i="138"/>
  <c r="O873" i="138"/>
  <c r="O2895" i="138"/>
  <c r="O2972" i="138"/>
  <c r="O2058" i="138"/>
  <c r="O2861" i="138"/>
  <c r="O12" i="138"/>
  <c r="O917" i="138"/>
  <c r="O2741" i="138"/>
  <c r="O1153" i="138"/>
  <c r="O794" i="138"/>
  <c r="O2248" i="138"/>
  <c r="O1068" i="138"/>
  <c r="O400" i="138"/>
  <c r="O1777" i="138"/>
  <c r="O384" i="138"/>
  <c r="O2210" i="138"/>
  <c r="O2200" i="138"/>
  <c r="O1201" i="138"/>
  <c r="O696" i="138"/>
  <c r="O2840" i="138"/>
  <c r="O4069" i="138"/>
  <c r="O2344" i="138"/>
  <c r="O1056" i="138"/>
  <c r="O2254" i="138"/>
  <c r="O2978" i="138"/>
  <c r="O276" i="138"/>
  <c r="O2330" i="138"/>
  <c r="O1778" i="138"/>
  <c r="O891" i="138"/>
  <c r="O531" i="138"/>
  <c r="O1985" i="138"/>
  <c r="O2408" i="138"/>
  <c r="O1910" i="138"/>
  <c r="O114" i="138"/>
  <c r="O120" i="138"/>
  <c r="O996" i="138"/>
  <c r="O2559" i="138"/>
  <c r="O2649" i="138"/>
  <c r="O2818" i="138"/>
  <c r="O2416" i="138"/>
  <c r="O2647" i="138"/>
  <c r="O1307" i="138"/>
  <c r="O2008" i="138"/>
  <c r="O249" i="138"/>
  <c r="O216" i="138"/>
  <c r="O4070" i="138"/>
  <c r="O2291" i="138"/>
  <c r="O1978" i="138"/>
  <c r="O2748" i="138"/>
  <c r="O2826" i="138"/>
  <c r="O2815" i="138"/>
  <c r="O2562" i="138"/>
  <c r="O1905" i="138"/>
  <c r="O2205" i="138"/>
  <c r="O3069" i="138"/>
  <c r="O2525" i="138"/>
  <c r="O624" i="138"/>
  <c r="O2939" i="138"/>
  <c r="O807" i="138"/>
  <c r="O2133" i="138"/>
  <c r="O2013" i="138"/>
  <c r="O2083" i="138"/>
  <c r="O2619" i="138"/>
  <c r="O2588" i="138"/>
  <c r="O966" i="138"/>
  <c r="O1046" i="138"/>
  <c r="O2043" i="138"/>
  <c r="O2154" i="138"/>
  <c r="O948" i="138"/>
  <c r="O1844" i="138"/>
  <c r="O1800" i="138"/>
  <c r="O3075" i="138"/>
  <c r="O133" i="138"/>
  <c r="O2503" i="138"/>
  <c r="O2387" i="138"/>
  <c r="O1943" i="138"/>
  <c r="O2589" i="138"/>
  <c r="O1811" i="138"/>
  <c r="O833" i="138"/>
  <c r="O1821" i="138"/>
  <c r="O2880" i="138"/>
  <c r="O2390" i="138"/>
  <c r="O2888" i="138"/>
  <c r="O3063" i="138"/>
  <c r="O621" i="138"/>
  <c r="O2985" i="138"/>
  <c r="O2781" i="138"/>
  <c r="O563" i="138"/>
  <c r="O2900" i="138"/>
  <c r="O765" i="138"/>
  <c r="O2281" i="138"/>
  <c r="O2523" i="138"/>
  <c r="O56" i="138"/>
  <c r="O1852" i="138"/>
  <c r="O901" i="138"/>
  <c r="O924" i="138"/>
  <c r="O1055" i="138"/>
  <c r="O1115" i="138"/>
  <c r="O2554" i="138"/>
  <c r="O1107" i="138"/>
  <c r="O4015" i="138"/>
  <c r="O757" i="138"/>
  <c r="O1908" i="138"/>
  <c r="O341" i="138"/>
  <c r="O4099" i="138"/>
  <c r="O2686" i="138"/>
  <c r="O2059" i="138"/>
  <c r="O2821" i="138"/>
  <c r="O1724" i="138"/>
  <c r="O1792" i="138"/>
  <c r="O3019" i="138"/>
  <c r="O1728" i="138"/>
  <c r="O1043" i="138"/>
  <c r="O957" i="138"/>
  <c r="O2385" i="138"/>
  <c r="O2495" i="138"/>
  <c r="O2041" i="138"/>
  <c r="O2279" i="138"/>
  <c r="O2278" i="138"/>
  <c r="O1269" i="138"/>
  <c r="O389" i="138"/>
  <c r="O2234" i="138"/>
  <c r="O498" i="138"/>
  <c r="O356" i="138"/>
  <c r="O415" i="138"/>
  <c r="O683" i="138"/>
  <c r="O2887" i="138"/>
  <c r="O818" i="138"/>
  <c r="O2143" i="138"/>
  <c r="O4013" i="138"/>
  <c r="O2897" i="138"/>
  <c r="O1257" i="138"/>
  <c r="O1076" i="138"/>
  <c r="O2430" i="138"/>
  <c r="O191" i="138"/>
  <c r="O1893" i="138"/>
  <c r="O532" i="138"/>
  <c r="O2440" i="138"/>
  <c r="O2122" i="138"/>
  <c r="O944" i="138"/>
  <c r="O1138" i="138"/>
  <c r="O2025" i="138"/>
  <c r="O2078" i="138"/>
  <c r="O3004" i="138"/>
  <c r="O2695" i="138"/>
  <c r="O2573" i="138"/>
  <c r="O1901" i="138"/>
  <c r="O3006" i="138"/>
  <c r="O1850" i="138"/>
  <c r="O58" i="138"/>
  <c r="O1270" i="138"/>
  <c r="O2863" i="138"/>
  <c r="O1124" i="138"/>
  <c r="O2324" i="138"/>
  <c r="O18" i="138"/>
  <c r="O775" i="138"/>
  <c r="O2595" i="138"/>
  <c r="O2616" i="138"/>
  <c r="O192" i="138"/>
  <c r="O2124" i="138"/>
  <c r="O2898" i="138"/>
  <c r="O273" i="138"/>
  <c r="O2885" i="138"/>
  <c r="O281" i="138"/>
  <c r="O2327" i="138"/>
  <c r="O2105" i="138"/>
  <c r="O2056" i="138"/>
  <c r="O2967" i="138"/>
  <c r="O2793" i="138"/>
  <c r="O1878" i="138"/>
  <c r="O637" i="138"/>
  <c r="O2263" i="138"/>
  <c r="O2987" i="138"/>
  <c r="O1989" i="138"/>
  <c r="O646" i="138"/>
  <c r="O309" i="138"/>
  <c r="O2561" i="138"/>
  <c r="O130" i="138"/>
  <c r="O926" i="138"/>
  <c r="O2061" i="138"/>
  <c r="O1984" i="138"/>
  <c r="O871" i="138"/>
  <c r="O2570" i="138"/>
  <c r="O748" i="138"/>
  <c r="O1785" i="138"/>
  <c r="O2530" i="138"/>
  <c r="O2420" i="138"/>
  <c r="O2149" i="138"/>
  <c r="O1793" i="138"/>
  <c r="O2749" i="138"/>
  <c r="O2499" i="138"/>
  <c r="O2677" i="138"/>
  <c r="O1065" i="138"/>
  <c r="O28" i="138"/>
  <c r="O1080" i="138"/>
  <c r="O2243" i="138"/>
  <c r="O837" i="138"/>
  <c r="O1881" i="138"/>
  <c r="O1909" i="138"/>
  <c r="O2785" i="138"/>
  <c r="O1113" i="138"/>
  <c r="O1931" i="138"/>
  <c r="O3099" i="138"/>
  <c r="O930" i="138"/>
  <c r="O2974" i="138"/>
  <c r="O2197" i="138"/>
  <c r="O2335" i="138"/>
  <c r="O958" i="138"/>
  <c r="O1182" i="138"/>
  <c r="O493" i="138"/>
  <c r="O1284" i="138"/>
  <c r="O1786" i="138"/>
  <c r="O2101" i="138"/>
  <c r="O1687" i="138"/>
  <c r="O2060" i="138"/>
  <c r="O3115" i="138"/>
  <c r="O2019" i="138"/>
  <c r="O2904" i="138"/>
  <c r="O1787" i="138"/>
  <c r="O2171" i="138"/>
  <c r="O2590" i="138"/>
  <c r="O2808" i="138"/>
  <c r="O964" i="138"/>
  <c r="O955" i="138"/>
  <c r="O180" i="138"/>
  <c r="O1148" i="138"/>
  <c r="O952" i="138"/>
  <c r="O136" i="138"/>
  <c r="O2599" i="138"/>
  <c r="O1944" i="138"/>
  <c r="O2558" i="138"/>
  <c r="O501" i="138"/>
  <c r="O2990" i="138"/>
  <c r="O1924" i="138"/>
  <c r="O2100" i="138"/>
  <c r="O2388" i="138"/>
  <c r="O4098" i="138"/>
  <c r="O2479" i="138"/>
  <c r="O2187" i="138"/>
  <c r="O2884" i="138"/>
  <c r="O500" i="138"/>
  <c r="O2138" i="138"/>
  <c r="O839" i="138"/>
  <c r="O832" i="138"/>
  <c r="O2762" i="138"/>
  <c r="O2546" i="138"/>
  <c r="O2047" i="138"/>
  <c r="O1808" i="138"/>
  <c r="O64" i="138"/>
  <c r="O2370" i="138"/>
  <c r="O995" i="138"/>
  <c r="O1223" i="138"/>
  <c r="O2928" i="138"/>
  <c r="O915" i="138"/>
  <c r="O3952" i="138"/>
  <c r="O988" i="138"/>
  <c r="O2184" i="138"/>
  <c r="O1770" i="138"/>
  <c r="O2246" i="138"/>
  <c r="O2689" i="138"/>
  <c r="O427" i="138"/>
  <c r="O1322" i="138"/>
  <c r="O2369" i="138"/>
  <c r="O1964" i="138"/>
  <c r="O2483" i="138"/>
  <c r="O2811" i="138"/>
  <c r="O1077" i="138"/>
  <c r="O2634" i="138"/>
  <c r="O1160" i="138"/>
  <c r="O602" i="138"/>
  <c r="O872" i="138"/>
  <c r="O10" i="138"/>
  <c r="O2774" i="138"/>
  <c r="O1275" i="138"/>
  <c r="O959" i="138"/>
  <c r="O616" i="138"/>
  <c r="O1003" i="138"/>
  <c r="O2683" i="138"/>
  <c r="O258" i="138"/>
  <c r="O1316" i="138"/>
  <c r="O1900" i="138"/>
  <c r="O2603" i="138"/>
  <c r="O2585" i="138"/>
  <c r="O1788" i="138"/>
  <c r="O146" i="138"/>
  <c r="O1969" i="138"/>
  <c r="O1962" i="138"/>
  <c r="O2516" i="138"/>
  <c r="O2006" i="138"/>
  <c r="O2798" i="138"/>
  <c r="O1123" i="138"/>
  <c r="O2910" i="138"/>
  <c r="O636" i="138"/>
  <c r="O671" i="138"/>
  <c r="O953" i="138"/>
  <c r="O1981" i="138"/>
  <c r="O1158" i="138"/>
  <c r="O3957" i="138"/>
  <c r="O2992" i="138"/>
  <c r="O3984" i="138"/>
  <c r="O660" i="138"/>
  <c r="O2991" i="138"/>
  <c r="O124" i="138"/>
  <c r="O23" i="138"/>
  <c r="O2671" i="138"/>
  <c r="O2627" i="138"/>
  <c r="O187" i="138"/>
  <c r="O1054" i="138"/>
  <c r="O1996" i="138"/>
  <c r="O3021" i="138"/>
  <c r="O1851" i="138"/>
  <c r="O2113" i="138"/>
  <c r="O2874" i="138"/>
  <c r="O1916" i="138"/>
  <c r="O1711" i="138"/>
  <c r="O579" i="138"/>
  <c r="O301" i="138"/>
  <c r="O321" i="138"/>
  <c r="O1971" i="138"/>
  <c r="O2995" i="138"/>
  <c r="O2572" i="138"/>
  <c r="O2322" i="138"/>
  <c r="O59" i="138"/>
  <c r="O2106" i="138"/>
  <c r="O961" i="138"/>
  <c r="O2493" i="138"/>
  <c r="O2036" i="138"/>
  <c r="O2218" i="138"/>
  <c r="O1195" i="138"/>
  <c r="O129" i="138"/>
  <c r="O2956" i="138"/>
  <c r="O1052" i="138"/>
  <c r="O2018" i="138"/>
  <c r="O2608" i="138"/>
  <c r="O773" i="138"/>
  <c r="O2529" i="138"/>
  <c r="O2169" i="138"/>
  <c r="O220" i="138"/>
  <c r="O184" i="138"/>
  <c r="O2380" i="138"/>
  <c r="O1287" i="138"/>
  <c r="O1090" i="138"/>
  <c r="O2423" i="138"/>
  <c r="O1945" i="138"/>
  <c r="O1934" i="138"/>
  <c r="O790" i="138"/>
  <c r="O1977" i="138"/>
  <c r="O2091" i="138"/>
  <c r="O2040" i="138"/>
  <c r="O770" i="138"/>
  <c r="O1338" i="138"/>
  <c r="O2719" i="138"/>
  <c r="O1795" i="138"/>
  <c r="O2062" i="138"/>
  <c r="O2467" i="138"/>
  <c r="O2373" i="138"/>
  <c r="O2789" i="138"/>
  <c r="O1144" i="138"/>
  <c r="O270" i="138"/>
  <c r="O2733" i="138"/>
  <c r="O310" i="138"/>
  <c r="O769" i="138"/>
  <c r="O151" i="138"/>
  <c r="O2801" i="138"/>
  <c r="O2567" i="138"/>
  <c r="O557" i="138"/>
  <c r="O791" i="138"/>
  <c r="O2742" i="138"/>
  <c r="O2905" i="138"/>
  <c r="O2116" i="138"/>
  <c r="O2571" i="138"/>
  <c r="O254" i="138"/>
  <c r="O2744" i="138"/>
  <c r="O918" i="138"/>
  <c r="O2832" i="138"/>
  <c r="O1042" i="138"/>
  <c r="O398" i="138"/>
  <c r="O2359" i="138"/>
  <c r="O631" i="138"/>
  <c r="O2678" i="138"/>
  <c r="O3023" i="138"/>
  <c r="O368" i="138"/>
  <c r="O2168" i="138"/>
  <c r="O1865" i="138"/>
  <c r="O2086" i="138"/>
  <c r="O2217" i="138"/>
  <c r="O1258" i="138"/>
  <c r="O2290" i="138"/>
  <c r="O928" i="138"/>
  <c r="O1178" i="138"/>
  <c r="O895" i="138"/>
  <c r="O2970" i="138"/>
  <c r="O4044" i="138"/>
  <c r="O279" i="138"/>
  <c r="O2986" i="138"/>
  <c r="O2108" i="138"/>
  <c r="O257" i="138"/>
  <c r="O829" i="138"/>
  <c r="O640" i="138"/>
  <c r="O899" i="138"/>
  <c r="O2267" i="138"/>
  <c r="O1095" i="138"/>
  <c r="O2632" i="138"/>
  <c r="O1840" i="138"/>
  <c r="O371" i="138"/>
  <c r="O2063" i="138"/>
  <c r="O2456" i="138"/>
  <c r="O2346" i="138"/>
  <c r="O116" i="138"/>
  <c r="O548" i="138"/>
  <c r="O2720" i="138"/>
  <c r="O3936" i="138"/>
  <c r="O1097" i="138"/>
  <c r="O2447" i="138"/>
  <c r="O1247" i="138"/>
  <c r="O981" i="138"/>
  <c r="O1753" i="138"/>
  <c r="O641" i="138"/>
  <c r="O939" i="138"/>
  <c r="O2551" i="138"/>
  <c r="O1816" i="138"/>
  <c r="O869" i="138"/>
  <c r="O1974" i="138"/>
  <c r="O1896" i="138"/>
  <c r="O2451" i="138"/>
  <c r="O4" i="138"/>
  <c r="O1765" i="138"/>
  <c r="O1179" i="138"/>
  <c r="O2407" i="138"/>
  <c r="O2656" i="138"/>
  <c r="O2528" i="138"/>
  <c r="O1312" i="138"/>
  <c r="O2724" i="138"/>
  <c r="O2443" i="138"/>
  <c r="O93" i="138"/>
  <c r="O1272" i="138"/>
  <c r="O2179" i="138"/>
  <c r="O115" i="138"/>
  <c r="O3032" i="138"/>
  <c r="O2292" i="138"/>
  <c r="O2088" i="138"/>
  <c r="O83" i="138"/>
  <c r="O2849" i="138"/>
  <c r="O1012" i="138"/>
  <c r="O84" i="138"/>
  <c r="O852" i="138"/>
  <c r="O1856" i="138"/>
  <c r="O854" i="138"/>
  <c r="O2496" i="138"/>
  <c r="O2740" i="138"/>
  <c r="O482" i="138"/>
  <c r="O4068" i="138"/>
  <c r="O2213" i="138"/>
  <c r="O834" i="138"/>
  <c r="O2490" i="138"/>
  <c r="O1133" i="138"/>
  <c r="O2971" i="138"/>
  <c r="O499" i="138"/>
  <c r="O2128" i="138"/>
  <c r="O2582" i="138"/>
  <c r="O3015" i="138"/>
  <c r="O2848" i="138"/>
  <c r="O370" i="138"/>
  <c r="O2977" i="138"/>
  <c r="O789" i="138"/>
  <c r="O776" i="138"/>
  <c r="O2996" i="138"/>
  <c r="O931" i="138"/>
  <c r="O2965" i="138"/>
  <c r="O617" i="138"/>
  <c r="O189" i="138"/>
  <c r="O3124" i="138"/>
  <c r="O2779" i="138"/>
  <c r="O2934" i="138"/>
  <c r="O2640" i="138"/>
  <c r="O308" i="138"/>
  <c r="O1888" i="138"/>
  <c r="O1906" i="138"/>
  <c r="O1747" i="138"/>
  <c r="O2721" i="138"/>
  <c r="O1216" i="138"/>
  <c r="O2364" i="138"/>
  <c r="O763" i="138"/>
  <c r="O1169" i="138"/>
  <c r="O2030" i="138"/>
  <c r="O217" i="138"/>
  <c r="O2023" i="138"/>
  <c r="O2950" i="138"/>
  <c r="O2751" i="138"/>
  <c r="O1029" i="138"/>
  <c r="O2065" i="138"/>
  <c r="O2073" i="138"/>
  <c r="O896" i="138"/>
  <c r="O65" i="138"/>
  <c r="O30" i="138"/>
  <c r="O2239" i="138"/>
  <c r="O3108" i="138"/>
  <c r="O2338" i="138"/>
  <c r="O3986" i="138"/>
  <c r="O2214" i="138"/>
  <c r="O2502" i="138"/>
  <c r="O2655" i="138"/>
  <c r="O1006" i="138"/>
  <c r="O3101" i="138"/>
  <c r="O1191" i="138"/>
  <c r="O2772" i="138"/>
  <c r="O2833" i="138"/>
  <c r="O194" i="138"/>
  <c r="O4066" i="138"/>
  <c r="O477" i="138"/>
  <c r="O1047" i="138"/>
  <c r="O2147" i="138"/>
  <c r="O2302" i="138"/>
  <c r="O1292" i="138"/>
  <c r="O1251" i="138"/>
  <c r="O2212" i="138"/>
  <c r="O1235" i="138"/>
  <c r="O551" i="138"/>
  <c r="O2963" i="138"/>
  <c r="O2007" i="138"/>
  <c r="O1222" i="138"/>
  <c r="O581" i="138"/>
  <c r="O1057" i="138"/>
  <c r="O3959" i="138"/>
  <c r="O2999" i="138"/>
  <c r="O4046" i="138"/>
  <c r="O383" i="138"/>
  <c r="O2893" i="138"/>
  <c r="O759" i="138"/>
  <c r="O2828" i="138"/>
  <c r="O320" i="138"/>
  <c r="O480" i="138"/>
  <c r="O1830" i="138"/>
  <c r="O32" i="138"/>
  <c r="O1310" i="138"/>
  <c r="O322" i="138"/>
  <c r="O2933" i="138"/>
  <c r="O2514" i="138"/>
  <c r="O393" i="138"/>
  <c r="O1941" i="138"/>
  <c r="O1860" i="138"/>
  <c r="O2121" i="138"/>
  <c r="O1309" i="138"/>
  <c r="O2810" i="138"/>
  <c r="O1938" i="138"/>
  <c r="O402" i="138"/>
  <c r="O4007" i="138"/>
  <c r="O2219" i="138"/>
  <c r="O2111" i="138"/>
  <c r="O2931" i="138"/>
  <c r="O1215" i="138"/>
  <c r="O2194" i="138"/>
  <c r="O905" i="138"/>
  <c r="O2310" i="138"/>
  <c r="O401" i="138"/>
  <c r="O1713" i="138"/>
  <c r="O743" i="138"/>
  <c r="O2436" i="138"/>
  <c r="O2320" i="138"/>
  <c r="O101" i="138"/>
  <c r="O2066" i="138"/>
  <c r="O1234" i="138"/>
  <c r="O1094" i="138"/>
  <c r="O3988" i="138"/>
  <c r="O954" i="138"/>
  <c r="O2470" i="138"/>
  <c r="O2029" i="138"/>
  <c r="O2397" i="138"/>
  <c r="O742" i="138"/>
  <c r="O1749" i="138"/>
  <c r="O1053" i="138"/>
  <c r="O280" i="138"/>
  <c r="O919" i="138"/>
  <c r="O278" i="138"/>
  <c r="O1883" i="138"/>
  <c r="O2776" i="138"/>
  <c r="O2159" i="138"/>
  <c r="O426" i="138"/>
  <c r="O190" i="138"/>
  <c r="O2923" i="138"/>
  <c r="D74" i="137"/>
  <c r="D72" i="137"/>
  <c r="D71" i="137"/>
  <c r="O2983" i="138"/>
  <c r="O560" i="138"/>
  <c r="O2979" i="138"/>
  <c r="O2702" i="138"/>
  <c r="O3991" i="138"/>
  <c r="O2658" i="138"/>
  <c r="O1118" i="138"/>
  <c r="O1058" i="138"/>
  <c r="O1067" i="138"/>
  <c r="O3985" i="138"/>
  <c r="O1692" i="138"/>
  <c r="O2418" i="138"/>
  <c r="O907" i="138"/>
  <c r="O2806" i="138"/>
  <c r="O1207" i="138"/>
  <c r="O1220" i="138"/>
  <c r="O2783" i="138"/>
  <c r="O444" i="138"/>
  <c r="O1137" i="138"/>
  <c r="O1748" i="138"/>
  <c r="O1746" i="138"/>
  <c r="O2016" i="138"/>
  <c r="O1255" i="138"/>
  <c r="O2357" i="138"/>
  <c r="O2903" i="138"/>
  <c r="O2477" i="138"/>
  <c r="O1162" i="138"/>
  <c r="O956" i="138"/>
  <c r="O1320" i="138"/>
  <c r="O3100" i="138"/>
  <c r="O317" i="138"/>
  <c r="O2662" i="138"/>
  <c r="O2816" i="138"/>
  <c r="O2883" i="138"/>
  <c r="O2085" i="138"/>
  <c r="O2745" i="138"/>
  <c r="O1988" i="138"/>
  <c r="O2790" i="138"/>
  <c r="O112" i="138"/>
  <c r="O2125" i="138"/>
  <c r="O2297" i="138"/>
  <c r="O633" i="138"/>
  <c r="O601" i="138"/>
  <c r="O2673" i="138"/>
  <c r="O916" i="138"/>
  <c r="O2605" i="138"/>
  <c r="O2365" i="138"/>
  <c r="O2768" i="138"/>
  <c r="O1756" i="138"/>
  <c r="O546" i="138"/>
  <c r="O94" i="138"/>
  <c r="O2753" i="138"/>
  <c r="O2413" i="138"/>
  <c r="O1240" i="138"/>
  <c r="O3017" i="138"/>
  <c r="O4073" i="138"/>
  <c r="O1907" i="138"/>
  <c r="O2542" i="138"/>
  <c r="O2802" i="138"/>
  <c r="O2871" i="138"/>
  <c r="O2481" i="138"/>
  <c r="O137" i="138"/>
  <c r="O2712" i="138"/>
  <c r="O1280" i="138"/>
  <c r="O2756" i="138"/>
  <c r="O543" i="138"/>
  <c r="O4100" i="138"/>
  <c r="O2395" i="138"/>
  <c r="O3058" i="138"/>
  <c r="O2366" i="138"/>
  <c r="O2688" i="138"/>
  <c r="O2141" i="138"/>
  <c r="O792" i="138"/>
  <c r="O688" i="138"/>
  <c r="O1930" i="138"/>
  <c r="O440" i="138"/>
  <c r="O4072" i="138"/>
  <c r="O1993" i="138"/>
  <c r="O635" i="138"/>
  <c r="O2332" i="138"/>
  <c r="O1069" i="138"/>
  <c r="O1025" i="138"/>
  <c r="O2230" i="138"/>
  <c r="O745" i="138"/>
  <c r="O31" i="138"/>
  <c r="O857" i="138"/>
  <c r="O2167" i="138"/>
  <c r="O903" i="138"/>
  <c r="O2104" i="138"/>
  <c r="O529" i="138"/>
  <c r="O1135" i="138"/>
  <c r="O2565" i="138"/>
  <c r="O395" i="138"/>
  <c r="O1260" i="138"/>
  <c r="O2700" i="138"/>
  <c r="O2421" i="138"/>
  <c r="O1807" i="138"/>
  <c r="O2115" i="138"/>
  <c r="O2282" i="138"/>
  <c r="O2258" i="138"/>
  <c r="O1194" i="138"/>
  <c r="O3016" i="138"/>
  <c r="O334" i="138"/>
  <c r="O2836" i="138"/>
  <c r="O1237" i="138"/>
  <c r="O438" i="138"/>
  <c r="O1710" i="138"/>
  <c r="O2968" i="138"/>
  <c r="O55" i="138"/>
  <c r="O1263" i="138"/>
  <c r="O2696" i="138"/>
  <c r="O2964" i="138"/>
  <c r="O1966" i="138"/>
  <c r="O1708" i="138"/>
  <c r="O4096" i="138"/>
  <c r="O950" i="138"/>
  <c r="O1060" i="138"/>
  <c r="O3048" i="138"/>
  <c r="O3106" i="138"/>
  <c r="O1230" i="138"/>
  <c r="O4094" i="138"/>
  <c r="O3026" i="138"/>
  <c r="O1232" i="138"/>
  <c r="O148" i="138"/>
  <c r="O2855" i="138"/>
  <c r="O195" i="138"/>
  <c r="O420" i="138"/>
  <c r="O119" i="138"/>
  <c r="O998" i="138"/>
  <c r="O1175" i="138"/>
  <c r="O1759" i="138"/>
  <c r="O838" i="138"/>
  <c r="O2353" i="138"/>
  <c r="O589" i="138"/>
  <c r="O2638" i="138"/>
  <c r="O1146" i="138"/>
  <c r="O578" i="138"/>
  <c r="O209" i="138"/>
  <c r="O3934" i="138"/>
  <c r="O584" i="138"/>
  <c r="O1149" i="138"/>
  <c r="O527" i="138"/>
  <c r="O1071" i="138"/>
  <c r="O2024" i="138"/>
  <c r="O1691" i="138"/>
  <c r="O1078" i="138"/>
  <c r="O2494" i="138"/>
  <c r="O355" i="138"/>
  <c r="O2450" i="138"/>
  <c r="O3953" i="138"/>
  <c r="O2660" i="138"/>
  <c r="O2352" i="138"/>
  <c r="O1939" i="138"/>
  <c r="O3009" i="138"/>
  <c r="O974" i="138"/>
  <c r="O2274" i="138"/>
  <c r="O2691" i="138"/>
  <c r="O2022" i="138"/>
  <c r="O1163" i="138"/>
  <c r="O2747" i="138"/>
  <c r="O366" i="138"/>
  <c r="O147" i="138"/>
  <c r="O2208" i="138"/>
  <c r="O33" i="138"/>
  <c r="O941" i="138"/>
  <c r="O336" i="138"/>
  <c r="O1213" i="138"/>
  <c r="O2597" i="138"/>
  <c r="O1733" i="138"/>
  <c r="O1862" i="138"/>
  <c r="O1847" i="138"/>
  <c r="O2527" i="138"/>
  <c r="O99" i="138"/>
  <c r="O1947" i="138"/>
  <c r="O4109" i="138"/>
  <c r="O2473" i="138"/>
  <c r="O1957" i="138"/>
  <c r="O4077" i="138"/>
  <c r="O2146" i="138"/>
  <c r="O394" i="138"/>
  <c r="O868" i="138"/>
  <c r="O2476" i="138"/>
  <c r="O561" i="138"/>
  <c r="O682" i="138"/>
  <c r="O2526" i="138"/>
  <c r="O2305" i="138"/>
  <c r="O1010" i="138"/>
  <c r="O2318" i="138"/>
  <c r="O2738" i="138"/>
  <c r="O2533" i="138"/>
  <c r="O2107" i="138"/>
  <c r="O1937" i="138"/>
  <c r="O2441" i="138"/>
  <c r="O2180" i="138"/>
  <c r="O456" i="138"/>
  <c r="O459" i="138"/>
  <c r="O1262" i="138"/>
  <c r="O1755" i="138"/>
  <c r="O1949" i="138"/>
  <c r="O2652" i="138"/>
  <c r="O2641" i="138"/>
  <c r="O3050" i="138"/>
  <c r="O135" i="138"/>
  <c r="O2112" i="138"/>
  <c r="O2731" i="138"/>
  <c r="O141" i="138"/>
  <c r="O4012" i="138"/>
  <c r="O2308" i="138"/>
  <c r="O2419" i="138"/>
  <c r="O2858" i="138"/>
  <c r="O111" i="138"/>
  <c r="O2775" i="138"/>
  <c r="O565" i="138"/>
  <c r="O2784" i="138"/>
  <c r="O2786" i="138"/>
  <c r="O2707" i="138"/>
  <c r="O1766" i="138"/>
  <c r="O898" i="138"/>
  <c r="O125" i="138"/>
  <c r="O2071" i="138"/>
  <c r="O2367" i="138"/>
  <c r="O649" i="138"/>
  <c r="O2993" i="138"/>
  <c r="O1858" i="138"/>
  <c r="O772" i="138"/>
  <c r="O1810" i="138"/>
  <c r="O149" i="138"/>
  <c r="O1225" i="138"/>
  <c r="O1032" i="138"/>
  <c r="O2255" i="138"/>
  <c r="O2555" i="138"/>
  <c r="O1872" i="138"/>
  <c r="O2268" i="138"/>
  <c r="O2452" i="138"/>
  <c r="O1024" i="138"/>
  <c r="O2207" i="138"/>
  <c r="O1166" i="138"/>
  <c r="O2287" i="138"/>
  <c r="O2460" i="138"/>
  <c r="O970" i="138"/>
  <c r="O2576" i="138"/>
  <c r="O299" i="138"/>
  <c r="O1030" i="138"/>
  <c r="O758" i="138"/>
  <c r="O2676" i="138"/>
  <c r="O1767" i="138"/>
  <c r="O2319" i="138"/>
  <c r="O1059" i="138"/>
  <c r="O2045" i="138"/>
  <c r="O2834" i="138"/>
  <c r="O2788" i="138"/>
  <c r="O2746" i="138"/>
  <c r="O3990" i="138"/>
  <c r="O1079" i="138"/>
  <c r="O2505" i="138"/>
  <c r="O2277" i="138"/>
  <c r="O575" i="138"/>
  <c r="O251" i="138"/>
  <c r="O4106" i="138"/>
  <c r="O462" i="138"/>
  <c r="O208" i="138"/>
  <c r="O1754" i="138"/>
  <c r="O2549" i="138"/>
  <c r="O2598" i="138"/>
  <c r="O2517" i="138"/>
  <c r="O2438" i="138"/>
  <c r="O315" i="138"/>
  <c r="O1288" i="138"/>
  <c r="O2672" i="138"/>
  <c r="O206" i="138"/>
  <c r="O1958" i="138"/>
  <c r="O3046" i="138"/>
  <c r="O2222" i="138"/>
  <c r="O271" i="138"/>
  <c r="O2363" i="138"/>
  <c r="O1011" i="138"/>
  <c r="O670" i="138"/>
  <c r="O1049" i="138"/>
  <c r="O2813" i="138"/>
  <c r="O443" i="138"/>
  <c r="O2615" i="138"/>
  <c r="O534" i="138"/>
  <c r="O2236" i="138"/>
  <c r="O2199" i="138"/>
  <c r="O2750" i="138"/>
  <c r="O1131" i="138"/>
  <c r="O2960" i="138"/>
  <c r="O657" i="138"/>
  <c r="O1986" i="138"/>
  <c r="O1101" i="138"/>
  <c r="O1261" i="138"/>
  <c r="O788" i="138"/>
  <c r="O3973" i="138"/>
  <c r="O1170" i="138"/>
  <c r="O1912" i="138"/>
  <c r="O2760" i="138"/>
  <c r="O3070" i="138"/>
  <c r="O2489" i="138"/>
  <c r="O2512" i="138"/>
  <c r="O1064" i="138"/>
  <c r="O2144" i="138"/>
  <c r="O741" i="138"/>
  <c r="O1818" i="138"/>
  <c r="O2630" i="138"/>
  <c r="O2137" i="138"/>
  <c r="O1112" i="138"/>
  <c r="O1245" i="138"/>
  <c r="O1318" i="138"/>
  <c r="O2739" i="138"/>
  <c r="O327" i="138"/>
  <c r="O2119" i="138"/>
  <c r="O4004" i="138"/>
  <c r="O2535" i="138"/>
  <c r="J39" i="137"/>
  <c r="I40" i="137"/>
  <c r="J40" i="137" s="1"/>
  <c r="I43" i="137"/>
  <c r="G43" i="137"/>
  <c r="H43" i="137" s="1"/>
  <c r="I44" i="137"/>
  <c r="G44" i="137"/>
  <c r="G41" i="137"/>
  <c r="I41" i="137"/>
  <c r="I38" i="137"/>
  <c r="G38" i="137"/>
  <c r="H38" i="137" s="1"/>
  <c r="I42" i="137"/>
  <c r="G42" i="137"/>
  <c r="H42" i="137" s="1"/>
  <c r="K44" i="137"/>
  <c r="K36" i="137"/>
  <c r="K32" i="137"/>
  <c r="K28" i="137"/>
  <c r="K24" i="137"/>
  <c r="K20" i="137"/>
  <c r="K16" i="137"/>
  <c r="K12" i="137"/>
  <c r="K8" i="137"/>
  <c r="K6" i="137"/>
  <c r="K53" i="137"/>
  <c r="K49" i="137"/>
  <c r="K45" i="137"/>
  <c r="K41" i="137"/>
  <c r="K37" i="137"/>
  <c r="K33" i="137"/>
  <c r="K29" i="137"/>
  <c r="K25" i="137"/>
  <c r="K21" i="137"/>
  <c r="K17" i="137"/>
  <c r="K13" i="137"/>
  <c r="K9" i="137"/>
  <c r="K50" i="137"/>
  <c r="K46" i="137"/>
  <c r="K42" i="137"/>
  <c r="K38" i="137"/>
  <c r="K34" i="137"/>
  <c r="K30" i="137"/>
  <c r="K26" i="137"/>
  <c r="K22" i="137"/>
  <c r="K18" i="137"/>
  <c r="K14" i="137"/>
  <c r="K10" i="137"/>
  <c r="K40" i="137"/>
  <c r="K52" i="137"/>
  <c r="K48" i="137"/>
  <c r="K51" i="137"/>
  <c r="K47" i="137"/>
  <c r="K43" i="137"/>
  <c r="K39" i="137"/>
  <c r="K35" i="137"/>
  <c r="K31" i="137"/>
  <c r="K27" i="137"/>
  <c r="K23" i="137"/>
  <c r="K19" i="137"/>
  <c r="K15" i="137"/>
  <c r="K11" i="137"/>
  <c r="K7" i="137"/>
  <c r="J38" i="137" l="1"/>
  <c r="J44" i="137"/>
  <c r="J41" i="137"/>
  <c r="H44" i="137"/>
  <c r="H41" i="137"/>
  <c r="J43" i="137"/>
  <c r="J42" i="137"/>
  <c r="K59" i="137" l="1"/>
  <c r="G57" i="137"/>
  <c r="J57" i="137" l="1"/>
  <c r="H57" i="137"/>
  <c r="G58" i="137"/>
  <c r="H58" i="137" s="1"/>
  <c r="J58" i="137" l="1"/>
  <c r="D73" i="137" l="1"/>
  <c r="G32" i="137" l="1"/>
  <c r="H32" i="137" s="1"/>
  <c r="I32" i="137"/>
  <c r="J32" i="137" l="1"/>
  <c r="G47" i="137" l="1"/>
  <c r="J47" i="137" l="1"/>
  <c r="H47" i="137"/>
  <c r="B7" i="137" l="1"/>
  <c r="B8" i="137" l="1"/>
  <c r="B9" i="137" l="1"/>
  <c r="B10" i="137" s="1"/>
  <c r="B11" i="137" s="1"/>
  <c r="B12" i="137" s="1"/>
  <c r="B13" i="137" s="1"/>
  <c r="B14" i="137" s="1"/>
  <c r="B15" i="137" s="1"/>
  <c r="B16" i="137" s="1"/>
  <c r="B17" i="137" s="1"/>
  <c r="B18" i="137" s="1"/>
  <c r="B19" i="137" s="1"/>
  <c r="B20" i="137" s="1"/>
  <c r="B21" i="137" s="1"/>
  <c r="B22" i="137" s="1"/>
  <c r="B23" i="137" s="1"/>
  <c r="B24" i="137" s="1"/>
  <c r="B25" i="137" s="1"/>
  <c r="B26" i="137" s="1"/>
  <c r="B27" i="137" s="1"/>
  <c r="B28" i="137" s="1"/>
  <c r="B29" i="137" s="1"/>
  <c r="B30" i="137" s="1"/>
  <c r="B31" i="137" s="1"/>
  <c r="B32" i="137" s="1"/>
  <c r="B33" i="137" s="1"/>
  <c r="B34" i="137" s="1"/>
  <c r="B35" i="137" s="1"/>
  <c r="B36" i="137" s="1"/>
  <c r="B37" i="137" s="1"/>
  <c r="B38" i="137" s="1"/>
  <c r="B39" i="137" s="1"/>
  <c r="B40" i="137" s="1"/>
  <c r="B41" i="137" s="1"/>
  <c r="B42" i="137" s="1"/>
  <c r="B43" i="137" s="1"/>
  <c r="B44" i="137" s="1"/>
  <c r="B45" i="137" s="1"/>
  <c r="B46" i="137" s="1"/>
  <c r="B47" i="137" s="1"/>
  <c r="B48" i="137" s="1"/>
  <c r="B49" i="137" s="1"/>
  <c r="B50" i="137" s="1"/>
  <c r="B51" i="137" s="1"/>
  <c r="B52" i="137" s="1"/>
  <c r="B53" i="137" s="1"/>
  <c r="B54" i="137" s="1"/>
  <c r="B55" i="137" s="1"/>
  <c r="B56" i="137" s="1"/>
  <c r="B57" i="137" s="1"/>
  <c r="B58" i="137" s="1"/>
  <c r="G31" i="137"/>
  <c r="H31" i="137" s="1"/>
  <c r="I25" i="137"/>
  <c r="I17" i="137"/>
  <c r="G17" i="137"/>
  <c r="I28" i="137"/>
  <c r="G28" i="137"/>
  <c r="H28" i="137" s="1"/>
  <c r="G51" i="137"/>
  <c r="H51" i="137" s="1"/>
  <c r="G14" i="137"/>
  <c r="H14" i="137" s="1"/>
  <c r="I14" i="137"/>
  <c r="C76" i="137" l="1"/>
  <c r="I31" i="137"/>
  <c r="J31" i="137" s="1"/>
  <c r="J17" i="137"/>
  <c r="J14" i="137"/>
  <c r="J28" i="137"/>
  <c r="J51" i="137"/>
  <c r="G25" i="137"/>
  <c r="J25" i="137" s="1"/>
  <c r="G12" i="137"/>
  <c r="H12" i="137" s="1"/>
  <c r="I12" i="137"/>
  <c r="G55" i="137"/>
  <c r="H55" i="137" s="1"/>
  <c r="I16" i="137"/>
  <c r="G16" i="137"/>
  <c r="H16" i="137" s="1"/>
  <c r="I26" i="137"/>
  <c r="G26" i="137"/>
  <c r="H26" i="137" s="1"/>
  <c r="G52" i="137"/>
  <c r="H52" i="137" s="1"/>
  <c r="G11" i="137"/>
  <c r="H11" i="137" s="1"/>
  <c r="I11" i="137"/>
  <c r="G30" i="137"/>
  <c r="H30" i="137" s="1"/>
  <c r="I30" i="137"/>
  <c r="G54" i="137"/>
  <c r="H54" i="137" s="1"/>
  <c r="G50" i="137"/>
  <c r="H50" i="137" s="1"/>
  <c r="G45" i="137"/>
  <c r="H45" i="137" s="1"/>
  <c r="I45" i="137"/>
  <c r="G49" i="137"/>
  <c r="H49" i="137" s="1"/>
  <c r="I34" i="137"/>
  <c r="G34" i="137"/>
  <c r="I20" i="137"/>
  <c r="G20" i="137"/>
  <c r="H20" i="137" s="1"/>
  <c r="G33" i="137"/>
  <c r="H33" i="137" s="1"/>
  <c r="I33" i="137"/>
  <c r="H17" i="137"/>
  <c r="I37" i="137"/>
  <c r="G37" i="137"/>
  <c r="H37" i="137" s="1"/>
  <c r="G7" i="137"/>
  <c r="H7" i="137" s="1"/>
  <c r="I7" i="137"/>
  <c r="I9" i="137"/>
  <c r="G9" i="137"/>
  <c r="H9" i="137" s="1"/>
  <c r="G27" i="137"/>
  <c r="H27" i="137" s="1"/>
  <c r="I27" i="137"/>
  <c r="G13" i="137"/>
  <c r="H13" i="137" s="1"/>
  <c r="I13" i="137"/>
  <c r="G15" i="137"/>
  <c r="H15" i="137" s="1"/>
  <c r="I15" i="137"/>
  <c r="G19" i="137"/>
  <c r="H19" i="137" s="1"/>
  <c r="I19" i="137"/>
  <c r="I18" i="137"/>
  <c r="G18" i="137"/>
  <c r="H18" i="137" s="1"/>
  <c r="G24" i="137"/>
  <c r="H24" i="137" s="1"/>
  <c r="I24" i="137"/>
  <c r="G36" i="137"/>
  <c r="H36" i="137" s="1"/>
  <c r="I36" i="137"/>
  <c r="G56" i="137"/>
  <c r="H56" i="137" s="1"/>
  <c r="G29" i="137"/>
  <c r="H29" i="137" s="1"/>
  <c r="I29" i="137"/>
  <c r="G53" i="137"/>
  <c r="H53" i="137" s="1"/>
  <c r="G22" i="137"/>
  <c r="H22" i="137" s="1"/>
  <c r="I22" i="137"/>
  <c r="I10" i="137"/>
  <c r="G10" i="137"/>
  <c r="H10" i="137" s="1"/>
  <c r="G48" i="137"/>
  <c r="H48" i="137" s="1"/>
  <c r="I35" i="137"/>
  <c r="G35" i="137"/>
  <c r="H35" i="137" s="1"/>
  <c r="G46" i="137"/>
  <c r="H46" i="137" s="1"/>
  <c r="I46" i="137"/>
  <c r="G23" i="137"/>
  <c r="H23" i="137" s="1"/>
  <c r="I23" i="137"/>
  <c r="G8" i="137"/>
  <c r="H8" i="137" s="1"/>
  <c r="I8" i="137"/>
  <c r="G21" i="137"/>
  <c r="H21" i="137" s="1"/>
  <c r="I21" i="137"/>
  <c r="J34" i="137" l="1"/>
  <c r="J19" i="137"/>
  <c r="J29" i="137"/>
  <c r="J24" i="137"/>
  <c r="J20" i="137"/>
  <c r="J18" i="137"/>
  <c r="J45" i="137"/>
  <c r="J36" i="137"/>
  <c r="J11" i="137"/>
  <c r="H25" i="137"/>
  <c r="J48" i="137"/>
  <c r="J56" i="137"/>
  <c r="J7" i="137"/>
  <c r="J54" i="137"/>
  <c r="J35" i="137"/>
  <c r="J13" i="137"/>
  <c r="J9" i="137"/>
  <c r="H34" i="137"/>
  <c r="J50" i="137"/>
  <c r="J23" i="137"/>
  <c r="J27" i="137"/>
  <c r="J33" i="137"/>
  <c r="J26" i="137"/>
  <c r="J8" i="137"/>
  <c r="J46" i="137"/>
  <c r="J10" i="137"/>
  <c r="J22" i="137"/>
  <c r="J15" i="137"/>
  <c r="J52" i="137"/>
  <c r="J12" i="137"/>
  <c r="J21" i="137"/>
  <c r="J37" i="137"/>
  <c r="J49" i="137"/>
  <c r="J16" i="137"/>
  <c r="J53" i="137"/>
  <c r="J30" i="137"/>
  <c r="J55" i="137"/>
  <c r="G6" i="137" l="1"/>
  <c r="F59" i="137" l="1"/>
  <c r="G59" i="137"/>
  <c r="I6" i="137"/>
  <c r="J6" i="137" s="1"/>
  <c r="F90" i="137" s="1"/>
  <c r="H6" i="137" l="1"/>
  <c r="J59" i="137" l="1"/>
  <c r="B100" i="137"/>
  <c r="C100" i="137" l="1"/>
  <c r="D100" i="137"/>
  <c r="B101" i="137"/>
  <c r="C101" i="137" l="1"/>
  <c r="D101" i="137"/>
  <c r="B102" i="137"/>
  <c r="C102" i="137" l="1"/>
  <c r="D102" i="137"/>
  <c r="B103" i="137"/>
  <c r="C103" i="137" l="1"/>
  <c r="D103" i="137"/>
  <c r="B104" i="137"/>
  <c r="C104" i="137" l="1"/>
  <c r="D104" i="137"/>
  <c r="B105" i="137" l="1"/>
  <c r="C105" i="137" l="1"/>
  <c r="D105" i="137"/>
  <c r="B106" i="137"/>
  <c r="C106" i="137" l="1"/>
  <c r="D106" i="137"/>
  <c r="B107" i="137"/>
  <c r="C107" i="137" l="1"/>
  <c r="D107" i="137"/>
  <c r="B108" i="137"/>
  <c r="C108" i="137" l="1"/>
  <c r="D108" i="137"/>
  <c r="B109" i="137"/>
  <c r="C109" i="137" l="1"/>
  <c r="D109" i="137"/>
  <c r="B110" i="137"/>
  <c r="C110" i="137" l="1"/>
  <c r="D110" i="137"/>
  <c r="B111" i="137"/>
  <c r="C111" i="137" l="1"/>
  <c r="D111" i="137"/>
  <c r="B112" i="137"/>
  <c r="C112" i="137" l="1"/>
  <c r="D112" i="137"/>
  <c r="B113" i="137"/>
  <c r="C113" i="137" l="1"/>
  <c r="D113" i="137"/>
  <c r="B114" i="137"/>
  <c r="C114" i="137" l="1"/>
  <c r="D114" i="137"/>
  <c r="B115" i="137"/>
  <c r="I59" i="137"/>
  <c r="C115" i="137" l="1"/>
  <c r="D115" i="137"/>
  <c r="B116" i="137"/>
  <c r="H59" i="137"/>
  <c r="C116" i="137" l="1"/>
  <c r="D116" i="137"/>
  <c r="B117" i="137"/>
  <c r="C117" i="137" l="1"/>
  <c r="D117" i="137"/>
  <c r="B118" i="137"/>
  <c r="C118" i="137" l="1"/>
  <c r="D118" i="137"/>
  <c r="B119" i="137"/>
  <c r="C119" i="137" l="1"/>
  <c r="D119" i="137"/>
  <c r="B120" i="137"/>
  <c r="C120" i="137" l="1"/>
  <c r="D120" i="137"/>
  <c r="B121" i="137"/>
  <c r="C121" i="137" l="1"/>
  <c r="D121" i="137"/>
  <c r="B122" i="137"/>
  <c r="C122" i="137" l="1"/>
  <c r="D122" i="137"/>
  <c r="B123" i="137"/>
  <c r="C123" i="137" l="1"/>
  <c r="D123" i="137"/>
  <c r="B124" i="137"/>
  <c r="C124" i="137" l="1"/>
  <c r="D124" i="137"/>
  <c r="B125" i="137"/>
  <c r="C125" i="137" l="1"/>
  <c r="D125" i="137"/>
  <c r="B126" i="137"/>
  <c r="D126" i="137" s="1"/>
  <c r="C126" i="137" l="1"/>
  <c r="B127" i="137"/>
  <c r="D127" i="137" s="1"/>
  <c r="C66" i="137"/>
  <c r="D81" i="137" s="1"/>
  <c r="B62" i="137"/>
  <c r="B90" i="137" l="1"/>
  <c r="D82" i="137"/>
  <c r="D80" i="137"/>
  <c r="E105" i="137"/>
  <c r="E113" i="137"/>
  <c r="E121" i="137"/>
  <c r="E115" i="137"/>
  <c r="E123" i="137"/>
  <c r="E112" i="137"/>
  <c r="E106" i="137"/>
  <c r="E114" i="137"/>
  <c r="E122" i="137"/>
  <c r="E100" i="137"/>
  <c r="E107" i="137"/>
  <c r="E120" i="137"/>
  <c r="E108" i="137"/>
  <c r="E116" i="137"/>
  <c r="E124" i="137"/>
  <c r="E101" i="137"/>
  <c r="E109" i="137"/>
  <c r="E117" i="137"/>
  <c r="E125" i="137"/>
  <c r="E110" i="137"/>
  <c r="E119" i="137"/>
  <c r="E102" i="137"/>
  <c r="E118" i="137"/>
  <c r="E126" i="137"/>
  <c r="E127" i="137"/>
  <c r="E103" i="137"/>
  <c r="E111" i="137"/>
  <c r="E104" i="137"/>
  <c r="D83" i="137"/>
  <c r="B128" i="137"/>
  <c r="C127" i="137"/>
  <c r="B79" i="137"/>
  <c r="D86" i="137" l="1"/>
  <c r="E128" i="137"/>
  <c r="B129" i="137"/>
  <c r="D128" i="137"/>
  <c r="D84" i="137"/>
  <c r="C128" i="137"/>
  <c r="D88" i="137" l="1"/>
  <c r="D87" i="137"/>
  <c r="D90" i="137" s="1"/>
  <c r="E90" i="137" s="1"/>
  <c r="B130" i="137"/>
  <c r="E130" i="137" s="1"/>
  <c r="C129" i="137"/>
  <c r="D129" i="137"/>
  <c r="E129" i="137"/>
  <c r="C130" i="137" l="1"/>
  <c r="D130" i="137"/>
  <c r="D131" i="137" s="1"/>
  <c r="E131" i="137"/>
  <c r="C62" i="137" l="1"/>
</calcChain>
</file>

<file path=xl/sharedStrings.xml><?xml version="1.0" encoding="utf-8"?>
<sst xmlns="http://schemas.openxmlformats.org/spreadsheetml/2006/main" count="21060" uniqueCount="578">
  <si>
    <t>Cliente</t>
  </si>
  <si>
    <t>CARVAJAL</t>
  </si>
  <si>
    <t>Clientes</t>
  </si>
  <si>
    <t>Oferta (kWh-día)</t>
  </si>
  <si>
    <t>1. Cuadro Ingresos</t>
  </si>
  <si>
    <t>Comercialización JULIA-RD %</t>
  </si>
  <si>
    <t>kWh</t>
  </si>
  <si>
    <t>$</t>
  </si>
  <si>
    <t>Costo de Comercialización</t>
  </si>
  <si>
    <t>Costo GMF</t>
  </si>
  <si>
    <t>Nota:</t>
  </si>
  <si>
    <t>1. La participación diaria se puede observar en el anexo 1.</t>
  </si>
  <si>
    <t>Numero</t>
  </si>
  <si>
    <t>% JULIA-RD</t>
  </si>
  <si>
    <t>Requerimiento</t>
  </si>
  <si>
    <t>QUIMPAC</t>
  </si>
  <si>
    <t>USD/MWh</t>
  </si>
  <si>
    <t>OLIMPICA</t>
  </si>
  <si>
    <t>TOTAL</t>
  </si>
  <si>
    <t>total energía kWh</t>
  </si>
  <si>
    <t>Ingresos Terceros $</t>
  </si>
  <si>
    <t>Ingresos Julia $</t>
  </si>
  <si>
    <t>Ingresos Totales $</t>
  </si>
  <si>
    <t>GMF</t>
  </si>
  <si>
    <t>Neto Usuario</t>
  </si>
  <si>
    <t>UNIVERSIDAD DE LOS ANDES</t>
  </si>
  <si>
    <t>CEPSA</t>
  </si>
  <si>
    <t>CLINICA PORTO AZUL</t>
  </si>
  <si>
    <t>OFR</t>
  </si>
  <si>
    <t xml:space="preserve">TOTAL RESPALDO </t>
  </si>
  <si>
    <t>TIPO DÍA</t>
  </si>
  <si>
    <t>FECHA</t>
  </si>
  <si>
    <t>REQUERIMIENTO (kWh-día)</t>
  </si>
  <si>
    <t>RESPALDO 
(kWh-día)</t>
  </si>
  <si>
    <t>ALUICA</t>
  </si>
  <si>
    <t>HILANDERIAS UNIVERSAL</t>
  </si>
  <si>
    <t>CERAMICA SAN LORENZO</t>
  </si>
  <si>
    <t>VIVA BARRANQUILLA</t>
  </si>
  <si>
    <t>GELCO</t>
  </si>
  <si>
    <t>CC BUENAVISTA</t>
  </si>
  <si>
    <t>MALTERIA TROPICAL</t>
  </si>
  <si>
    <t>ALBATEQ</t>
  </si>
  <si>
    <t>ARGOS</t>
  </si>
  <si>
    <t>$/kWh</t>
  </si>
  <si>
    <t>COLOMBINA CAUCA</t>
  </si>
  <si>
    <t>GRUPO EXITO</t>
  </si>
  <si>
    <t>COLOMBINA LA PAILA</t>
  </si>
  <si>
    <t>CENTRO EMPRESARIAL BUENAVISTA</t>
  </si>
  <si>
    <t>COLOMBINA TULUA</t>
  </si>
  <si>
    <t>MICROPLAST</t>
  </si>
  <si>
    <t>MALTIBIT</t>
  </si>
  <si>
    <t>EMPAQUES TRANSPARENTES</t>
  </si>
  <si>
    <t>P Bruto</t>
  </si>
  <si>
    <t>FAREVA</t>
  </si>
  <si>
    <t>CARTAGENA HILTON</t>
  </si>
  <si>
    <t>SMI</t>
  </si>
  <si>
    <t>Prd01515</t>
  </si>
  <si>
    <t>Prd01514</t>
  </si>
  <si>
    <t>FLEXOGRAFICA</t>
  </si>
  <si>
    <t>ALBATEQ HARINAS</t>
  </si>
  <si>
    <t>ESTELAR CARTAGENA DE INDIAS</t>
  </si>
  <si>
    <t>RIMAX</t>
  </si>
  <si>
    <t>ACESCO</t>
  </si>
  <si>
    <t>DIAS DDV</t>
  </si>
  <si>
    <t>FAMILIA CAJICA</t>
  </si>
  <si>
    <t>FRONTERA ENERGY</t>
  </si>
  <si>
    <t>ULTRACEM</t>
  </si>
  <si>
    <t>Precio GECELCA</t>
  </si>
  <si>
    <t>Respaldo GECELCA</t>
  </si>
  <si>
    <t>EURO</t>
  </si>
  <si>
    <t>CAMAGUEY</t>
  </si>
  <si>
    <t>Prd01100</t>
  </si>
  <si>
    <t>Prd01247</t>
  </si>
  <si>
    <t>Prd01054</t>
  </si>
  <si>
    <t>Prd01064</t>
  </si>
  <si>
    <t>Prd02109</t>
  </si>
  <si>
    <t>Prd01096</t>
  </si>
  <si>
    <t>Prd02111</t>
  </si>
  <si>
    <t>Prd01053</t>
  </si>
  <si>
    <t>Prd01506</t>
  </si>
  <si>
    <t>Prd02108</t>
  </si>
  <si>
    <t>Prd02113</t>
  </si>
  <si>
    <t>Prd02116</t>
  </si>
  <si>
    <t>Prd02115</t>
  </si>
  <si>
    <t>Prd01695</t>
  </si>
  <si>
    <t>Prd00789</t>
  </si>
  <si>
    <t>Prd02112</t>
  </si>
  <si>
    <t>Prd00475</t>
  </si>
  <si>
    <t>Prd01516</t>
  </si>
  <si>
    <t>Prd02114</t>
  </si>
  <si>
    <t>Prd01080</t>
  </si>
  <si>
    <t>Prd01093</t>
  </si>
  <si>
    <t>Prd01117</t>
  </si>
  <si>
    <t>Prd01986</t>
  </si>
  <si>
    <t>Prd01985</t>
  </si>
  <si>
    <t>Prd01082</t>
  </si>
  <si>
    <t>Prd02127</t>
  </si>
  <si>
    <t>Prd01278</t>
  </si>
  <si>
    <t>Prd01577</t>
  </si>
  <si>
    <t>Prd01109</t>
  </si>
  <si>
    <t>Prd01522</t>
  </si>
  <si>
    <t>Prd02110</t>
  </si>
  <si>
    <t>Prd00945</t>
  </si>
  <si>
    <t>Prd01120</t>
  </si>
  <si>
    <t>Prd01331</t>
  </si>
  <si>
    <t>Prd01329</t>
  </si>
  <si>
    <t>Prd01993</t>
  </si>
  <si>
    <t>Prd01127</t>
  </si>
  <si>
    <t>Prd01989</t>
  </si>
  <si>
    <t>Prd01995</t>
  </si>
  <si>
    <t>Prd01151</t>
  </si>
  <si>
    <t>Prd01267</t>
  </si>
  <si>
    <t>Prd01269</t>
  </si>
  <si>
    <t>Prd01702</t>
  </si>
  <si>
    <t>Prd01341</t>
  </si>
  <si>
    <t>Prd02106</t>
  </si>
  <si>
    <t>Prd01065</t>
  </si>
  <si>
    <t>Prd01124</t>
  </si>
  <si>
    <t>Prd01160</t>
  </si>
  <si>
    <t>Prd01205</t>
  </si>
  <si>
    <t>Prd01194</t>
  </si>
  <si>
    <t>Prd01316</t>
  </si>
  <si>
    <t>Prd01145</t>
  </si>
  <si>
    <t>Prd01174</t>
  </si>
  <si>
    <t>Prd01239</t>
  </si>
  <si>
    <t>Prd01315</t>
  </si>
  <si>
    <t>Prd01319</t>
  </si>
  <si>
    <t>Prd01322</t>
  </si>
  <si>
    <t>Prd01137</t>
  </si>
  <si>
    <t>Prd01312</t>
  </si>
  <si>
    <t>Prd01139</t>
  </si>
  <si>
    <t>Prd01161</t>
  </si>
  <si>
    <t>Prd01353</t>
  </si>
  <si>
    <t>Prd01356</t>
  </si>
  <si>
    <t>Prd01138</t>
  </si>
  <si>
    <t>Prd01204</t>
  </si>
  <si>
    <t>Prd01207</t>
  </si>
  <si>
    <t>Prd01181</t>
  </si>
  <si>
    <t>Prd01113</t>
  </si>
  <si>
    <t>Prd01101</t>
  </si>
  <si>
    <t>FIBERGLASS</t>
  </si>
  <si>
    <t>Prd01292</t>
  </si>
  <si>
    <t>Prd01483</t>
  </si>
  <si>
    <t>Prd01084</t>
  </si>
  <si>
    <t>Prd01168</t>
  </si>
  <si>
    <t>Prd01936</t>
  </si>
  <si>
    <t>Prd01691</t>
  </si>
  <si>
    <t>Prd01699</t>
  </si>
  <si>
    <t>Prd01303</t>
  </si>
  <si>
    <t>Prd01227</t>
  </si>
  <si>
    <t>Prd01135</t>
  </si>
  <si>
    <t>Prd01166</t>
  </si>
  <si>
    <t>Prd01185</t>
  </si>
  <si>
    <t>Prd01688</t>
  </si>
  <si>
    <t>Prd01169</t>
  </si>
  <si>
    <t>Prd01191</t>
  </si>
  <si>
    <t>Prd01221</t>
  </si>
  <si>
    <t>Prd01215</t>
  </si>
  <si>
    <t>Prd01683</t>
  </si>
  <si>
    <t>Prd01323</t>
  </si>
  <si>
    <t>Prd02148</t>
  </si>
  <si>
    <t>BANCOLOMBIA</t>
  </si>
  <si>
    <t>Prd01370</t>
  </si>
  <si>
    <t>Prd01692</t>
  </si>
  <si>
    <t>Prd01144</t>
  </si>
  <si>
    <t>Prd01308</t>
  </si>
  <si>
    <t>Prd01238</t>
  </si>
  <si>
    <t>Prd01266</t>
  </si>
  <si>
    <t>Prd01287</t>
  </si>
  <si>
    <t>Prd01167</t>
  </si>
  <si>
    <t>Prd01301</t>
  </si>
  <si>
    <t>Prd01302</t>
  </si>
  <si>
    <t>Prd01163</t>
  </si>
  <si>
    <t>Prd01164</t>
  </si>
  <si>
    <t>Prd01209</t>
  </si>
  <si>
    <t>Prd01256</t>
  </si>
  <si>
    <t>Prd01170</t>
  </si>
  <si>
    <t>Prd01104</t>
  </si>
  <si>
    <t>Prd01107</t>
  </si>
  <si>
    <t>Prd01066</t>
  </si>
  <si>
    <t>Prd01171</t>
  </si>
  <si>
    <t>Prd01162</t>
  </si>
  <si>
    <t>Prd01192</t>
  </si>
  <si>
    <t>Prd01245</t>
  </si>
  <si>
    <t>Prd01684</t>
  </si>
  <si>
    <t>Prd01184</t>
  </si>
  <si>
    <t>Prd01198</t>
  </si>
  <si>
    <t>Prd01158</t>
  </si>
  <si>
    <t>Prd01183</t>
  </si>
  <si>
    <t>Prd02038</t>
  </si>
  <si>
    <t>Prd01118</t>
  </si>
  <si>
    <t>Prd01083</t>
  </si>
  <si>
    <t>Prd01289</t>
  </si>
  <si>
    <t>Prd01128</t>
  </si>
  <si>
    <t>Prd01687</t>
  </si>
  <si>
    <t>Prd01373</t>
  </si>
  <si>
    <t>Prd01176</t>
  </si>
  <si>
    <t>Prd01140</t>
  </si>
  <si>
    <t>Prd01111</t>
  </si>
  <si>
    <t>Prd01159</t>
  </si>
  <si>
    <t>Prd01251</t>
  </si>
  <si>
    <t>Prd01236</t>
  </si>
  <si>
    <t>Prd01218</t>
  </si>
  <si>
    <t>PUERTO BUENAVENTURA</t>
  </si>
  <si>
    <t>ACONDESA</t>
  </si>
  <si>
    <t>GECG</t>
  </si>
  <si>
    <t>Prd01533</t>
  </si>
  <si>
    <t>Prd01419</t>
  </si>
  <si>
    <t>Prd02130</t>
  </si>
  <si>
    <t>Prd01362</t>
  </si>
  <si>
    <t>Prd01173</t>
  </si>
  <si>
    <t>Prd01685</t>
  </si>
  <si>
    <t>Prd02154</t>
  </si>
  <si>
    <t>Prd01286</t>
  </si>
  <si>
    <t>MES RESPALDADO A LIQUIDAR</t>
  </si>
  <si>
    <t>Sábado</t>
  </si>
  <si>
    <t>Domingo</t>
  </si>
  <si>
    <t>Lunes</t>
  </si>
  <si>
    <t>Martes</t>
  </si>
  <si>
    <t>Miércoles</t>
  </si>
  <si>
    <t>Jueves</t>
  </si>
  <si>
    <t>Viernes</t>
  </si>
  <si>
    <t>Prd01698</t>
  </si>
  <si>
    <t>Prd01208</t>
  </si>
  <si>
    <t>Prd01446</t>
  </si>
  <si>
    <t>Prd02129</t>
  </si>
  <si>
    <t>Prd00944</t>
  </si>
  <si>
    <t>PRAXAIR YUMBO</t>
  </si>
  <si>
    <t>ESTELAR MANZANILLO</t>
  </si>
  <si>
    <t>CRYOGAS</t>
  </si>
  <si>
    <t>BIOCOMBUSTIBLE</t>
  </si>
  <si>
    <t>PRAXAIR TOCANCIPA</t>
  </si>
  <si>
    <t>ZUANA</t>
  </si>
  <si>
    <t>Prd02168</t>
  </si>
  <si>
    <t>Prd01091</t>
  </si>
  <si>
    <t>Prd01105</t>
  </si>
  <si>
    <t>Prd02011</t>
  </si>
  <si>
    <t>Prd02118</t>
  </si>
  <si>
    <t>Prd01346</t>
  </si>
  <si>
    <t>Prd02117</t>
  </si>
  <si>
    <t>EUROCERAMICA</t>
  </si>
  <si>
    <t>FRIOGAN</t>
  </si>
  <si>
    <t>Prd02125</t>
  </si>
  <si>
    <t>EPSG</t>
  </si>
  <si>
    <t>Prd02186</t>
  </si>
  <si>
    <t>Prd00386</t>
  </si>
  <si>
    <t>Prd01123</t>
  </si>
  <si>
    <t>Prd02161</t>
  </si>
  <si>
    <t>Prd01085</t>
  </si>
  <si>
    <t>Prd01087</t>
  </si>
  <si>
    <t>Prd01126</t>
  </si>
  <si>
    <t>Prd01276</t>
  </si>
  <si>
    <t>ALQUERIA</t>
  </si>
  <si>
    <t>CC PORTAL PRADO</t>
  </si>
  <si>
    <t>CERAMICA ITALIA</t>
  </si>
  <si>
    <t>CYPR</t>
  </si>
  <si>
    <t>ESTELAR INTERCONTINENTAL</t>
  </si>
  <si>
    <t>ESTELAR MILLA DE ORO</t>
  </si>
  <si>
    <t>FAMILIA MEDELLIN</t>
  </si>
  <si>
    <t>GRAND HYATT</t>
  </si>
  <si>
    <t>PRAXAIR CARTAGENA</t>
  </si>
  <si>
    <t>WINNER</t>
  </si>
  <si>
    <t>Prd01509</t>
  </si>
  <si>
    <t>Prd01488</t>
  </si>
  <si>
    <t>Prd01390</t>
  </si>
  <si>
    <t>Prd01119</t>
  </si>
  <si>
    <t>Prd01700</t>
  </si>
  <si>
    <t>Prd02102</t>
  </si>
  <si>
    <t>Prd01103</t>
  </si>
  <si>
    <t>Prd01108</t>
  </si>
  <si>
    <t>Prd01116</t>
  </si>
  <si>
    <t>Prd01482</t>
  </si>
  <si>
    <t>Prd01424</t>
  </si>
  <si>
    <t>Prd01122</t>
  </si>
  <si>
    <t>Prd02042</t>
  </si>
  <si>
    <t>Prd01074</t>
  </si>
  <si>
    <t>Prd02070</t>
  </si>
  <si>
    <t>Prd02074</t>
  </si>
  <si>
    <t>Prd01360</t>
  </si>
  <si>
    <t>Prd01361</t>
  </si>
  <si>
    <t>Prd01146</t>
  </si>
  <si>
    <t>Prd01365</t>
  </si>
  <si>
    <t>Prd01364</t>
  </si>
  <si>
    <t>Prd01255</t>
  </si>
  <si>
    <t>Prd01214</t>
  </si>
  <si>
    <t>Prd01228</t>
  </si>
  <si>
    <t>Prd01216</t>
  </si>
  <si>
    <t>Prd01259</t>
  </si>
  <si>
    <t>Prd01690</t>
  </si>
  <si>
    <t>Prd01351</t>
  </si>
  <si>
    <t>Prd01197</t>
  </si>
  <si>
    <t>Prd01240</t>
  </si>
  <si>
    <t>Prd01187</t>
  </si>
  <si>
    <t>Prd01288</t>
  </si>
  <si>
    <t>Prd01223</t>
  </si>
  <si>
    <t>Prd01300</t>
  </si>
  <si>
    <t>Prd01298</t>
  </si>
  <si>
    <t>Prd01157</t>
  </si>
  <si>
    <t>Prd01358</t>
  </si>
  <si>
    <t>Prd01217</t>
  </si>
  <si>
    <t>Prd01350</t>
  </si>
  <si>
    <t>Prd01229</t>
  </si>
  <si>
    <t>Prd01252</t>
  </si>
  <si>
    <t>Prd01186</t>
  </si>
  <si>
    <t>Prd01195</t>
  </si>
  <si>
    <t>Prd01352</t>
  </si>
  <si>
    <t>Prd01243</t>
  </si>
  <si>
    <t>Prd01686</t>
  </si>
  <si>
    <t>Prd02039</t>
  </si>
  <si>
    <t>Prd01226</t>
  </si>
  <si>
    <t>Prd02211</t>
  </si>
  <si>
    <t>Prd02212</t>
  </si>
  <si>
    <t>Prd02213</t>
  </si>
  <si>
    <t>USUARIO</t>
  </si>
  <si>
    <t>Festivo</t>
  </si>
  <si>
    <t>Precio LOS GENERADORES</t>
  </si>
  <si>
    <t>Respaldo LOS GENERADORES</t>
  </si>
  <si>
    <t>MARGEN</t>
  </si>
  <si>
    <t>CANTIDAD</t>
  </si>
  <si>
    <t>PREDIO</t>
  </si>
  <si>
    <t>COMPRADOR</t>
  </si>
  <si>
    <t>Frt31445</t>
  </si>
  <si>
    <t>Frt34064</t>
  </si>
  <si>
    <t>Frt32851</t>
  </si>
  <si>
    <t>Frt35936</t>
  </si>
  <si>
    <t>Frt32361</t>
  </si>
  <si>
    <t>Frt31443</t>
  </si>
  <si>
    <t>Frt31380</t>
  </si>
  <si>
    <t>Frt37753</t>
  </si>
  <si>
    <t>Frt32033</t>
  </si>
  <si>
    <t>Frt31276</t>
  </si>
  <si>
    <t>Frt31309</t>
  </si>
  <si>
    <t>Frt31314</t>
  </si>
  <si>
    <t>Frt31500</t>
  </si>
  <si>
    <t>Frt31305</t>
  </si>
  <si>
    <t>Frt29409</t>
  </si>
  <si>
    <t>Frt31461</t>
  </si>
  <si>
    <t>Frt31379</t>
  </si>
  <si>
    <t>Frt31251</t>
  </si>
  <si>
    <t>Frt31437</t>
  </si>
  <si>
    <t>Frt31311</t>
  </si>
  <si>
    <t>Frt33034</t>
  </si>
  <si>
    <t>Frt31452</t>
  </si>
  <si>
    <t>Frt32085</t>
  </si>
  <si>
    <t>Frt32034</t>
  </si>
  <si>
    <t>Frt36275</t>
  </si>
  <si>
    <t>Frt31501</t>
  </si>
  <si>
    <t>Frt32769</t>
  </si>
  <si>
    <t>Frt36767</t>
  </si>
  <si>
    <t>Frt37761</t>
  </si>
  <si>
    <t>Frt31298</t>
  </si>
  <si>
    <t>Frt32084</t>
  </si>
  <si>
    <t>Frt32767</t>
  </si>
  <si>
    <t>Frt37754</t>
  </si>
  <si>
    <t>Frt31301</t>
  </si>
  <si>
    <t>Frt31436</t>
  </si>
  <si>
    <t>Frt31450</t>
  </si>
  <si>
    <t>Frt31615</t>
  </si>
  <si>
    <t>Frt31620</t>
  </si>
  <si>
    <t>Frt32274</t>
  </si>
  <si>
    <t>Frt33209</t>
  </si>
  <si>
    <t>Frt31277</t>
  </si>
  <si>
    <t>Frt31618</t>
  </si>
  <si>
    <t>Frt34864</t>
  </si>
  <si>
    <t>Frt33221</t>
  </si>
  <si>
    <t>Frt37763</t>
  </si>
  <si>
    <t>Frt31441</t>
  </si>
  <si>
    <t>Frt31619</t>
  </si>
  <si>
    <t>Frt37757</t>
  </si>
  <si>
    <t>Frt39834</t>
  </si>
  <si>
    <t>Frt31439</t>
  </si>
  <si>
    <t>Frt32036</t>
  </si>
  <si>
    <t>Frt36078</t>
  </si>
  <si>
    <t>Frt31455</t>
  </si>
  <si>
    <t>Frt32389</t>
  </si>
  <si>
    <t>Frt32884</t>
  </si>
  <si>
    <t>Frt33296</t>
  </si>
  <si>
    <t>Frt32272</t>
  </si>
  <si>
    <t>Frt32984</t>
  </si>
  <si>
    <t>Frt39205</t>
  </si>
  <si>
    <t>Frt31594</t>
  </si>
  <si>
    <t>Frt33035</t>
  </si>
  <si>
    <t>Frt36761</t>
  </si>
  <si>
    <t>Frt39081</t>
  </si>
  <si>
    <t>Frt30838</t>
  </si>
  <si>
    <t>Frt32881</t>
  </si>
  <si>
    <t>Frt34406</t>
  </si>
  <si>
    <t>Frt32850</t>
  </si>
  <si>
    <t>Frt32392</t>
  </si>
  <si>
    <t>Frt32275</t>
  </si>
  <si>
    <t>Frt32398</t>
  </si>
  <si>
    <t>Frt33439</t>
  </si>
  <si>
    <t>Frt33442</t>
  </si>
  <si>
    <t>Frt36036</t>
  </si>
  <si>
    <t>Frt32039</t>
  </si>
  <si>
    <t>Frt32276</t>
  </si>
  <si>
    <t>Frt32091</t>
  </si>
  <si>
    <t>Frt32139</t>
  </si>
  <si>
    <t>Frt36768</t>
  </si>
  <si>
    <t>Frt32176</t>
  </si>
  <si>
    <t>Frt37374</t>
  </si>
  <si>
    <t>Frt29842</t>
  </si>
  <si>
    <t>Frt32090</t>
  </si>
  <si>
    <t>Frt32657</t>
  </si>
  <si>
    <t>Frt37001</t>
  </si>
  <si>
    <t>Frt38700</t>
  </si>
  <si>
    <t>Frt38701</t>
  </si>
  <si>
    <t>Frt39047</t>
  </si>
  <si>
    <t>Frt35702</t>
  </si>
  <si>
    <t>Frt38702</t>
  </si>
  <si>
    <t>Frt36860</t>
  </si>
  <si>
    <t>Frt33208</t>
  </si>
  <si>
    <t>Frt31250</t>
  </si>
  <si>
    <t>Frt32132</t>
  </si>
  <si>
    <t>Frt32032</t>
  </si>
  <si>
    <t>Frt32035</t>
  </si>
  <si>
    <t>Frt31617</t>
  </si>
  <si>
    <t>Frt36763</t>
  </si>
  <si>
    <t>Frt32137</t>
  </si>
  <si>
    <t>Frt32086</t>
  </si>
  <si>
    <t>Frt32027</t>
  </si>
  <si>
    <t>Frt40001</t>
  </si>
  <si>
    <t>Frt39418</t>
  </si>
  <si>
    <t>Frt35942</t>
  </si>
  <si>
    <t>Frt39897</t>
  </si>
  <si>
    <t>Frt32141</t>
  </si>
  <si>
    <t>Frt32391</t>
  </si>
  <si>
    <t>Frt33289</t>
  </si>
  <si>
    <t>Frt32481</t>
  </si>
  <si>
    <t>Frt32344</t>
  </si>
  <si>
    <t>Frt32087</t>
  </si>
  <si>
    <t>Frt37959</t>
  </si>
  <si>
    <t>Frt32601</t>
  </si>
  <si>
    <t>Frt40003</t>
  </si>
  <si>
    <t>Frt40002</t>
  </si>
  <si>
    <t>Frt32317</t>
  </si>
  <si>
    <t>Frt32321</t>
  </si>
  <si>
    <t>Frt32849</t>
  </si>
  <si>
    <t>Frt33086</t>
  </si>
  <si>
    <t>Frt33219</t>
  </si>
  <si>
    <t>Frt32184</t>
  </si>
  <si>
    <t>Frt33362</t>
  </si>
  <si>
    <t>Frt36759</t>
  </si>
  <si>
    <t>Frt36760</t>
  </si>
  <si>
    <t>Frt36764</t>
  </si>
  <si>
    <t>Frt31804</t>
  </si>
  <si>
    <t>Frt31805</t>
  </si>
  <si>
    <t>Frt32088</t>
  </si>
  <si>
    <t>Frt39977</t>
  </si>
  <si>
    <t>Frt36998</t>
  </si>
  <si>
    <t>Frt32772</t>
  </si>
  <si>
    <t>Frt32037</t>
  </si>
  <si>
    <t>Frt32180</t>
  </si>
  <si>
    <t>Frt33360</t>
  </si>
  <si>
    <t>Frt32183</t>
  </si>
  <si>
    <t>Frt32178</t>
  </si>
  <si>
    <t>Frt32140</t>
  </si>
  <si>
    <t>Frt31806</t>
  </si>
  <si>
    <t>Frt39085</t>
  </si>
  <si>
    <t>Frt35146</t>
  </si>
  <si>
    <t>Frt39415</t>
  </si>
  <si>
    <t>Frt35787</t>
  </si>
  <si>
    <t>Frt39088</t>
  </si>
  <si>
    <t>Frt36997</t>
  </si>
  <si>
    <t>Frt30837</t>
  </si>
  <si>
    <t>Frt32697</t>
  </si>
  <si>
    <t>Frt39087</t>
  </si>
  <si>
    <t>Frt40711</t>
  </si>
  <si>
    <t>Frt39793</t>
  </si>
  <si>
    <t>Frt39459</t>
  </si>
  <si>
    <t>Frt32701</t>
  </si>
  <si>
    <t>Frt32659</t>
  </si>
  <si>
    <t>Frt32661</t>
  </si>
  <si>
    <t>Frt31827</t>
  </si>
  <si>
    <t>Frt39083</t>
  </si>
  <si>
    <t>Frt32733</t>
  </si>
  <si>
    <t>Frt36401</t>
  </si>
  <si>
    <t>Frt39089</t>
  </si>
  <si>
    <t>Frt30291</t>
  </si>
  <si>
    <t>Frt39084</t>
  </si>
  <si>
    <t>Frt39090</t>
  </si>
  <si>
    <t>Frt33264</t>
  </si>
  <si>
    <t>Frt37814</t>
  </si>
  <si>
    <t>Frt39082</t>
  </si>
  <si>
    <t>Frt39086</t>
  </si>
  <si>
    <t>Frt38981</t>
  </si>
  <si>
    <t>Frt32406</t>
  </si>
  <si>
    <t>Frt33302</t>
  </si>
  <si>
    <t>Frt40123</t>
  </si>
  <si>
    <t>Frt31302</t>
  </si>
  <si>
    <t>Frt31449</t>
  </si>
  <si>
    <t>Frt31448</t>
  </si>
  <si>
    <t>Frt32393</t>
  </si>
  <si>
    <t>Frt33361</t>
  </si>
  <si>
    <t>Frt33364</t>
  </si>
  <si>
    <t>Frt33365</t>
  </si>
  <si>
    <t>Frt32604</t>
  </si>
  <si>
    <t>Frt36762</t>
  </si>
  <si>
    <t>Frt32846</t>
  </si>
  <si>
    <t>Frt32768</t>
  </si>
  <si>
    <t>Frt37965</t>
  </si>
  <si>
    <t>Frt42217</t>
  </si>
  <si>
    <t>APROPET</t>
  </si>
  <si>
    <t>Frt41758</t>
  </si>
  <si>
    <t>Frt31451</t>
  </si>
  <si>
    <t>Frt41381</t>
  </si>
  <si>
    <t>Frt36999</t>
  </si>
  <si>
    <t>Frt38841</t>
  </si>
  <si>
    <t>Prd01339</t>
  </si>
  <si>
    <t>Frt42313</t>
  </si>
  <si>
    <t>Frt31300</t>
  </si>
  <si>
    <t>Frt31275</t>
  </si>
  <si>
    <t>Frt38320</t>
  </si>
  <si>
    <t>Frt38324</t>
  </si>
  <si>
    <t>Frt31382</t>
  </si>
  <si>
    <t>Frt31454</t>
  </si>
  <si>
    <t>Frt34218</t>
  </si>
  <si>
    <t>Frt37989</t>
  </si>
  <si>
    <t>Frt34863</t>
  </si>
  <si>
    <t>Frt31288</t>
  </si>
  <si>
    <t>Frt31440</t>
  </si>
  <si>
    <t>Frt32379</t>
  </si>
  <si>
    <t>Frt32181</t>
  </si>
  <si>
    <t>Frt33295</t>
  </si>
  <si>
    <t>Frt32396</t>
  </si>
  <si>
    <t>Frt32316</t>
  </si>
  <si>
    <t>Frt32026</t>
  </si>
  <si>
    <t>Frt32346</t>
  </si>
  <si>
    <t>Frt33294</t>
  </si>
  <si>
    <t>Frt33293</t>
  </si>
  <si>
    <t>Frt36766</t>
  </si>
  <si>
    <t>Frt32318</t>
  </si>
  <si>
    <t>Frt32848</t>
  </si>
  <si>
    <t>Frt32242</t>
  </si>
  <si>
    <t>Frt32378</t>
  </si>
  <si>
    <t>Frt32143</t>
  </si>
  <si>
    <t>Frt33358</t>
  </si>
  <si>
    <t>Frt32320</t>
  </si>
  <si>
    <t>Frt32482</t>
  </si>
  <si>
    <t>Frt32142</t>
  </si>
  <si>
    <t>Frt41704</t>
  </si>
  <si>
    <t>Frt41707</t>
  </si>
  <si>
    <t>Frt41708</t>
  </si>
  <si>
    <t>Frt32600</t>
  </si>
  <si>
    <t>Frt32360</t>
  </si>
  <si>
    <t>PRAXAIR BARRANCABERMEJA</t>
  </si>
  <si>
    <t>Prd02245</t>
  </si>
  <si>
    <t>Frt42062</t>
  </si>
  <si>
    <t>Frt41951</t>
  </si>
  <si>
    <t>FRTDDV</t>
  </si>
  <si>
    <t>TRM</t>
  </si>
  <si>
    <t>GEC3</t>
  </si>
  <si>
    <t>Prd02219</t>
  </si>
  <si>
    <t>AGENTE</t>
  </si>
  <si>
    <t>VALIDACIÓN</t>
  </si>
  <si>
    <t>ENVIADO</t>
  </si>
  <si>
    <t>COMPROBANTE</t>
  </si>
  <si>
    <t>TGJ1</t>
  </si>
  <si>
    <t>TSR1</t>
  </si>
  <si>
    <t>EPMG</t>
  </si>
  <si>
    <t>Prd02269</t>
  </si>
  <si>
    <t>Frt42173</t>
  </si>
  <si>
    <t>ESMR</t>
  </si>
  <si>
    <t>Frt41730</t>
  </si>
  <si>
    <t>Prd00947</t>
  </si>
  <si>
    <t>Frt41446</t>
  </si>
  <si>
    <t>SNFR</t>
  </si>
  <si>
    <t>PRECIO PONDERADO</t>
  </si>
  <si>
    <t>Precio EPM</t>
  </si>
  <si>
    <t>Respaldo EPM</t>
  </si>
  <si>
    <t>TRM (31/08/2021)</t>
  </si>
  <si>
    <t>ESTELAR FONTANA</t>
  </si>
  <si>
    <t>MRL1</t>
  </si>
  <si>
    <t>TCD1</t>
  </si>
  <si>
    <t>JRDC</t>
  </si>
  <si>
    <t>Ingreso Septiembre 2021</t>
  </si>
  <si>
    <t>INGRESO JRD</t>
  </si>
  <si>
    <t>P 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</si>
</sst>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$&quot;\ * #,##0_-;\-&quot;$&quot;\ * #,##0_-;_-&quot;$&quot;\ * &quot;-&quot;_-;_-@_-"/>
    <numFmt numFmtId="41" formatCode="_-* #,##0_-;\-* #,##0_-;_-* &quot;-&quot;_-;_-@_-"/>
    <numFmt numFmtId="164" formatCode="&quot;$&quot;\ #,##0"/>
    <numFmt numFmtId="165" formatCode="_-&quot;$&quot;\ * #,##0.00_-;\-&quot;$&quot;\ * #,##0.00_-;_-&quot;$&quot;\ * &quot;-&quot;_-;_-@_-"/>
    <numFmt numFmtId="166" formatCode="_-&quot;$&quot;\ * #,##0.0000_-;\-&quot;$&quot;\ * #,##0.0000_-;_-&quot;$&quot;\ * &quot;-&quot;_-;_-@_-"/>
    <numFmt numFmtId="167" formatCode="0.0000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FF0000"/>
      <name val="Tahoma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u/>
      <sz val="10"/>
      <color theme="1"/>
      <name val="Tahoma"/>
      <family val="2"/>
    </font>
    <font>
      <b/>
      <sz val="11"/>
      <color theme="1"/>
      <name val="Calibri"/>
      <family val="2"/>
      <scheme val="minor"/>
    </font>
    <font>
      <b/>
      <sz val="10"/>
      <color theme="1" tint="4.9989318521683403E-2"/>
      <name val="Tahoma"/>
      <family val="2"/>
    </font>
    <font>
      <sz val="10"/>
      <color theme="1"/>
      <name val="Calibri"/>
      <family val="2"/>
      <scheme val="minor"/>
    </font>
    <font>
      <b/>
      <sz val="14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</borders>
  <cellStyleXfs count="8">
    <xf numFmtId="0" fontId="0" fillId="0" borderId="0"/>
    <xf numFmtId="41" fontId="3" fillId="0" borderId="0" applyFont="0" applyFill="0" applyBorder="0" applyAlignment="0" applyProtection="0"/>
    <xf numFmtId="0" fontId="4" fillId="0" borderId="0"/>
    <xf numFmtId="41" fontId="4" fillId="0" borderId="0" applyFont="0" applyFill="0" applyBorder="0" applyAlignment="0" applyProtection="0"/>
    <xf numFmtId="42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4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16">
    <xf numFmtId="0" fontId="0" fillId="0" borderId="0" xfId="0"/>
    <xf numFmtId="0" fontId="1" fillId="0" borderId="1" xfId="0" applyFont="1" applyBorder="1"/>
    <xf numFmtId="3" fontId="1" fillId="0" borderId="1" xfId="0" applyNumberFormat="1" applyFont="1" applyBorder="1"/>
    <xf numFmtId="0" fontId="1" fillId="0" borderId="0" xfId="0" applyFont="1"/>
    <xf numFmtId="0" fontId="2" fillId="0" borderId="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/>
    <xf numFmtId="0" fontId="2" fillId="3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horizontal="right" vertical="center" wrapText="1"/>
    </xf>
    <xf numFmtId="3" fontId="1" fillId="0" borderId="0" xfId="0" applyNumberFormat="1" applyFont="1"/>
    <xf numFmtId="41" fontId="1" fillId="0" borderId="0" xfId="1" applyFont="1"/>
    <xf numFmtId="41" fontId="1" fillId="0" borderId="0" xfId="0" applyNumberFormat="1" applyFont="1"/>
    <xf numFmtId="14" fontId="0" fillId="0" borderId="0" xfId="0" applyNumberFormat="1"/>
    <xf numFmtId="0" fontId="1" fillId="0" borderId="3" xfId="0" applyFont="1" applyBorder="1"/>
    <xf numFmtId="0" fontId="1" fillId="0" borderId="4" xfId="0" applyFont="1" applyBorder="1" applyAlignment="1">
      <alignment horizontal="right"/>
    </xf>
    <xf numFmtId="2" fontId="1" fillId="0" borderId="5" xfId="0" applyNumberFormat="1" applyFont="1" applyBorder="1" applyAlignment="1">
      <alignment horizontal="right"/>
    </xf>
    <xf numFmtId="0" fontId="1" fillId="0" borderId="6" xfId="0" applyFont="1" applyBorder="1" applyAlignment="1">
      <alignment horizontal="center"/>
    </xf>
    <xf numFmtId="0" fontId="1" fillId="3" borderId="8" xfId="0" applyFont="1" applyFill="1" applyBorder="1"/>
    <xf numFmtId="4" fontId="1" fillId="0" borderId="9" xfId="0" applyNumberFormat="1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0" xfId="0" applyFont="1" applyBorder="1"/>
    <xf numFmtId="0" fontId="1" fillId="0" borderId="12" xfId="0" applyFont="1" applyBorder="1"/>
    <xf numFmtId="0" fontId="1" fillId="0" borderId="13" xfId="0" applyFont="1" applyBorder="1" applyAlignment="1">
      <alignment horizontal="right"/>
    </xf>
    <xf numFmtId="0" fontId="1" fillId="3" borderId="14" xfId="0" applyFont="1" applyFill="1" applyBorder="1"/>
    <xf numFmtId="2" fontId="1" fillId="0" borderId="15" xfId="0" applyNumberFormat="1" applyFont="1" applyBorder="1" applyAlignment="1">
      <alignment horizontal="right"/>
    </xf>
    <xf numFmtId="0" fontId="2" fillId="3" borderId="14" xfId="0" applyFont="1" applyFill="1" applyBorder="1"/>
    <xf numFmtId="0" fontId="2" fillId="3" borderId="14" xfId="0" applyFont="1" applyFill="1" applyBorder="1" applyAlignment="1">
      <alignment horizontal="left" wrapText="1"/>
    </xf>
    <xf numFmtId="3" fontId="1" fillId="0" borderId="15" xfId="0" applyNumberFormat="1" applyFont="1" applyBorder="1"/>
    <xf numFmtId="0" fontId="1" fillId="0" borderId="0" xfId="0" applyFont="1" applyBorder="1" applyAlignment="1">
      <alignment horizontal="center"/>
    </xf>
    <xf numFmtId="0" fontId="1" fillId="0" borderId="11" xfId="0" applyFont="1" applyBorder="1" applyAlignment="1">
      <alignment horizontal="left"/>
    </xf>
    <xf numFmtId="0" fontId="2" fillId="3" borderId="16" xfId="0" applyFont="1" applyFill="1" applyBorder="1" applyAlignment="1">
      <alignment horizontal="left" wrapText="1"/>
    </xf>
    <xf numFmtId="3" fontId="1" fillId="0" borderId="17" xfId="0" applyNumberFormat="1" applyFont="1" applyBorder="1"/>
    <xf numFmtId="3" fontId="2" fillId="3" borderId="17" xfId="0" applyNumberFormat="1" applyFont="1" applyFill="1" applyBorder="1"/>
    <xf numFmtId="0" fontId="2" fillId="0" borderId="11" xfId="0" applyFont="1" applyBorder="1"/>
    <xf numFmtId="0" fontId="1" fillId="0" borderId="19" xfId="0" applyFont="1" applyBorder="1"/>
    <xf numFmtId="3" fontId="1" fillId="0" borderId="20" xfId="0" applyNumberFormat="1" applyFont="1" applyBorder="1"/>
    <xf numFmtId="14" fontId="1" fillId="0" borderId="1" xfId="0" applyNumberFormat="1" applyFont="1" applyBorder="1" applyAlignment="1">
      <alignment horizontal="center"/>
    </xf>
    <xf numFmtId="164" fontId="1" fillId="0" borderId="0" xfId="0" applyNumberFormat="1" applyFont="1"/>
    <xf numFmtId="0" fontId="2" fillId="3" borderId="1" xfId="0" applyFont="1" applyFill="1" applyBorder="1" applyAlignment="1">
      <alignment horizontal="center"/>
    </xf>
    <xf numFmtId="14" fontId="0" fillId="0" borderId="21" xfId="0" applyNumberFormat="1" applyBorder="1"/>
    <xf numFmtId="14" fontId="0" fillId="0" borderId="22" xfId="0" applyNumberFormat="1" applyBorder="1"/>
    <xf numFmtId="14" fontId="0" fillId="0" borderId="0" xfId="0" applyNumberFormat="1" applyBorder="1"/>
    <xf numFmtId="0" fontId="5" fillId="4" borderId="0" xfId="0" applyFont="1" applyFill="1" applyAlignment="1">
      <alignment wrapText="1"/>
    </xf>
    <xf numFmtId="0" fontId="5" fillId="4" borderId="0" xfId="0" applyFont="1" applyFill="1"/>
    <xf numFmtId="0" fontId="1" fillId="0" borderId="0" xfId="0" applyFont="1" applyFill="1"/>
    <xf numFmtId="3" fontId="1" fillId="0" borderId="23" xfId="0" applyNumberFormat="1" applyFont="1" applyBorder="1" applyAlignment="1">
      <alignment horizontal="center"/>
    </xf>
    <xf numFmtId="0" fontId="1" fillId="0" borderId="24" xfId="0" applyFont="1" applyBorder="1"/>
    <xf numFmtId="3" fontId="1" fillId="0" borderId="24" xfId="0" applyNumberFormat="1" applyFont="1" applyBorder="1" applyAlignment="1">
      <alignment horizontal="center"/>
    </xf>
    <xf numFmtId="0" fontId="0" fillId="0" borderId="0" xfId="0" applyFont="1" applyFill="1" applyBorder="1"/>
    <xf numFmtId="41" fontId="0" fillId="0" borderId="0" xfId="1" applyFont="1" applyFill="1" applyBorder="1"/>
    <xf numFmtId="165" fontId="0" fillId="0" borderId="0" xfId="4" applyNumberFormat="1" applyFont="1" applyFill="1" applyBorder="1"/>
    <xf numFmtId="42" fontId="1" fillId="0" borderId="0" xfId="4" applyFont="1"/>
    <xf numFmtId="0" fontId="8" fillId="0" borderId="0" xfId="0" applyFont="1"/>
    <xf numFmtId="3" fontId="8" fillId="0" borderId="0" xfId="0" applyNumberFormat="1" applyFont="1"/>
    <xf numFmtId="0" fontId="8" fillId="0" borderId="11" xfId="0" applyFont="1" applyBorder="1"/>
    <xf numFmtId="0" fontId="8" fillId="0" borderId="0" xfId="0" applyFont="1" applyBorder="1"/>
    <xf numFmtId="0" fontId="8" fillId="0" borderId="12" xfId="0" applyFont="1" applyBorder="1"/>
    <xf numFmtId="0" fontId="1" fillId="3" borderId="16" xfId="0" applyFont="1" applyFill="1" applyBorder="1"/>
    <xf numFmtId="9" fontId="1" fillId="0" borderId="1" xfId="0" applyNumberFormat="1" applyFont="1" applyBorder="1"/>
    <xf numFmtId="42" fontId="0" fillId="0" borderId="0" xfId="4" applyNumberFormat="1" applyFont="1" applyFill="1" applyBorder="1"/>
    <xf numFmtId="0" fontId="9" fillId="0" borderId="0" xfId="0" applyFont="1" applyFill="1" applyBorder="1"/>
    <xf numFmtId="165" fontId="9" fillId="0" borderId="0" xfId="4" applyNumberFormat="1" applyFont="1" applyFill="1" applyBorder="1"/>
    <xf numFmtId="42" fontId="9" fillId="0" borderId="0" xfId="4" applyNumberFormat="1" applyFont="1" applyFill="1" applyBorder="1"/>
    <xf numFmtId="165" fontId="3" fillId="0" borderId="0" xfId="4" applyNumberFormat="1" applyFont="1" applyFill="1" applyBorder="1"/>
    <xf numFmtId="0" fontId="0" fillId="0" borderId="0" xfId="0" applyNumberFormat="1" applyFont="1" applyFill="1" applyBorder="1"/>
    <xf numFmtId="41" fontId="0" fillId="0" borderId="0" xfId="0" applyNumberFormat="1" applyFont="1" applyFill="1" applyBorder="1"/>
    <xf numFmtId="0" fontId="1" fillId="0" borderId="0" xfId="0" applyFont="1" applyFill="1" applyBorder="1"/>
    <xf numFmtId="0" fontId="10" fillId="0" borderId="0" xfId="0" applyFont="1" applyBorder="1" applyAlignment="1">
      <alignment horizontal="center"/>
    </xf>
    <xf numFmtId="9" fontId="1" fillId="0" borderId="0" xfId="0" applyNumberFormat="1" applyFont="1" applyFill="1" applyBorder="1"/>
    <xf numFmtId="41" fontId="1" fillId="0" borderId="0" xfId="1" applyFont="1" applyFill="1" applyBorder="1"/>
    <xf numFmtId="41" fontId="1" fillId="0" borderId="0" xfId="1" applyFont="1" applyFill="1" applyBorder="1" applyAlignment="1">
      <alignment horizontal="left"/>
    </xf>
    <xf numFmtId="9" fontId="2" fillId="0" borderId="0" xfId="0" applyNumberFormat="1" applyFont="1" applyBorder="1"/>
    <xf numFmtId="41" fontId="2" fillId="0" borderId="0" xfId="0" applyNumberFormat="1" applyFont="1" applyBorder="1"/>
    <xf numFmtId="3" fontId="1" fillId="0" borderId="7" xfId="0" applyNumberFormat="1" applyFont="1" applyBorder="1"/>
    <xf numFmtId="0" fontId="2" fillId="3" borderId="30" xfId="0" applyFont="1" applyFill="1" applyBorder="1" applyAlignment="1">
      <alignment horizontal="center"/>
    </xf>
    <xf numFmtId="3" fontId="2" fillId="3" borderId="32" xfId="0" applyNumberFormat="1" applyFont="1" applyFill="1" applyBorder="1"/>
    <xf numFmtId="0" fontId="10" fillId="3" borderId="27" xfId="0" applyFont="1" applyFill="1" applyBorder="1" applyAlignment="1">
      <alignment horizontal="center" vertical="center" wrapText="1"/>
    </xf>
    <xf numFmtId="0" fontId="10" fillId="3" borderId="28" xfId="0" applyFont="1" applyFill="1" applyBorder="1" applyAlignment="1">
      <alignment horizontal="center" vertical="center" wrapText="1"/>
    </xf>
    <xf numFmtId="0" fontId="10" fillId="3" borderId="29" xfId="0" applyFont="1" applyFill="1" applyBorder="1" applyAlignment="1">
      <alignment horizontal="center" vertical="center" wrapText="1"/>
    </xf>
    <xf numFmtId="14" fontId="1" fillId="0" borderId="28" xfId="0" applyNumberFormat="1" applyFont="1" applyBorder="1" applyAlignment="1">
      <alignment horizontal="center"/>
    </xf>
    <xf numFmtId="14" fontId="2" fillId="3" borderId="31" xfId="0" applyNumberFormat="1" applyFont="1" applyFill="1" applyBorder="1" applyAlignment="1">
      <alignment horizontal="center"/>
    </xf>
    <xf numFmtId="14" fontId="9" fillId="0" borderId="0" xfId="0" applyNumberFormat="1" applyFont="1" applyBorder="1"/>
    <xf numFmtId="41" fontId="9" fillId="0" borderId="0" xfId="1" applyFont="1" applyBorder="1"/>
    <xf numFmtId="0" fontId="9" fillId="0" borderId="0" xfId="0" applyNumberFormat="1" applyFont="1" applyBorder="1"/>
    <xf numFmtId="0" fontId="9" fillId="0" borderId="0" xfId="0" applyFont="1" applyBorder="1"/>
    <xf numFmtId="0" fontId="1" fillId="0" borderId="18" xfId="0" applyFont="1" applyBorder="1" applyAlignment="1"/>
    <xf numFmtId="0" fontId="11" fillId="0" borderId="0" xfId="0" applyFont="1"/>
    <xf numFmtId="1" fontId="1" fillId="0" borderId="0" xfId="0" applyNumberFormat="1" applyFont="1"/>
    <xf numFmtId="1" fontId="10" fillId="0" borderId="0" xfId="0" applyNumberFormat="1" applyFont="1" applyBorder="1" applyAlignment="1">
      <alignment horizontal="center"/>
    </xf>
    <xf numFmtId="1" fontId="1" fillId="0" borderId="0" xfId="0" applyNumberFormat="1" applyFont="1" applyBorder="1"/>
    <xf numFmtId="1" fontId="8" fillId="0" borderId="0" xfId="0" applyNumberFormat="1" applyFont="1"/>
    <xf numFmtId="1" fontId="1" fillId="0" borderId="0" xfId="0" applyNumberFormat="1" applyFont="1" applyAlignment="1">
      <alignment wrapText="1"/>
    </xf>
    <xf numFmtId="0" fontId="0" fillId="0" borderId="0" xfId="0" applyNumberFormat="1" applyBorder="1"/>
    <xf numFmtId="9" fontId="0" fillId="0" borderId="0" xfId="7" applyFont="1" applyFill="1" applyBorder="1"/>
    <xf numFmtId="0" fontId="9" fillId="0" borderId="0" xfId="0" applyFont="1"/>
    <xf numFmtId="41" fontId="0" fillId="0" borderId="0" xfId="0" applyNumberFormat="1"/>
    <xf numFmtId="0" fontId="6" fillId="0" borderId="0" xfId="0" applyFont="1" applyFill="1" applyBorder="1"/>
    <xf numFmtId="41" fontId="9" fillId="0" borderId="0" xfId="0" applyNumberFormat="1" applyFont="1" applyFill="1" applyBorder="1"/>
    <xf numFmtId="166" fontId="0" fillId="0" borderId="0" xfId="4" applyNumberFormat="1" applyFont="1" applyFill="1" applyBorder="1"/>
    <xf numFmtId="167" fontId="1" fillId="0" borderId="5" xfId="0" applyNumberFormat="1" applyFont="1" applyBorder="1" applyAlignment="1">
      <alignment horizontal="right"/>
    </xf>
    <xf numFmtId="41" fontId="1" fillId="0" borderId="0" xfId="1" applyFont="1" applyFill="1"/>
    <xf numFmtId="41" fontId="1" fillId="0" borderId="0" xfId="1" applyNumberFormat="1" applyFont="1" applyFill="1" applyBorder="1"/>
    <xf numFmtId="0" fontId="12" fillId="5" borderId="0" xfId="0" applyFont="1" applyFill="1"/>
    <xf numFmtId="0" fontId="12" fillId="5" borderId="0" xfId="0" applyFont="1" applyFill="1" applyAlignment="1">
      <alignment horizontal="center"/>
    </xf>
    <xf numFmtId="3" fontId="12" fillId="5" borderId="0" xfId="0" applyNumberFormat="1" applyFont="1" applyFill="1"/>
    <xf numFmtId="41" fontId="12" fillId="5" borderId="0" xfId="1" applyFont="1" applyFill="1"/>
    <xf numFmtId="0" fontId="0" fillId="0" borderId="0" xfId="0" applyFill="1"/>
    <xf numFmtId="0" fontId="1" fillId="0" borderId="33" xfId="0" applyFont="1" applyFill="1" applyBorder="1"/>
    <xf numFmtId="9" fontId="1" fillId="0" borderId="33" xfId="0" applyNumberFormat="1" applyFont="1" applyFill="1" applyBorder="1"/>
    <xf numFmtId="0" fontId="6" fillId="0" borderId="33" xfId="0" applyFont="1" applyFill="1" applyBorder="1"/>
    <xf numFmtId="42" fontId="0" fillId="0" borderId="0" xfId="4" applyFont="1" applyBorder="1"/>
    <xf numFmtId="42" fontId="0" fillId="0" borderId="0" xfId="4" applyFont="1" applyFill="1" applyBorder="1"/>
    <xf numFmtId="0" fontId="2" fillId="3" borderId="25" xfId="0" applyFont="1" applyFill="1" applyBorder="1" applyAlignment="1">
      <alignment horizontal="center"/>
    </xf>
    <xf numFmtId="0" fontId="2" fillId="3" borderId="26" xfId="0" applyFont="1" applyFill="1" applyBorder="1" applyAlignment="1">
      <alignment horizontal="center"/>
    </xf>
  </cellXfs>
  <cellStyles count="8">
    <cellStyle name="Comma [0] 2" xfId="5" xr:uid="{035DAB9A-0AA0-4CF1-AB10-644A6A92804E}"/>
    <cellStyle name="Comma [0] 3" xfId="6" xr:uid="{AC97EAC2-EF67-49DF-B115-09F3D7EE7BFE}"/>
    <cellStyle name="Millares [0]" xfId="1" builtinId="6"/>
    <cellStyle name="Millares [0] 2" xfId="3" xr:uid="{6A5B5863-59BC-4B21-8289-D53B7D16C1A8}"/>
    <cellStyle name="Moneda [0]" xfId="4" builtinId="7"/>
    <cellStyle name="Normal" xfId="0" builtinId="0"/>
    <cellStyle name="Normal 2" xfId="2" xr:uid="{61C7AD0C-1796-471E-83BE-ADB97D8AAF53}"/>
    <cellStyle name="Porcentaje" xfId="7" builtinId="5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3" formatCode="#,##0"/>
      <border diagonalUp="0" diagonalDown="0">
        <left style="thin">
          <color theme="0" tint="-0.499984740745262"/>
        </left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3" formatCode="#,##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168" formatCode="yyyy/mm/dd"/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 outline="0"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Tahoma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Tahoma"/>
        <family val="2"/>
        <scheme val="none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</dxfs>
  <tableStyles count="0" defaultTableStyle="TableStyleMedium2" defaultPivotStyle="PivotStyleLight16"/>
  <colors>
    <mruColors>
      <color rgb="FFF07E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649728-AD71-474E-A7F2-206EA7A08190}" name="Table1" displayName="Table1" ref="B5:M59" totalsRowShown="0" headerRowDxfId="33" dataDxfId="32">
  <tableColumns count="12">
    <tableColumn id="1" xr3:uid="{D597308C-C2F3-4ABD-B52C-574CBD2EC06E}" name="Numero" dataDxfId="31" totalsRowDxfId="30"/>
    <tableColumn id="2" xr3:uid="{146BF4EC-80F6-4A68-BE5B-3C5FDCD5C94D}" name="Clientes" dataDxfId="29" totalsRowDxfId="28"/>
    <tableColumn id="3" xr3:uid="{CEC1110A-728A-4D0E-890B-53EB0B43744E}" name="% JULIA-RD" dataDxfId="27" totalsRowDxfId="26"/>
    <tableColumn id="4" xr3:uid="{A08C3A5C-A499-40D6-8BCB-7D02ACCB64C1}" name="total energía kWh" dataDxfId="25" totalsRowDxfId="24">
      <calculatedColumnFormula>SUMIFS(Manual_Certificados!$B:$B,Manual_Certificados!$E:$E,Plantilla_Certificados!$C6)</calculatedColumnFormula>
    </tableColumn>
    <tableColumn id="5" xr3:uid="{6C820BBC-25E0-4DF6-9805-E6985283D0FD}" name="Ingresos Totales $" dataDxfId="23" totalsRowDxfId="22"/>
    <tableColumn id="6" xr3:uid="{81E41208-33AD-48F6-9B11-3A176366E5D8}" name="Ingresos Julia $" dataDxfId="21" totalsRowDxfId="20"/>
    <tableColumn id="7" xr3:uid="{2AB51DD2-1169-4A66-B49B-A344BE0AE6FF}" name="Ingresos Terceros $" dataDxfId="19" totalsRowDxfId="18"/>
    <tableColumn id="8" xr3:uid="{8F6DD332-5332-4B7A-8D3F-4FDB3439ECDE}" name="GMF" dataDxfId="17" totalsRowDxfId="16"/>
    <tableColumn id="9" xr3:uid="{23EF2416-49FF-4B7B-A73B-CB43858410A8}" name="Neto Usuario" dataDxfId="15" totalsRowDxfId="14"/>
    <tableColumn id="10" xr3:uid="{061C302F-E9F1-4925-8BAF-99C1DDAC9CF7}" name="DIAS DDV" dataDxfId="13" totalsRowDxfId="12">
      <calculatedColumnFormula>+IFERROR(VLOOKUP(C6,#REF!,33,FALSE),0)</calculatedColumnFormula>
    </tableColumn>
    <tableColumn id="11" xr3:uid="{20FDF6E8-CF16-43FD-93AF-2E96EEC3128D}" name="ENVIADO" dataDxfId="11" totalsRowDxfId="10"/>
    <tableColumn id="12" xr3:uid="{9F52A8BE-1469-494A-B2C3-496937863A0D}" name="COMPROBANTE" dataDxfId="9" totalsRowDxfId="8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B50C6E-5097-490A-A088-8A690A5696D3}" name="Table2" displayName="Table2" ref="B99:E131" totalsRowShown="0" headerRowDxfId="7" headerRowBorderDxfId="6" tableBorderDxfId="5" totalsRowBorderDxfId="4">
  <autoFilter ref="B99:E131" xr:uid="{6EF909E9-1889-41E3-ADA1-4E7E435EF3B0}"/>
  <tableColumns count="4">
    <tableColumn id="1" xr3:uid="{C812D794-ED02-439C-8122-3C83C8D8256B}" name="FECHA" dataDxfId="3"/>
    <tableColumn id="2" xr3:uid="{DED88CE8-653B-4632-8D14-6BE01A51E9B2}" name="TIPO DÍA" dataDxfId="2">
      <calculatedColumnFormula>+VLOOKUP(Table2[[#This Row],[FECHA]],Calendario!A:B,2,FALSE)</calculatedColumnFormula>
    </tableColumn>
    <tableColumn id="3" xr3:uid="{30EB030B-9330-4FB8-96B1-DBAA81EEC214}" name="REQUERIMIENTO (kWh-día)" dataDxfId="1"/>
    <tableColumn id="4" xr3:uid="{B4015C50-823C-4538-BBFD-053ABF38AA63}" name="RESPALDO _x000a_(kWh-día)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2609F-222D-4E13-895C-D8743C2BC3EA}">
  <dimension ref="A1:P4118"/>
  <sheetViews>
    <sheetView tabSelected="1" zoomScale="80" zoomScaleNormal="80" workbookViewId="0">
      <pane ySplit="1" topLeftCell="A2" activePane="bottomLeft" state="frozen"/>
      <selection pane="bottomLeft" activeCell="O1" sqref="O1"/>
    </sheetView>
  </sheetViews>
  <sheetFormatPr baseColWidth="10" defaultColWidth="11.42578125" defaultRowHeight="15" x14ac:dyDescent="0.25"/>
  <cols>
    <col min="1" max="1" width="11.28515625" style="43" bestFit="1" customWidth="1"/>
    <col min="2" max="2" width="12.140625" style="51" bestFit="1" customWidth="1"/>
    <col min="3" max="3" width="9.5703125" style="66" bestFit="1" customWidth="1"/>
    <col min="4" max="4" width="9.140625" style="66" bestFit="1" customWidth="1"/>
    <col min="5" max="5" width="31.42578125" style="66" bestFit="1" customWidth="1"/>
    <col min="6" max="6" width="8.5703125" style="50" bestFit="1" customWidth="1"/>
    <col min="7" max="7" width="13.140625" style="50" bestFit="1" customWidth="1"/>
    <col min="8" max="8" width="5" style="50" bestFit="1" customWidth="1"/>
    <col min="9" max="9" width="21.7109375" style="65" bestFit="1" customWidth="1"/>
    <col min="10" max="10" width="11.7109375" style="52" bestFit="1" customWidth="1"/>
    <col min="11" max="11" width="12.28515625" style="61" bestFit="1" customWidth="1"/>
    <col min="12" max="13" width="13.42578125" style="50" bestFit="1" customWidth="1"/>
    <col min="14" max="14" width="11.42578125" style="50"/>
    <col min="15" max="15" width="13.42578125" style="50" bestFit="1" customWidth="1"/>
    <col min="16" max="16384" width="11.42578125" style="50"/>
  </cols>
  <sheetData>
    <row r="1" spans="1:16" s="62" customFormat="1" ht="14.25" customHeight="1" x14ac:dyDescent="0.25">
      <c r="A1" s="83" t="s">
        <v>31</v>
      </c>
      <c r="B1" s="84" t="s">
        <v>318</v>
      </c>
      <c r="C1" s="85" t="s">
        <v>319</v>
      </c>
      <c r="D1" s="85" t="s">
        <v>549</v>
      </c>
      <c r="E1" s="96" t="s">
        <v>313</v>
      </c>
      <c r="F1" s="86" t="s">
        <v>553</v>
      </c>
      <c r="G1" s="62" t="s">
        <v>320</v>
      </c>
      <c r="H1" s="62" t="s">
        <v>28</v>
      </c>
      <c r="I1" s="63" t="s">
        <v>567</v>
      </c>
      <c r="J1" s="63" t="s">
        <v>550</v>
      </c>
      <c r="K1" s="64" t="s">
        <v>52</v>
      </c>
      <c r="L1" s="99" t="s">
        <v>317</v>
      </c>
      <c r="M1" s="99" t="s">
        <v>576</v>
      </c>
      <c r="N1" s="99" t="s">
        <v>23</v>
      </c>
      <c r="O1" s="62" t="s">
        <v>577</v>
      </c>
    </row>
    <row r="2" spans="1:16" x14ac:dyDescent="0.25">
      <c r="A2" s="13">
        <v>44440</v>
      </c>
      <c r="B2" s="97">
        <v>26396</v>
      </c>
      <c r="C2" t="s">
        <v>113</v>
      </c>
      <c r="D2" s="94" t="s">
        <v>404</v>
      </c>
      <c r="E2" t="s">
        <v>62</v>
      </c>
      <c r="F2" t="s">
        <v>558</v>
      </c>
      <c r="G2" s="50" t="s">
        <v>559</v>
      </c>
      <c r="H2" s="50">
        <v>2</v>
      </c>
      <c r="I2" s="100">
        <v>6.7391919697301583</v>
      </c>
      <c r="J2" s="52">
        <v>3834.68</v>
      </c>
      <c r="K2" s="67">
        <f t="shared" ref="K2:K65" si="0">+B2*I2*J2/1000</f>
        <v>682142.44851094997</v>
      </c>
      <c r="L2" s="95">
        <f>+VLOOKUP(E2,MARGEN!A:B,2,FALSE)</f>
        <v>0.1</v>
      </c>
      <c r="M2" s="112">
        <f>+K2*L2</f>
        <v>68214.244851095005</v>
      </c>
      <c r="N2" s="113">
        <f>+K2*4/1000</f>
        <v>2728.5697940437999</v>
      </c>
      <c r="O2" s="113">
        <f>+K2-M2-N2</f>
        <v>611199.63386581116</v>
      </c>
    </row>
    <row r="3" spans="1:16" x14ac:dyDescent="0.25">
      <c r="A3" s="13">
        <v>44440</v>
      </c>
      <c r="B3" s="97">
        <v>13078</v>
      </c>
      <c r="C3" t="s">
        <v>113</v>
      </c>
      <c r="D3" t="s">
        <v>501</v>
      </c>
      <c r="E3" t="s">
        <v>62</v>
      </c>
      <c r="F3" t="s">
        <v>558</v>
      </c>
      <c r="G3" s="50" t="s">
        <v>559</v>
      </c>
      <c r="H3" s="50">
        <v>2</v>
      </c>
      <c r="I3" s="100">
        <v>6.7391919697301583</v>
      </c>
      <c r="J3" s="52">
        <v>3834.68</v>
      </c>
      <c r="K3" s="67">
        <f t="shared" si="0"/>
        <v>337970.1068959767</v>
      </c>
      <c r="L3" s="95">
        <f>+VLOOKUP(E3,MARGEN!A:B,2,FALSE)</f>
        <v>0.1</v>
      </c>
      <c r="M3" s="112">
        <f t="shared" ref="M3:M66" si="1">+K3*L3</f>
        <v>33797.010689597671</v>
      </c>
      <c r="N3" s="113">
        <f t="shared" ref="N3:N66" si="2">+K3*4/1000</f>
        <v>1351.8804275839068</v>
      </c>
      <c r="O3" s="113">
        <f t="shared" ref="O3:O66" si="3">+K3-M3-N3</f>
        <v>302821.21577879507</v>
      </c>
      <c r="P3" s="67"/>
    </row>
    <row r="4" spans="1:16" x14ac:dyDescent="0.25">
      <c r="A4" s="13">
        <v>44441</v>
      </c>
      <c r="B4" s="97">
        <v>26396</v>
      </c>
      <c r="C4" t="s">
        <v>113</v>
      </c>
      <c r="D4" s="94" t="s">
        <v>404</v>
      </c>
      <c r="E4" t="s">
        <v>62</v>
      </c>
      <c r="F4" t="s">
        <v>558</v>
      </c>
      <c r="G4" s="50" t="s">
        <v>559</v>
      </c>
      <c r="H4" s="50">
        <v>2</v>
      </c>
      <c r="I4" s="100">
        <v>6.7391919697301583</v>
      </c>
      <c r="J4" s="52">
        <v>3834.68</v>
      </c>
      <c r="K4" s="67">
        <f t="shared" si="0"/>
        <v>682142.44851094997</v>
      </c>
      <c r="L4" s="95">
        <f>+VLOOKUP(E4,MARGEN!A:B,2,FALSE)</f>
        <v>0.1</v>
      </c>
      <c r="M4" s="112">
        <f t="shared" si="1"/>
        <v>68214.244851095005</v>
      </c>
      <c r="N4" s="113">
        <f t="shared" si="2"/>
        <v>2728.5697940437999</v>
      </c>
      <c r="O4" s="113">
        <f t="shared" si="3"/>
        <v>611199.63386581116</v>
      </c>
      <c r="P4" s="67"/>
    </row>
    <row r="5" spans="1:16" x14ac:dyDescent="0.25">
      <c r="A5" s="13">
        <v>44441</v>
      </c>
      <c r="B5" s="97">
        <v>13078</v>
      </c>
      <c r="C5" t="s">
        <v>113</v>
      </c>
      <c r="D5" s="94" t="s">
        <v>501</v>
      </c>
      <c r="E5" t="s">
        <v>62</v>
      </c>
      <c r="F5" t="s">
        <v>558</v>
      </c>
      <c r="G5" s="50" t="s">
        <v>559</v>
      </c>
      <c r="H5" s="50">
        <v>2</v>
      </c>
      <c r="I5" s="100">
        <v>6.7391919697301583</v>
      </c>
      <c r="J5" s="52">
        <v>3834.68</v>
      </c>
      <c r="K5" s="67">
        <f t="shared" si="0"/>
        <v>337970.1068959767</v>
      </c>
      <c r="L5" s="95">
        <f>+VLOOKUP(E5,MARGEN!A:B,2,FALSE)</f>
        <v>0.1</v>
      </c>
      <c r="M5" s="112">
        <f t="shared" si="1"/>
        <v>33797.010689597671</v>
      </c>
      <c r="N5" s="113">
        <f t="shared" si="2"/>
        <v>1351.8804275839068</v>
      </c>
      <c r="O5" s="113">
        <f t="shared" si="3"/>
        <v>302821.21577879507</v>
      </c>
      <c r="P5" s="67"/>
    </row>
    <row r="6" spans="1:16" x14ac:dyDescent="0.25">
      <c r="A6" s="13">
        <v>44442</v>
      </c>
      <c r="B6" s="97">
        <v>26396</v>
      </c>
      <c r="C6" t="s">
        <v>113</v>
      </c>
      <c r="D6" s="94" t="s">
        <v>404</v>
      </c>
      <c r="E6" t="s">
        <v>62</v>
      </c>
      <c r="F6" t="s">
        <v>558</v>
      </c>
      <c r="G6" s="50" t="s">
        <v>559</v>
      </c>
      <c r="H6" s="50">
        <v>2</v>
      </c>
      <c r="I6" s="100">
        <v>6.7391919697301583</v>
      </c>
      <c r="J6" s="52">
        <v>3834.68</v>
      </c>
      <c r="K6" s="67">
        <f t="shared" si="0"/>
        <v>682142.44851094997</v>
      </c>
      <c r="L6" s="95">
        <f>+VLOOKUP(E6,MARGEN!A:B,2,FALSE)</f>
        <v>0.1</v>
      </c>
      <c r="M6" s="112">
        <f t="shared" si="1"/>
        <v>68214.244851095005</v>
      </c>
      <c r="N6" s="113">
        <f t="shared" si="2"/>
        <v>2728.5697940437999</v>
      </c>
      <c r="O6" s="113">
        <f t="shared" si="3"/>
        <v>611199.63386581116</v>
      </c>
      <c r="P6" s="67"/>
    </row>
    <row r="7" spans="1:16" x14ac:dyDescent="0.25">
      <c r="A7" s="13">
        <v>44442</v>
      </c>
      <c r="B7" s="97">
        <v>13078</v>
      </c>
      <c r="C7" t="s">
        <v>113</v>
      </c>
      <c r="D7" s="94" t="s">
        <v>501</v>
      </c>
      <c r="E7" t="s">
        <v>62</v>
      </c>
      <c r="F7" t="s">
        <v>558</v>
      </c>
      <c r="G7" s="50" t="s">
        <v>559</v>
      </c>
      <c r="H7" s="50">
        <v>2</v>
      </c>
      <c r="I7" s="100">
        <v>6.7391919697301583</v>
      </c>
      <c r="J7" s="52">
        <v>3834.68</v>
      </c>
      <c r="K7" s="67">
        <f t="shared" si="0"/>
        <v>337970.1068959767</v>
      </c>
      <c r="L7" s="95">
        <f>+VLOOKUP(E7,MARGEN!A:B,2,FALSE)</f>
        <v>0.1</v>
      </c>
      <c r="M7" s="112">
        <f t="shared" si="1"/>
        <v>33797.010689597671</v>
      </c>
      <c r="N7" s="113">
        <f t="shared" si="2"/>
        <v>1351.8804275839068</v>
      </c>
      <c r="O7" s="113">
        <f t="shared" si="3"/>
        <v>302821.21577879507</v>
      </c>
    </row>
    <row r="8" spans="1:16" x14ac:dyDescent="0.25">
      <c r="A8" s="13">
        <v>44443</v>
      </c>
      <c r="B8" s="97">
        <v>26396</v>
      </c>
      <c r="C8" t="s">
        <v>113</v>
      </c>
      <c r="D8" s="94" t="s">
        <v>404</v>
      </c>
      <c r="E8" t="s">
        <v>62</v>
      </c>
      <c r="F8" t="s">
        <v>558</v>
      </c>
      <c r="G8" s="50" t="s">
        <v>559</v>
      </c>
      <c r="H8" s="50">
        <v>2</v>
      </c>
      <c r="I8" s="100">
        <v>6.7391919697301583</v>
      </c>
      <c r="J8" s="52">
        <v>3834.68</v>
      </c>
      <c r="K8" s="67">
        <f t="shared" si="0"/>
        <v>682142.44851094997</v>
      </c>
      <c r="L8" s="95">
        <f>+VLOOKUP(E8,MARGEN!A:B,2,FALSE)</f>
        <v>0.1</v>
      </c>
      <c r="M8" s="112">
        <f t="shared" si="1"/>
        <v>68214.244851095005</v>
      </c>
      <c r="N8" s="113">
        <f t="shared" si="2"/>
        <v>2728.5697940437999</v>
      </c>
      <c r="O8" s="113">
        <f t="shared" si="3"/>
        <v>611199.63386581116</v>
      </c>
    </row>
    <row r="9" spans="1:16" x14ac:dyDescent="0.25">
      <c r="A9" s="13">
        <v>44443</v>
      </c>
      <c r="B9" s="97">
        <v>13078</v>
      </c>
      <c r="C9" t="s">
        <v>113</v>
      </c>
      <c r="D9" s="94" t="s">
        <v>501</v>
      </c>
      <c r="E9" t="s">
        <v>62</v>
      </c>
      <c r="F9" t="s">
        <v>558</v>
      </c>
      <c r="G9" s="50" t="s">
        <v>559</v>
      </c>
      <c r="H9" s="50">
        <v>2</v>
      </c>
      <c r="I9" s="100">
        <v>6.7391919697301583</v>
      </c>
      <c r="J9" s="52">
        <v>3834.68</v>
      </c>
      <c r="K9" s="67">
        <f t="shared" si="0"/>
        <v>337970.1068959767</v>
      </c>
      <c r="L9" s="95">
        <f>+VLOOKUP(E9,MARGEN!A:B,2,FALSE)</f>
        <v>0.1</v>
      </c>
      <c r="M9" s="112">
        <f t="shared" si="1"/>
        <v>33797.010689597671</v>
      </c>
      <c r="N9" s="113">
        <f t="shared" si="2"/>
        <v>1351.8804275839068</v>
      </c>
      <c r="O9" s="113">
        <f t="shared" si="3"/>
        <v>302821.21577879507</v>
      </c>
    </row>
    <row r="10" spans="1:16" x14ac:dyDescent="0.25">
      <c r="A10" s="13">
        <v>44447</v>
      </c>
      <c r="B10" s="97">
        <v>26396</v>
      </c>
      <c r="C10" t="s">
        <v>113</v>
      </c>
      <c r="D10" s="94" t="s">
        <v>404</v>
      </c>
      <c r="E10" t="s">
        <v>62</v>
      </c>
      <c r="F10" t="s">
        <v>558</v>
      </c>
      <c r="G10" s="50" t="s">
        <v>559</v>
      </c>
      <c r="H10" s="50">
        <v>2</v>
      </c>
      <c r="I10" s="100">
        <v>6.7391919697301583</v>
      </c>
      <c r="J10" s="52">
        <v>3834.68</v>
      </c>
      <c r="K10" s="67">
        <f t="shared" si="0"/>
        <v>682142.44851094997</v>
      </c>
      <c r="L10" s="95">
        <f>+VLOOKUP(E10,MARGEN!A:B,2,FALSE)</f>
        <v>0.1</v>
      </c>
      <c r="M10" s="112">
        <f t="shared" si="1"/>
        <v>68214.244851095005</v>
      </c>
      <c r="N10" s="113">
        <f t="shared" si="2"/>
        <v>2728.5697940437999</v>
      </c>
      <c r="O10" s="113">
        <f t="shared" si="3"/>
        <v>611199.63386581116</v>
      </c>
    </row>
    <row r="11" spans="1:16" x14ac:dyDescent="0.25">
      <c r="A11" s="13">
        <v>44447</v>
      </c>
      <c r="B11" s="97">
        <v>13078</v>
      </c>
      <c r="C11" t="s">
        <v>113</v>
      </c>
      <c r="D11" s="94" t="s">
        <v>501</v>
      </c>
      <c r="E11" t="s">
        <v>62</v>
      </c>
      <c r="F11" t="s">
        <v>558</v>
      </c>
      <c r="G11" s="50" t="s">
        <v>559</v>
      </c>
      <c r="H11" s="50">
        <v>2</v>
      </c>
      <c r="I11" s="100">
        <v>6.7391919697301583</v>
      </c>
      <c r="J11" s="52">
        <v>3834.68</v>
      </c>
      <c r="K11" s="67">
        <f t="shared" si="0"/>
        <v>337970.1068959767</v>
      </c>
      <c r="L11" s="95">
        <f>+VLOOKUP(E11,MARGEN!A:B,2,FALSE)</f>
        <v>0.1</v>
      </c>
      <c r="M11" s="112">
        <f t="shared" si="1"/>
        <v>33797.010689597671</v>
      </c>
      <c r="N11" s="113">
        <f t="shared" si="2"/>
        <v>1351.8804275839068</v>
      </c>
      <c r="O11" s="113">
        <f t="shared" si="3"/>
        <v>302821.21577879507</v>
      </c>
    </row>
    <row r="12" spans="1:16" x14ac:dyDescent="0.25">
      <c r="A12" s="13">
        <v>44448</v>
      </c>
      <c r="B12" s="97">
        <v>26396</v>
      </c>
      <c r="C12" t="s">
        <v>113</v>
      </c>
      <c r="D12" s="94" t="s">
        <v>404</v>
      </c>
      <c r="E12" t="s">
        <v>62</v>
      </c>
      <c r="F12" t="s">
        <v>558</v>
      </c>
      <c r="G12" s="50" t="s">
        <v>559</v>
      </c>
      <c r="H12" s="50">
        <v>2</v>
      </c>
      <c r="I12" s="100">
        <v>6.7391919697301583</v>
      </c>
      <c r="J12" s="52">
        <v>3834.68</v>
      </c>
      <c r="K12" s="67">
        <f t="shared" si="0"/>
        <v>682142.44851094997</v>
      </c>
      <c r="L12" s="95">
        <f>+VLOOKUP(E12,MARGEN!A:B,2,FALSE)</f>
        <v>0.1</v>
      </c>
      <c r="M12" s="112">
        <f t="shared" si="1"/>
        <v>68214.244851095005</v>
      </c>
      <c r="N12" s="113">
        <f t="shared" si="2"/>
        <v>2728.5697940437999</v>
      </c>
      <c r="O12" s="113">
        <f t="shared" si="3"/>
        <v>611199.63386581116</v>
      </c>
    </row>
    <row r="13" spans="1:16" x14ac:dyDescent="0.25">
      <c r="A13" s="13">
        <v>44448</v>
      </c>
      <c r="B13" s="97">
        <v>13078</v>
      </c>
      <c r="C13" t="s">
        <v>113</v>
      </c>
      <c r="D13" s="94" t="s">
        <v>501</v>
      </c>
      <c r="E13" t="s">
        <v>62</v>
      </c>
      <c r="F13" t="s">
        <v>558</v>
      </c>
      <c r="G13" s="50" t="s">
        <v>559</v>
      </c>
      <c r="H13" s="50">
        <v>2</v>
      </c>
      <c r="I13" s="100">
        <v>6.7391919697301583</v>
      </c>
      <c r="J13" s="52">
        <v>3834.68</v>
      </c>
      <c r="K13" s="67">
        <f t="shared" si="0"/>
        <v>337970.1068959767</v>
      </c>
      <c r="L13" s="95">
        <f>+VLOOKUP(E13,MARGEN!A:B,2,FALSE)</f>
        <v>0.1</v>
      </c>
      <c r="M13" s="112">
        <f t="shared" si="1"/>
        <v>33797.010689597671</v>
      </c>
      <c r="N13" s="113">
        <f t="shared" si="2"/>
        <v>1351.8804275839068</v>
      </c>
      <c r="O13" s="113">
        <f t="shared" si="3"/>
        <v>302821.21577879507</v>
      </c>
    </row>
    <row r="14" spans="1:16" x14ac:dyDescent="0.25">
      <c r="A14" s="13">
        <v>44449</v>
      </c>
      <c r="B14" s="97">
        <v>26396</v>
      </c>
      <c r="C14" t="s">
        <v>113</v>
      </c>
      <c r="D14" s="94" t="s">
        <v>404</v>
      </c>
      <c r="E14" t="s">
        <v>62</v>
      </c>
      <c r="F14" t="s">
        <v>558</v>
      </c>
      <c r="G14" s="50" t="s">
        <v>559</v>
      </c>
      <c r="H14" s="50">
        <v>2</v>
      </c>
      <c r="I14" s="100">
        <v>6.7391919697301583</v>
      </c>
      <c r="J14" s="52">
        <v>3834.68</v>
      </c>
      <c r="K14" s="67">
        <f t="shared" si="0"/>
        <v>682142.44851094997</v>
      </c>
      <c r="L14" s="95">
        <f>+VLOOKUP(E14,MARGEN!A:B,2,FALSE)</f>
        <v>0.1</v>
      </c>
      <c r="M14" s="112">
        <f t="shared" si="1"/>
        <v>68214.244851095005</v>
      </c>
      <c r="N14" s="113">
        <f t="shared" si="2"/>
        <v>2728.5697940437999</v>
      </c>
      <c r="O14" s="113">
        <f t="shared" si="3"/>
        <v>611199.63386581116</v>
      </c>
    </row>
    <row r="15" spans="1:16" x14ac:dyDescent="0.25">
      <c r="A15" s="13">
        <v>44449</v>
      </c>
      <c r="B15" s="97">
        <v>13078</v>
      </c>
      <c r="C15" t="s">
        <v>113</v>
      </c>
      <c r="D15" s="94" t="s">
        <v>501</v>
      </c>
      <c r="E15" t="s">
        <v>62</v>
      </c>
      <c r="F15" t="s">
        <v>558</v>
      </c>
      <c r="G15" s="50" t="s">
        <v>559</v>
      </c>
      <c r="H15" s="50">
        <v>2</v>
      </c>
      <c r="I15" s="100">
        <v>6.7391919697301583</v>
      </c>
      <c r="J15" s="52">
        <v>3834.68</v>
      </c>
      <c r="K15" s="67">
        <f t="shared" si="0"/>
        <v>337970.1068959767</v>
      </c>
      <c r="L15" s="95">
        <f>+VLOOKUP(E15,MARGEN!A:B,2,FALSE)</f>
        <v>0.1</v>
      </c>
      <c r="M15" s="112">
        <f t="shared" si="1"/>
        <v>33797.010689597671</v>
      </c>
      <c r="N15" s="113">
        <f t="shared" si="2"/>
        <v>1351.8804275839068</v>
      </c>
      <c r="O15" s="113">
        <f t="shared" si="3"/>
        <v>302821.21577879507</v>
      </c>
    </row>
    <row r="16" spans="1:16" x14ac:dyDescent="0.25">
      <c r="A16" s="13">
        <v>44450</v>
      </c>
      <c r="B16" s="97">
        <v>26396</v>
      </c>
      <c r="C16" t="s">
        <v>113</v>
      </c>
      <c r="D16" s="94" t="s">
        <v>404</v>
      </c>
      <c r="E16" t="s">
        <v>62</v>
      </c>
      <c r="F16" t="s">
        <v>558</v>
      </c>
      <c r="G16" s="50" t="s">
        <v>559</v>
      </c>
      <c r="H16" s="50">
        <v>2</v>
      </c>
      <c r="I16" s="100">
        <v>6.7391919697301583</v>
      </c>
      <c r="J16" s="52">
        <v>3834.68</v>
      </c>
      <c r="K16" s="67">
        <f t="shared" si="0"/>
        <v>682142.44851094997</v>
      </c>
      <c r="L16" s="95">
        <f>+VLOOKUP(E16,MARGEN!A:B,2,FALSE)</f>
        <v>0.1</v>
      </c>
      <c r="M16" s="112">
        <f t="shared" si="1"/>
        <v>68214.244851095005</v>
      </c>
      <c r="N16" s="113">
        <f t="shared" si="2"/>
        <v>2728.5697940437999</v>
      </c>
      <c r="O16" s="113">
        <f t="shared" si="3"/>
        <v>611199.63386581116</v>
      </c>
    </row>
    <row r="17" spans="1:15" x14ac:dyDescent="0.25">
      <c r="A17" s="13">
        <v>44450</v>
      </c>
      <c r="B17" s="97">
        <v>13078</v>
      </c>
      <c r="C17" t="s">
        <v>113</v>
      </c>
      <c r="D17" s="94" t="s">
        <v>501</v>
      </c>
      <c r="E17" t="s">
        <v>62</v>
      </c>
      <c r="F17" t="s">
        <v>558</v>
      </c>
      <c r="G17" s="50" t="s">
        <v>559</v>
      </c>
      <c r="H17" s="50">
        <v>2</v>
      </c>
      <c r="I17" s="100">
        <v>6.7391919697301583</v>
      </c>
      <c r="J17" s="52">
        <v>3834.68</v>
      </c>
      <c r="K17" s="67">
        <f t="shared" si="0"/>
        <v>337970.1068959767</v>
      </c>
      <c r="L17" s="95">
        <f>+VLOOKUP(E17,MARGEN!A:B,2,FALSE)</f>
        <v>0.1</v>
      </c>
      <c r="M17" s="112">
        <f t="shared" si="1"/>
        <v>33797.010689597671</v>
      </c>
      <c r="N17" s="113">
        <f t="shared" si="2"/>
        <v>1351.8804275839068</v>
      </c>
      <c r="O17" s="113">
        <f t="shared" si="3"/>
        <v>302821.21577879507</v>
      </c>
    </row>
    <row r="18" spans="1:15" x14ac:dyDescent="0.25">
      <c r="A18" s="13">
        <v>44451</v>
      </c>
      <c r="B18" s="97">
        <v>26396</v>
      </c>
      <c r="C18" t="s">
        <v>113</v>
      </c>
      <c r="D18" s="94" t="s">
        <v>404</v>
      </c>
      <c r="E18" t="s">
        <v>62</v>
      </c>
      <c r="F18" t="s">
        <v>566</v>
      </c>
      <c r="G18" s="50" t="s">
        <v>559</v>
      </c>
      <c r="H18" s="50">
        <v>2</v>
      </c>
      <c r="I18" s="100">
        <v>6.7391919697301583</v>
      </c>
      <c r="J18" s="52">
        <v>3834.68</v>
      </c>
      <c r="K18" s="67">
        <f t="shared" si="0"/>
        <v>682142.44851094997</v>
      </c>
      <c r="L18" s="95">
        <f>+VLOOKUP(E18,MARGEN!A:B,2,FALSE)</f>
        <v>0.1</v>
      </c>
      <c r="M18" s="112">
        <f t="shared" si="1"/>
        <v>68214.244851095005</v>
      </c>
      <c r="N18" s="113">
        <f t="shared" si="2"/>
        <v>2728.5697940437999</v>
      </c>
      <c r="O18" s="113">
        <f t="shared" si="3"/>
        <v>611199.63386581116</v>
      </c>
    </row>
    <row r="19" spans="1:15" x14ac:dyDescent="0.25">
      <c r="A19" s="13">
        <v>44451</v>
      </c>
      <c r="B19" s="97">
        <v>13078</v>
      </c>
      <c r="C19" t="s">
        <v>113</v>
      </c>
      <c r="D19" s="94" t="s">
        <v>501</v>
      </c>
      <c r="E19" t="s">
        <v>62</v>
      </c>
      <c r="F19" t="s">
        <v>566</v>
      </c>
      <c r="G19" s="50" t="s">
        <v>559</v>
      </c>
      <c r="H19" s="50">
        <v>2</v>
      </c>
      <c r="I19" s="100">
        <v>6.7391919697301583</v>
      </c>
      <c r="J19" s="52">
        <v>3834.68</v>
      </c>
      <c r="K19" s="67">
        <f t="shared" si="0"/>
        <v>337970.1068959767</v>
      </c>
      <c r="L19" s="95">
        <f>+VLOOKUP(E19,MARGEN!A:B,2,FALSE)</f>
        <v>0.1</v>
      </c>
      <c r="M19" s="112">
        <f t="shared" si="1"/>
        <v>33797.010689597671</v>
      </c>
      <c r="N19" s="113">
        <f t="shared" si="2"/>
        <v>1351.8804275839068</v>
      </c>
      <c r="O19" s="113">
        <f t="shared" si="3"/>
        <v>302821.21577879507</v>
      </c>
    </row>
    <row r="20" spans="1:15" x14ac:dyDescent="0.25">
      <c r="A20" s="13">
        <v>44454</v>
      </c>
      <c r="B20" s="97">
        <v>26396</v>
      </c>
      <c r="C20" t="s">
        <v>113</v>
      </c>
      <c r="D20" s="94" t="s">
        <v>404</v>
      </c>
      <c r="E20" t="s">
        <v>62</v>
      </c>
      <c r="F20" t="s">
        <v>558</v>
      </c>
      <c r="G20" s="50" t="s">
        <v>559</v>
      </c>
      <c r="H20" s="50">
        <v>2</v>
      </c>
      <c r="I20" s="100">
        <v>6.7391919697301583</v>
      </c>
      <c r="J20" s="52">
        <v>3834.68</v>
      </c>
      <c r="K20" s="67">
        <f t="shared" si="0"/>
        <v>682142.44851094997</v>
      </c>
      <c r="L20" s="95">
        <f>+VLOOKUP(E20,MARGEN!A:B,2,FALSE)</f>
        <v>0.1</v>
      </c>
      <c r="M20" s="112">
        <f t="shared" si="1"/>
        <v>68214.244851095005</v>
      </c>
      <c r="N20" s="113">
        <f t="shared" si="2"/>
        <v>2728.5697940437999</v>
      </c>
      <c r="O20" s="113">
        <f t="shared" si="3"/>
        <v>611199.63386581116</v>
      </c>
    </row>
    <row r="21" spans="1:15" x14ac:dyDescent="0.25">
      <c r="A21" s="13">
        <v>44454</v>
      </c>
      <c r="B21" s="97">
        <v>13077</v>
      </c>
      <c r="C21" t="s">
        <v>113</v>
      </c>
      <c r="D21" s="94" t="s">
        <v>501</v>
      </c>
      <c r="E21" t="s">
        <v>62</v>
      </c>
      <c r="F21" t="s">
        <v>551</v>
      </c>
      <c r="G21" s="50" t="s">
        <v>205</v>
      </c>
      <c r="H21" s="50">
        <v>2</v>
      </c>
      <c r="I21" s="100">
        <v>6.7391919697301583</v>
      </c>
      <c r="J21" s="52">
        <v>3834.68</v>
      </c>
      <c r="K21" s="67">
        <f t="shared" si="0"/>
        <v>337944.26425131428</v>
      </c>
      <c r="L21" s="95">
        <f>+VLOOKUP(E21,MARGEN!A:B,2,FALSE)</f>
        <v>0.1</v>
      </c>
      <c r="M21" s="112">
        <f t="shared" si="1"/>
        <v>33794.426425131431</v>
      </c>
      <c r="N21" s="113">
        <f t="shared" si="2"/>
        <v>1351.7770570052571</v>
      </c>
      <c r="O21" s="113">
        <f t="shared" si="3"/>
        <v>302798.06076917757</v>
      </c>
    </row>
    <row r="22" spans="1:15" x14ac:dyDescent="0.25">
      <c r="A22" s="13">
        <v>44455</v>
      </c>
      <c r="B22" s="97">
        <v>26396</v>
      </c>
      <c r="C22" t="s">
        <v>113</v>
      </c>
      <c r="D22" s="94" t="s">
        <v>404</v>
      </c>
      <c r="E22" t="s">
        <v>62</v>
      </c>
      <c r="F22" t="s">
        <v>558</v>
      </c>
      <c r="G22" s="50" t="s">
        <v>559</v>
      </c>
      <c r="H22" s="50">
        <v>2</v>
      </c>
      <c r="I22" s="100">
        <v>6.7391919697301583</v>
      </c>
      <c r="J22" s="52">
        <v>3834.68</v>
      </c>
      <c r="K22" s="67">
        <f t="shared" si="0"/>
        <v>682142.44851094997</v>
      </c>
      <c r="L22" s="95">
        <f>+VLOOKUP(E22,MARGEN!A:B,2,FALSE)</f>
        <v>0.1</v>
      </c>
      <c r="M22" s="112">
        <f t="shared" si="1"/>
        <v>68214.244851095005</v>
      </c>
      <c r="N22" s="113">
        <f t="shared" si="2"/>
        <v>2728.5697940437999</v>
      </c>
      <c r="O22" s="113">
        <f t="shared" si="3"/>
        <v>611199.63386581116</v>
      </c>
    </row>
    <row r="23" spans="1:15" x14ac:dyDescent="0.25">
      <c r="A23" s="13">
        <v>44455</v>
      </c>
      <c r="B23" s="97">
        <v>13077</v>
      </c>
      <c r="C23" t="s">
        <v>113</v>
      </c>
      <c r="D23" s="94" t="s">
        <v>501</v>
      </c>
      <c r="E23" t="s">
        <v>62</v>
      </c>
      <c r="F23" t="s">
        <v>562</v>
      </c>
      <c r="G23" s="50" t="s">
        <v>559</v>
      </c>
      <c r="H23" s="50">
        <v>2</v>
      </c>
      <c r="I23" s="100">
        <v>6.7391919697301583</v>
      </c>
      <c r="J23" s="52">
        <v>3834.68</v>
      </c>
      <c r="K23" s="67">
        <f t="shared" si="0"/>
        <v>337944.26425131428</v>
      </c>
      <c r="L23" s="95">
        <f>+VLOOKUP(E23,MARGEN!A:B,2,FALSE)</f>
        <v>0.1</v>
      </c>
      <c r="M23" s="112">
        <f t="shared" si="1"/>
        <v>33794.426425131431</v>
      </c>
      <c r="N23" s="113">
        <f t="shared" si="2"/>
        <v>1351.7770570052571</v>
      </c>
      <c r="O23" s="113">
        <f t="shared" si="3"/>
        <v>302798.06076917757</v>
      </c>
    </row>
    <row r="24" spans="1:15" x14ac:dyDescent="0.25">
      <c r="A24" s="13">
        <v>44456</v>
      </c>
      <c r="B24" s="97">
        <v>26396</v>
      </c>
      <c r="C24" t="s">
        <v>113</v>
      </c>
      <c r="D24" s="94" t="s">
        <v>404</v>
      </c>
      <c r="E24" t="s">
        <v>62</v>
      </c>
      <c r="F24" t="s">
        <v>558</v>
      </c>
      <c r="G24" s="50" t="s">
        <v>559</v>
      </c>
      <c r="H24" s="50">
        <v>2</v>
      </c>
      <c r="I24" s="100">
        <v>6.7391919697301583</v>
      </c>
      <c r="J24" s="52">
        <v>3834.68</v>
      </c>
      <c r="K24" s="67">
        <f t="shared" si="0"/>
        <v>682142.44851094997</v>
      </c>
      <c r="L24" s="95">
        <f>+VLOOKUP(E24,MARGEN!A:B,2,FALSE)</f>
        <v>0.1</v>
      </c>
      <c r="M24" s="112">
        <f t="shared" si="1"/>
        <v>68214.244851095005</v>
      </c>
      <c r="N24" s="113">
        <f t="shared" si="2"/>
        <v>2728.5697940437999</v>
      </c>
      <c r="O24" s="113">
        <f t="shared" si="3"/>
        <v>611199.63386581116</v>
      </c>
    </row>
    <row r="25" spans="1:15" x14ac:dyDescent="0.25">
      <c r="A25" s="13">
        <v>44456</v>
      </c>
      <c r="B25" s="97">
        <v>13078</v>
      </c>
      <c r="C25" t="s">
        <v>113</v>
      </c>
      <c r="D25" s="94" t="s">
        <v>501</v>
      </c>
      <c r="E25" t="s">
        <v>62</v>
      </c>
      <c r="F25" t="s">
        <v>558</v>
      </c>
      <c r="G25" s="50" t="s">
        <v>559</v>
      </c>
      <c r="H25" s="50">
        <v>2</v>
      </c>
      <c r="I25" s="100">
        <v>6.7391919697301583</v>
      </c>
      <c r="J25" s="52">
        <v>3834.68</v>
      </c>
      <c r="K25" s="67">
        <f t="shared" si="0"/>
        <v>337970.1068959767</v>
      </c>
      <c r="L25" s="95">
        <f>+VLOOKUP(E25,MARGEN!A:B,2,FALSE)</f>
        <v>0.1</v>
      </c>
      <c r="M25" s="112">
        <f t="shared" si="1"/>
        <v>33797.010689597671</v>
      </c>
      <c r="N25" s="113">
        <f t="shared" si="2"/>
        <v>1351.8804275839068</v>
      </c>
      <c r="O25" s="113">
        <f t="shared" si="3"/>
        <v>302821.21577879507</v>
      </c>
    </row>
    <row r="26" spans="1:15" x14ac:dyDescent="0.25">
      <c r="A26" s="13">
        <v>44457</v>
      </c>
      <c r="B26" s="97">
        <v>26396</v>
      </c>
      <c r="C26" t="s">
        <v>113</v>
      </c>
      <c r="D26" s="94" t="s">
        <v>404</v>
      </c>
      <c r="E26" t="s">
        <v>62</v>
      </c>
      <c r="F26" t="s">
        <v>558</v>
      </c>
      <c r="G26" s="50" t="s">
        <v>559</v>
      </c>
      <c r="H26" s="50">
        <v>2</v>
      </c>
      <c r="I26" s="100">
        <v>6.7391919697301583</v>
      </c>
      <c r="J26" s="52">
        <v>3834.68</v>
      </c>
      <c r="K26" s="67">
        <f t="shared" si="0"/>
        <v>682142.44851094997</v>
      </c>
      <c r="L26" s="95">
        <f>+VLOOKUP(E26,MARGEN!A:B,2,FALSE)</f>
        <v>0.1</v>
      </c>
      <c r="M26" s="112">
        <f t="shared" si="1"/>
        <v>68214.244851095005</v>
      </c>
      <c r="N26" s="113">
        <f t="shared" si="2"/>
        <v>2728.5697940437999</v>
      </c>
      <c r="O26" s="113">
        <f t="shared" si="3"/>
        <v>611199.63386581116</v>
      </c>
    </row>
    <row r="27" spans="1:15" x14ac:dyDescent="0.25">
      <c r="A27" s="13">
        <v>44457</v>
      </c>
      <c r="B27" s="97">
        <v>13078</v>
      </c>
      <c r="C27" t="s">
        <v>113</v>
      </c>
      <c r="D27" s="94" t="s">
        <v>501</v>
      </c>
      <c r="E27" t="s">
        <v>62</v>
      </c>
      <c r="F27" t="s">
        <v>558</v>
      </c>
      <c r="G27" s="50" t="s">
        <v>559</v>
      </c>
      <c r="H27" s="50">
        <v>2</v>
      </c>
      <c r="I27" s="100">
        <v>6.7391919697301583</v>
      </c>
      <c r="J27" s="52">
        <v>3834.68</v>
      </c>
      <c r="K27" s="67">
        <f t="shared" si="0"/>
        <v>337970.1068959767</v>
      </c>
      <c r="L27" s="95">
        <f>+VLOOKUP(E27,MARGEN!A:B,2,FALSE)</f>
        <v>0.1</v>
      </c>
      <c r="M27" s="112">
        <f t="shared" si="1"/>
        <v>33797.010689597671</v>
      </c>
      <c r="N27" s="113">
        <f t="shared" si="2"/>
        <v>1351.8804275839068</v>
      </c>
      <c r="O27" s="113">
        <f t="shared" si="3"/>
        <v>302821.21577879507</v>
      </c>
    </row>
    <row r="28" spans="1:15" x14ac:dyDescent="0.25">
      <c r="A28" s="13">
        <v>44458</v>
      </c>
      <c r="B28" s="97">
        <v>26396</v>
      </c>
      <c r="C28" t="s">
        <v>113</v>
      </c>
      <c r="D28" s="94" t="s">
        <v>404</v>
      </c>
      <c r="E28" t="s">
        <v>62</v>
      </c>
      <c r="F28" t="s">
        <v>558</v>
      </c>
      <c r="G28" s="50" t="s">
        <v>559</v>
      </c>
      <c r="H28" s="50">
        <v>2</v>
      </c>
      <c r="I28" s="100">
        <v>6.7391919697301583</v>
      </c>
      <c r="J28" s="52">
        <v>3834.68</v>
      </c>
      <c r="K28" s="67">
        <f t="shared" si="0"/>
        <v>682142.44851094997</v>
      </c>
      <c r="L28" s="95">
        <f>+VLOOKUP(E28,MARGEN!A:B,2,FALSE)</f>
        <v>0.1</v>
      </c>
      <c r="M28" s="112">
        <f t="shared" si="1"/>
        <v>68214.244851095005</v>
      </c>
      <c r="N28" s="113">
        <f t="shared" si="2"/>
        <v>2728.5697940437999</v>
      </c>
      <c r="O28" s="113">
        <f t="shared" si="3"/>
        <v>611199.63386581116</v>
      </c>
    </row>
    <row r="29" spans="1:15" x14ac:dyDescent="0.25">
      <c r="A29" s="13">
        <v>44458</v>
      </c>
      <c r="B29" s="97">
        <v>13078</v>
      </c>
      <c r="C29" t="s">
        <v>113</v>
      </c>
      <c r="D29" s="94" t="s">
        <v>501</v>
      </c>
      <c r="E29" t="s">
        <v>62</v>
      </c>
      <c r="F29" t="s">
        <v>558</v>
      </c>
      <c r="G29" s="50" t="s">
        <v>559</v>
      </c>
      <c r="H29" s="50">
        <v>2</v>
      </c>
      <c r="I29" s="100">
        <v>6.7391919697301583</v>
      </c>
      <c r="J29" s="52">
        <v>3834.68</v>
      </c>
      <c r="K29" s="67">
        <f t="shared" si="0"/>
        <v>337970.1068959767</v>
      </c>
      <c r="L29" s="95">
        <f>+VLOOKUP(E29,MARGEN!A:B,2,FALSE)</f>
        <v>0.1</v>
      </c>
      <c r="M29" s="112">
        <f t="shared" si="1"/>
        <v>33797.010689597671</v>
      </c>
      <c r="N29" s="113">
        <f t="shared" si="2"/>
        <v>1351.8804275839068</v>
      </c>
      <c r="O29" s="113">
        <f t="shared" si="3"/>
        <v>302821.21577879507</v>
      </c>
    </row>
    <row r="30" spans="1:15" x14ac:dyDescent="0.25">
      <c r="A30" s="13">
        <v>44459</v>
      </c>
      <c r="B30" s="97">
        <v>26399</v>
      </c>
      <c r="C30" t="s">
        <v>113</v>
      </c>
      <c r="D30" s="94" t="s">
        <v>404</v>
      </c>
      <c r="E30" t="s">
        <v>62</v>
      </c>
      <c r="F30" t="s">
        <v>573</v>
      </c>
      <c r="G30" s="50" t="s">
        <v>574</v>
      </c>
      <c r="H30" s="50">
        <v>2</v>
      </c>
      <c r="I30" s="100">
        <v>6.7391919697301583</v>
      </c>
      <c r="J30" s="52">
        <v>3834.68</v>
      </c>
      <c r="K30" s="67">
        <f t="shared" si="0"/>
        <v>682219.97644493741</v>
      </c>
      <c r="L30" s="95">
        <f>+VLOOKUP(E30,MARGEN!A:B,2,FALSE)</f>
        <v>0.1</v>
      </c>
      <c r="M30" s="112">
        <f t="shared" si="1"/>
        <v>68221.997644493749</v>
      </c>
      <c r="N30" s="113">
        <f t="shared" si="2"/>
        <v>2728.8799057797496</v>
      </c>
      <c r="O30" s="113">
        <f t="shared" si="3"/>
        <v>611269.09889466397</v>
      </c>
    </row>
    <row r="31" spans="1:15" x14ac:dyDescent="0.25">
      <c r="A31" s="13">
        <v>44459</v>
      </c>
      <c r="B31" s="97">
        <v>13079</v>
      </c>
      <c r="C31" t="s">
        <v>113</v>
      </c>
      <c r="D31" s="94" t="s">
        <v>501</v>
      </c>
      <c r="E31" t="s">
        <v>62</v>
      </c>
      <c r="F31" t="s">
        <v>573</v>
      </c>
      <c r="G31" s="50" t="s">
        <v>574</v>
      </c>
      <c r="H31" s="50">
        <v>2</v>
      </c>
      <c r="I31" s="100">
        <v>6.7391919697301583</v>
      </c>
      <c r="J31" s="52">
        <v>3834.68</v>
      </c>
      <c r="K31" s="67">
        <f t="shared" si="0"/>
        <v>337995.9495406393</v>
      </c>
      <c r="L31" s="95">
        <f>+VLOOKUP(E31,MARGEN!A:B,2,FALSE)</f>
        <v>0.1</v>
      </c>
      <c r="M31" s="112">
        <f t="shared" si="1"/>
        <v>33799.594954063934</v>
      </c>
      <c r="N31" s="113">
        <f t="shared" si="2"/>
        <v>1351.9837981625572</v>
      </c>
      <c r="O31" s="113">
        <f t="shared" si="3"/>
        <v>302844.37078841281</v>
      </c>
    </row>
    <row r="32" spans="1:15" x14ac:dyDescent="0.25">
      <c r="A32" s="13">
        <v>44460</v>
      </c>
      <c r="B32" s="97">
        <v>26399</v>
      </c>
      <c r="C32" s="88" t="s">
        <v>113</v>
      </c>
      <c r="D32" t="s">
        <v>404</v>
      </c>
      <c r="E32" t="s">
        <v>62</v>
      </c>
      <c r="F32" t="s">
        <v>573</v>
      </c>
      <c r="G32" s="50" t="s">
        <v>574</v>
      </c>
      <c r="H32" s="50">
        <v>2</v>
      </c>
      <c r="I32" s="100">
        <v>6.7391919697301583</v>
      </c>
      <c r="J32" s="52">
        <v>3834.68</v>
      </c>
      <c r="K32" s="67">
        <f t="shared" si="0"/>
        <v>682219.97644493741</v>
      </c>
      <c r="L32" s="95">
        <f>+VLOOKUP(E32,MARGEN!A:B,2,FALSE)</f>
        <v>0.1</v>
      </c>
      <c r="M32" s="112">
        <f t="shared" si="1"/>
        <v>68221.997644493749</v>
      </c>
      <c r="N32" s="113">
        <f t="shared" si="2"/>
        <v>2728.8799057797496</v>
      </c>
      <c r="O32" s="113">
        <f t="shared" si="3"/>
        <v>611269.09889466397</v>
      </c>
    </row>
    <row r="33" spans="1:15" x14ac:dyDescent="0.25">
      <c r="A33" s="13">
        <v>44460</v>
      </c>
      <c r="B33" s="97">
        <v>13079</v>
      </c>
      <c r="C33" t="s">
        <v>113</v>
      </c>
      <c r="D33" s="94" t="s">
        <v>501</v>
      </c>
      <c r="E33" t="s">
        <v>62</v>
      </c>
      <c r="F33" t="s">
        <v>573</v>
      </c>
      <c r="G33" s="50" t="s">
        <v>574</v>
      </c>
      <c r="H33" s="50">
        <v>2</v>
      </c>
      <c r="I33" s="100">
        <v>6.7391919697301583</v>
      </c>
      <c r="J33" s="52">
        <v>3834.68</v>
      </c>
      <c r="K33" s="67">
        <f t="shared" si="0"/>
        <v>337995.9495406393</v>
      </c>
      <c r="L33" s="95">
        <f>+VLOOKUP(E33,MARGEN!A:B,2,FALSE)</f>
        <v>0.1</v>
      </c>
      <c r="M33" s="112">
        <f t="shared" si="1"/>
        <v>33799.594954063934</v>
      </c>
      <c r="N33" s="113">
        <f t="shared" si="2"/>
        <v>1351.9837981625572</v>
      </c>
      <c r="O33" s="113">
        <f t="shared" si="3"/>
        <v>302844.37078841281</v>
      </c>
    </row>
    <row r="34" spans="1:15" x14ac:dyDescent="0.25">
      <c r="A34" s="13">
        <v>44461</v>
      </c>
      <c r="B34" s="97">
        <v>26399</v>
      </c>
      <c r="C34" t="s">
        <v>113</v>
      </c>
      <c r="D34" t="s">
        <v>404</v>
      </c>
      <c r="E34" t="s">
        <v>62</v>
      </c>
      <c r="F34" t="s">
        <v>573</v>
      </c>
      <c r="G34" s="50" t="s">
        <v>574</v>
      </c>
      <c r="H34" s="50">
        <v>2</v>
      </c>
      <c r="I34" s="100">
        <v>6.7391919697301583</v>
      </c>
      <c r="J34" s="52">
        <v>3834.68</v>
      </c>
      <c r="K34" s="67">
        <f t="shared" si="0"/>
        <v>682219.97644493741</v>
      </c>
      <c r="L34" s="95">
        <f>+VLOOKUP(E34,MARGEN!A:B,2,FALSE)</f>
        <v>0.1</v>
      </c>
      <c r="M34" s="112">
        <f t="shared" si="1"/>
        <v>68221.997644493749</v>
      </c>
      <c r="N34" s="113">
        <f t="shared" si="2"/>
        <v>2728.8799057797496</v>
      </c>
      <c r="O34" s="113">
        <f t="shared" si="3"/>
        <v>611269.09889466397</v>
      </c>
    </row>
    <row r="35" spans="1:15" x14ac:dyDescent="0.25">
      <c r="A35" s="13">
        <v>44461</v>
      </c>
      <c r="B35" s="97">
        <v>13079</v>
      </c>
      <c r="C35" t="s">
        <v>113</v>
      </c>
      <c r="D35" t="s">
        <v>501</v>
      </c>
      <c r="E35" t="s">
        <v>62</v>
      </c>
      <c r="F35" t="s">
        <v>573</v>
      </c>
      <c r="G35" s="50" t="s">
        <v>574</v>
      </c>
      <c r="H35" s="50">
        <v>2</v>
      </c>
      <c r="I35" s="100">
        <v>6.7391919697301583</v>
      </c>
      <c r="J35" s="52">
        <v>3834.68</v>
      </c>
      <c r="K35" s="67">
        <f t="shared" si="0"/>
        <v>337995.9495406393</v>
      </c>
      <c r="L35" s="95">
        <f>+VLOOKUP(E35,MARGEN!A:B,2,FALSE)</f>
        <v>0.1</v>
      </c>
      <c r="M35" s="112">
        <f t="shared" si="1"/>
        <v>33799.594954063934</v>
      </c>
      <c r="N35" s="113">
        <f t="shared" si="2"/>
        <v>1351.9837981625572</v>
      </c>
      <c r="O35" s="113">
        <f t="shared" si="3"/>
        <v>302844.37078841281</v>
      </c>
    </row>
    <row r="36" spans="1:15" x14ac:dyDescent="0.25">
      <c r="A36" s="13">
        <v>44462</v>
      </c>
      <c r="B36" s="97">
        <v>26399</v>
      </c>
      <c r="C36" t="s">
        <v>113</v>
      </c>
      <c r="D36" t="s">
        <v>404</v>
      </c>
      <c r="E36" t="s">
        <v>62</v>
      </c>
      <c r="F36" t="s">
        <v>573</v>
      </c>
      <c r="G36" s="50" t="s">
        <v>574</v>
      </c>
      <c r="H36" s="50">
        <v>2</v>
      </c>
      <c r="I36" s="100">
        <v>6.7391919697301583</v>
      </c>
      <c r="J36" s="52">
        <v>3834.68</v>
      </c>
      <c r="K36" s="67">
        <f t="shared" si="0"/>
        <v>682219.97644493741</v>
      </c>
      <c r="L36" s="95">
        <f>+VLOOKUP(E36,MARGEN!A:B,2,FALSE)</f>
        <v>0.1</v>
      </c>
      <c r="M36" s="112">
        <f t="shared" si="1"/>
        <v>68221.997644493749</v>
      </c>
      <c r="N36" s="113">
        <f t="shared" si="2"/>
        <v>2728.8799057797496</v>
      </c>
      <c r="O36" s="113">
        <f t="shared" si="3"/>
        <v>611269.09889466397</v>
      </c>
    </row>
    <row r="37" spans="1:15" x14ac:dyDescent="0.25">
      <c r="A37" s="13">
        <v>44462</v>
      </c>
      <c r="B37" s="97">
        <v>13079</v>
      </c>
      <c r="C37" t="s">
        <v>113</v>
      </c>
      <c r="D37" t="s">
        <v>501</v>
      </c>
      <c r="E37" t="s">
        <v>62</v>
      </c>
      <c r="F37" t="s">
        <v>573</v>
      </c>
      <c r="G37" s="50" t="s">
        <v>574</v>
      </c>
      <c r="H37" s="50">
        <v>2</v>
      </c>
      <c r="I37" s="100">
        <v>6.7391919697301583</v>
      </c>
      <c r="J37" s="52">
        <v>3834.68</v>
      </c>
      <c r="K37" s="67">
        <f t="shared" si="0"/>
        <v>337995.9495406393</v>
      </c>
      <c r="L37" s="95">
        <f>+VLOOKUP(E37,MARGEN!A:B,2,FALSE)</f>
        <v>0.1</v>
      </c>
      <c r="M37" s="112">
        <f t="shared" si="1"/>
        <v>33799.594954063934</v>
      </c>
      <c r="N37" s="113">
        <f t="shared" si="2"/>
        <v>1351.9837981625572</v>
      </c>
      <c r="O37" s="113">
        <f t="shared" si="3"/>
        <v>302844.37078841281</v>
      </c>
    </row>
    <row r="38" spans="1:15" x14ac:dyDescent="0.25">
      <c r="A38" s="43">
        <v>44463</v>
      </c>
      <c r="B38" s="97">
        <v>26399</v>
      </c>
      <c r="C38" s="88" t="s">
        <v>113</v>
      </c>
      <c r="D38" s="88" t="s">
        <v>404</v>
      </c>
      <c r="E38" t="s">
        <v>62</v>
      </c>
      <c r="F38" s="88" t="s">
        <v>573</v>
      </c>
      <c r="G38" s="50" t="s">
        <v>574</v>
      </c>
      <c r="H38" s="50">
        <v>2</v>
      </c>
      <c r="I38" s="100">
        <v>6.7391919697301583</v>
      </c>
      <c r="J38" s="52">
        <v>3834.68</v>
      </c>
      <c r="K38" s="67">
        <f t="shared" si="0"/>
        <v>682219.97644493741</v>
      </c>
      <c r="L38" s="95">
        <f>+VLOOKUP(E38,MARGEN!A:B,2,FALSE)</f>
        <v>0.1</v>
      </c>
      <c r="M38" s="112">
        <f t="shared" si="1"/>
        <v>68221.997644493749</v>
      </c>
      <c r="N38" s="113">
        <f t="shared" si="2"/>
        <v>2728.8799057797496</v>
      </c>
      <c r="O38" s="113">
        <f t="shared" si="3"/>
        <v>611269.09889466397</v>
      </c>
    </row>
    <row r="39" spans="1:15" x14ac:dyDescent="0.25">
      <c r="A39" s="13">
        <v>44463</v>
      </c>
      <c r="B39" s="97">
        <v>13079</v>
      </c>
      <c r="C39" t="s">
        <v>113</v>
      </c>
      <c r="D39" t="s">
        <v>501</v>
      </c>
      <c r="E39" t="s">
        <v>62</v>
      </c>
      <c r="F39" t="s">
        <v>573</v>
      </c>
      <c r="G39" s="50" t="s">
        <v>574</v>
      </c>
      <c r="H39" s="50">
        <v>2</v>
      </c>
      <c r="I39" s="100">
        <v>6.7391919697301583</v>
      </c>
      <c r="J39" s="52">
        <v>3834.68</v>
      </c>
      <c r="K39" s="67">
        <f t="shared" si="0"/>
        <v>337995.9495406393</v>
      </c>
      <c r="L39" s="95">
        <f>+VLOOKUP(E39,MARGEN!A:B,2,FALSE)</f>
        <v>0.1</v>
      </c>
      <c r="M39" s="112">
        <f t="shared" si="1"/>
        <v>33799.594954063934</v>
      </c>
      <c r="N39" s="113">
        <f t="shared" si="2"/>
        <v>1351.9837981625572</v>
      </c>
      <c r="O39" s="113">
        <f t="shared" si="3"/>
        <v>302844.37078841281</v>
      </c>
    </row>
    <row r="40" spans="1:15" x14ac:dyDescent="0.25">
      <c r="A40" s="13">
        <v>44464</v>
      </c>
      <c r="B40" s="97">
        <v>26399</v>
      </c>
      <c r="C40" t="s">
        <v>113</v>
      </c>
      <c r="D40" t="s">
        <v>404</v>
      </c>
      <c r="E40" t="s">
        <v>62</v>
      </c>
      <c r="F40" t="s">
        <v>573</v>
      </c>
      <c r="G40" s="50" t="s">
        <v>574</v>
      </c>
      <c r="H40" s="50">
        <v>2</v>
      </c>
      <c r="I40" s="100">
        <v>6.7391919697301583</v>
      </c>
      <c r="J40" s="52">
        <v>3834.68</v>
      </c>
      <c r="K40" s="67">
        <f t="shared" si="0"/>
        <v>682219.97644493741</v>
      </c>
      <c r="L40" s="95">
        <f>+VLOOKUP(E40,MARGEN!A:B,2,FALSE)</f>
        <v>0.1</v>
      </c>
      <c r="M40" s="112">
        <f t="shared" si="1"/>
        <v>68221.997644493749</v>
      </c>
      <c r="N40" s="113">
        <f t="shared" si="2"/>
        <v>2728.8799057797496</v>
      </c>
      <c r="O40" s="113">
        <f t="shared" si="3"/>
        <v>611269.09889466397</v>
      </c>
    </row>
    <row r="41" spans="1:15" x14ac:dyDescent="0.25">
      <c r="A41" s="43">
        <v>44464</v>
      </c>
      <c r="B41" s="51">
        <v>13079</v>
      </c>
      <c r="C41" s="66" t="s">
        <v>113</v>
      </c>
      <c r="D41" s="66" t="s">
        <v>501</v>
      </c>
      <c r="E41" t="s">
        <v>62</v>
      </c>
      <c r="F41" s="50" t="s">
        <v>573</v>
      </c>
      <c r="G41" s="50" t="s">
        <v>574</v>
      </c>
      <c r="H41" s="50">
        <v>2</v>
      </c>
      <c r="I41" s="100">
        <v>6.7391919697301583</v>
      </c>
      <c r="J41" s="52">
        <v>3834.68</v>
      </c>
      <c r="K41" s="67">
        <f t="shared" si="0"/>
        <v>337995.9495406393</v>
      </c>
      <c r="L41" s="95">
        <f>+VLOOKUP(E41,MARGEN!A:B,2,FALSE)</f>
        <v>0.1</v>
      </c>
      <c r="M41" s="112">
        <f t="shared" si="1"/>
        <v>33799.594954063934</v>
      </c>
      <c r="N41" s="113">
        <f t="shared" si="2"/>
        <v>1351.9837981625572</v>
      </c>
      <c r="O41" s="113">
        <f t="shared" si="3"/>
        <v>302844.37078841281</v>
      </c>
    </row>
    <row r="42" spans="1:15" x14ac:dyDescent="0.25">
      <c r="A42" s="43">
        <v>44465</v>
      </c>
      <c r="B42" s="51">
        <v>26399</v>
      </c>
      <c r="C42" s="66" t="s">
        <v>113</v>
      </c>
      <c r="D42" s="66" t="s">
        <v>404</v>
      </c>
      <c r="E42" t="s">
        <v>62</v>
      </c>
      <c r="F42" s="50" t="s">
        <v>573</v>
      </c>
      <c r="G42" s="50" t="s">
        <v>574</v>
      </c>
      <c r="H42" s="50">
        <v>2</v>
      </c>
      <c r="I42" s="100">
        <v>6.7391919697301583</v>
      </c>
      <c r="J42" s="52">
        <v>3834.68</v>
      </c>
      <c r="K42" s="67">
        <f t="shared" si="0"/>
        <v>682219.97644493741</v>
      </c>
      <c r="L42" s="95">
        <f>+VLOOKUP(E42,MARGEN!A:B,2,FALSE)</f>
        <v>0.1</v>
      </c>
      <c r="M42" s="112">
        <f t="shared" si="1"/>
        <v>68221.997644493749</v>
      </c>
      <c r="N42" s="113">
        <f t="shared" si="2"/>
        <v>2728.8799057797496</v>
      </c>
      <c r="O42" s="113">
        <f t="shared" si="3"/>
        <v>611269.09889466397</v>
      </c>
    </row>
    <row r="43" spans="1:15" x14ac:dyDescent="0.25">
      <c r="A43" s="43">
        <v>44465</v>
      </c>
      <c r="B43" s="51">
        <v>13079</v>
      </c>
      <c r="C43" s="66" t="s">
        <v>113</v>
      </c>
      <c r="D43" s="66" t="s">
        <v>501</v>
      </c>
      <c r="E43" t="s">
        <v>62</v>
      </c>
      <c r="F43" s="50" t="s">
        <v>573</v>
      </c>
      <c r="G43" s="50" t="s">
        <v>574</v>
      </c>
      <c r="H43" s="50">
        <v>2</v>
      </c>
      <c r="I43" s="100">
        <v>6.7391919697301583</v>
      </c>
      <c r="J43" s="52">
        <v>3834.68</v>
      </c>
      <c r="K43" s="67">
        <f t="shared" si="0"/>
        <v>337995.9495406393</v>
      </c>
      <c r="L43" s="95">
        <f>+VLOOKUP(E43,MARGEN!A:B,2,FALSE)</f>
        <v>0.1</v>
      </c>
      <c r="M43" s="112">
        <f t="shared" si="1"/>
        <v>33799.594954063934</v>
      </c>
      <c r="N43" s="113">
        <f t="shared" si="2"/>
        <v>1351.9837981625572</v>
      </c>
      <c r="O43" s="113">
        <f t="shared" si="3"/>
        <v>302844.37078841281</v>
      </c>
    </row>
    <row r="44" spans="1:15" x14ac:dyDescent="0.25">
      <c r="A44" s="43">
        <v>44466</v>
      </c>
      <c r="B44" s="51">
        <v>26399</v>
      </c>
      <c r="C44" s="66" t="s">
        <v>113</v>
      </c>
      <c r="D44" s="66" t="s">
        <v>404</v>
      </c>
      <c r="E44" t="s">
        <v>62</v>
      </c>
      <c r="F44" s="50" t="s">
        <v>573</v>
      </c>
      <c r="G44" s="50" t="s">
        <v>574</v>
      </c>
      <c r="H44" s="50">
        <v>2</v>
      </c>
      <c r="I44" s="100">
        <v>6.7391919697301583</v>
      </c>
      <c r="J44" s="52">
        <v>3834.68</v>
      </c>
      <c r="K44" s="67">
        <f t="shared" si="0"/>
        <v>682219.97644493741</v>
      </c>
      <c r="L44" s="95">
        <f>+VLOOKUP(E44,MARGEN!A:B,2,FALSE)</f>
        <v>0.1</v>
      </c>
      <c r="M44" s="112">
        <f t="shared" si="1"/>
        <v>68221.997644493749</v>
      </c>
      <c r="N44" s="113">
        <f t="shared" si="2"/>
        <v>2728.8799057797496</v>
      </c>
      <c r="O44" s="113">
        <f t="shared" si="3"/>
        <v>611269.09889466397</v>
      </c>
    </row>
    <row r="45" spans="1:15" x14ac:dyDescent="0.25">
      <c r="A45" s="43">
        <v>44466</v>
      </c>
      <c r="B45" s="51">
        <v>13079</v>
      </c>
      <c r="C45" s="66" t="s">
        <v>113</v>
      </c>
      <c r="D45" s="66" t="s">
        <v>501</v>
      </c>
      <c r="E45" t="s">
        <v>62</v>
      </c>
      <c r="F45" s="50" t="s">
        <v>573</v>
      </c>
      <c r="G45" s="50" t="s">
        <v>574</v>
      </c>
      <c r="H45" s="50">
        <v>2</v>
      </c>
      <c r="I45" s="100">
        <v>6.7391919697301583</v>
      </c>
      <c r="J45" s="52">
        <v>3834.68</v>
      </c>
      <c r="K45" s="67">
        <f t="shared" si="0"/>
        <v>337995.9495406393</v>
      </c>
      <c r="L45" s="95">
        <f>+VLOOKUP(E45,MARGEN!A:B,2,FALSE)</f>
        <v>0.1</v>
      </c>
      <c r="M45" s="112">
        <f t="shared" si="1"/>
        <v>33799.594954063934</v>
      </c>
      <c r="N45" s="113">
        <f t="shared" si="2"/>
        <v>1351.9837981625572</v>
      </c>
      <c r="O45" s="113">
        <f t="shared" si="3"/>
        <v>302844.37078841281</v>
      </c>
    </row>
    <row r="46" spans="1:15" x14ac:dyDescent="0.25">
      <c r="A46" s="43">
        <v>44467</v>
      </c>
      <c r="B46" s="51">
        <v>26399</v>
      </c>
      <c r="C46" s="66" t="s">
        <v>113</v>
      </c>
      <c r="D46" s="66" t="s">
        <v>404</v>
      </c>
      <c r="E46" t="s">
        <v>62</v>
      </c>
      <c r="F46" s="50" t="s">
        <v>573</v>
      </c>
      <c r="G46" s="50" t="s">
        <v>574</v>
      </c>
      <c r="H46" s="50">
        <v>2</v>
      </c>
      <c r="I46" s="100">
        <v>6.7391919697301583</v>
      </c>
      <c r="J46" s="52">
        <v>3834.68</v>
      </c>
      <c r="K46" s="67">
        <f t="shared" si="0"/>
        <v>682219.97644493741</v>
      </c>
      <c r="L46" s="95">
        <f>+VLOOKUP(E46,MARGEN!A:B,2,FALSE)</f>
        <v>0.1</v>
      </c>
      <c r="M46" s="112">
        <f t="shared" si="1"/>
        <v>68221.997644493749</v>
      </c>
      <c r="N46" s="113">
        <f t="shared" si="2"/>
        <v>2728.8799057797496</v>
      </c>
      <c r="O46" s="113">
        <f t="shared" si="3"/>
        <v>611269.09889466397</v>
      </c>
    </row>
    <row r="47" spans="1:15" x14ac:dyDescent="0.25">
      <c r="A47" s="43">
        <v>44467</v>
      </c>
      <c r="B47" s="51">
        <v>13079</v>
      </c>
      <c r="C47" s="66" t="s">
        <v>113</v>
      </c>
      <c r="D47" s="66" t="s">
        <v>501</v>
      </c>
      <c r="E47" t="s">
        <v>62</v>
      </c>
      <c r="F47" s="50" t="s">
        <v>573</v>
      </c>
      <c r="G47" s="50" t="s">
        <v>574</v>
      </c>
      <c r="H47" s="50">
        <v>2</v>
      </c>
      <c r="I47" s="100">
        <v>6.7391919697301583</v>
      </c>
      <c r="J47" s="52">
        <v>3834.68</v>
      </c>
      <c r="K47" s="67">
        <f t="shared" si="0"/>
        <v>337995.9495406393</v>
      </c>
      <c r="L47" s="95">
        <f>+VLOOKUP(E47,MARGEN!A:B,2,FALSE)</f>
        <v>0.1</v>
      </c>
      <c r="M47" s="112">
        <f t="shared" si="1"/>
        <v>33799.594954063934</v>
      </c>
      <c r="N47" s="113">
        <f t="shared" si="2"/>
        <v>1351.9837981625572</v>
      </c>
      <c r="O47" s="113">
        <f t="shared" si="3"/>
        <v>302844.37078841281</v>
      </c>
    </row>
    <row r="48" spans="1:15" x14ac:dyDescent="0.25">
      <c r="A48" s="43">
        <v>44468</v>
      </c>
      <c r="B48" s="51">
        <v>26399</v>
      </c>
      <c r="C48" s="66" t="s">
        <v>113</v>
      </c>
      <c r="D48" s="66" t="s">
        <v>404</v>
      </c>
      <c r="E48" t="s">
        <v>62</v>
      </c>
      <c r="F48" s="50" t="s">
        <v>573</v>
      </c>
      <c r="G48" s="50" t="s">
        <v>574</v>
      </c>
      <c r="H48" s="50">
        <v>2</v>
      </c>
      <c r="I48" s="100">
        <v>6.7391919697301583</v>
      </c>
      <c r="J48" s="52">
        <v>3834.68</v>
      </c>
      <c r="K48" s="67">
        <f t="shared" si="0"/>
        <v>682219.97644493741</v>
      </c>
      <c r="L48" s="95">
        <f>+VLOOKUP(E48,MARGEN!A:B,2,FALSE)</f>
        <v>0.1</v>
      </c>
      <c r="M48" s="112">
        <f t="shared" si="1"/>
        <v>68221.997644493749</v>
      </c>
      <c r="N48" s="113">
        <f t="shared" si="2"/>
        <v>2728.8799057797496</v>
      </c>
      <c r="O48" s="113">
        <f t="shared" si="3"/>
        <v>611269.09889466397</v>
      </c>
    </row>
    <row r="49" spans="1:15" x14ac:dyDescent="0.25">
      <c r="A49" s="43">
        <v>44468</v>
      </c>
      <c r="B49" s="51">
        <v>13079</v>
      </c>
      <c r="C49" s="66" t="s">
        <v>113</v>
      </c>
      <c r="D49" s="66" t="s">
        <v>501</v>
      </c>
      <c r="E49" t="s">
        <v>62</v>
      </c>
      <c r="F49" s="50" t="s">
        <v>573</v>
      </c>
      <c r="G49" s="50" t="s">
        <v>574</v>
      </c>
      <c r="H49" s="50">
        <v>2</v>
      </c>
      <c r="I49" s="100">
        <v>6.7391919697301583</v>
      </c>
      <c r="J49" s="52">
        <v>3834.68</v>
      </c>
      <c r="K49" s="67">
        <f t="shared" si="0"/>
        <v>337995.9495406393</v>
      </c>
      <c r="L49" s="95">
        <f>+VLOOKUP(E49,MARGEN!A:B,2,FALSE)</f>
        <v>0.1</v>
      </c>
      <c r="M49" s="112">
        <f t="shared" si="1"/>
        <v>33799.594954063934</v>
      </c>
      <c r="N49" s="113">
        <f t="shared" si="2"/>
        <v>1351.9837981625572</v>
      </c>
      <c r="O49" s="113">
        <f t="shared" si="3"/>
        <v>302844.37078841281</v>
      </c>
    </row>
    <row r="50" spans="1:15" x14ac:dyDescent="0.25">
      <c r="A50" s="43">
        <v>44469</v>
      </c>
      <c r="B50" s="51">
        <v>26399</v>
      </c>
      <c r="C50" s="66" t="s">
        <v>113</v>
      </c>
      <c r="D50" s="66" t="s">
        <v>404</v>
      </c>
      <c r="E50" t="s">
        <v>62</v>
      </c>
      <c r="F50" s="50" t="s">
        <v>573</v>
      </c>
      <c r="G50" s="50" t="s">
        <v>574</v>
      </c>
      <c r="H50" s="50">
        <v>2</v>
      </c>
      <c r="I50" s="100">
        <v>6.7391919697301583</v>
      </c>
      <c r="J50" s="52">
        <v>3834.68</v>
      </c>
      <c r="K50" s="67">
        <f t="shared" si="0"/>
        <v>682219.97644493741</v>
      </c>
      <c r="L50" s="95">
        <f>+VLOOKUP(E50,MARGEN!A:B,2,FALSE)</f>
        <v>0.1</v>
      </c>
      <c r="M50" s="112">
        <f t="shared" si="1"/>
        <v>68221.997644493749</v>
      </c>
      <c r="N50" s="113">
        <f t="shared" si="2"/>
        <v>2728.8799057797496</v>
      </c>
      <c r="O50" s="113">
        <f t="shared" si="3"/>
        <v>611269.09889466397</v>
      </c>
    </row>
    <row r="51" spans="1:15" x14ac:dyDescent="0.25">
      <c r="A51" s="43">
        <v>44469</v>
      </c>
      <c r="B51" s="51">
        <v>13079</v>
      </c>
      <c r="C51" s="66" t="s">
        <v>113</v>
      </c>
      <c r="D51" s="66" t="s">
        <v>501</v>
      </c>
      <c r="E51" t="s">
        <v>62</v>
      </c>
      <c r="F51" s="50" t="s">
        <v>573</v>
      </c>
      <c r="G51" s="50" t="s">
        <v>574</v>
      </c>
      <c r="H51" s="50">
        <v>2</v>
      </c>
      <c r="I51" s="100">
        <v>6.7391919697301583</v>
      </c>
      <c r="J51" s="52">
        <v>3834.68</v>
      </c>
      <c r="K51" s="67">
        <f t="shared" si="0"/>
        <v>337995.9495406393</v>
      </c>
      <c r="L51" s="95">
        <f>+VLOOKUP(E51,MARGEN!A:B,2,FALSE)</f>
        <v>0.1</v>
      </c>
      <c r="M51" s="112">
        <f t="shared" si="1"/>
        <v>33799.594954063934</v>
      </c>
      <c r="N51" s="113">
        <f t="shared" si="2"/>
        <v>1351.9837981625572</v>
      </c>
      <c r="O51" s="113">
        <f t="shared" si="3"/>
        <v>302844.37078841281</v>
      </c>
    </row>
    <row r="52" spans="1:15" x14ac:dyDescent="0.25">
      <c r="A52" s="13">
        <v>44447</v>
      </c>
      <c r="B52" s="97">
        <v>40304</v>
      </c>
      <c r="C52" t="s">
        <v>212</v>
      </c>
      <c r="D52" s="94" t="s">
        <v>424</v>
      </c>
      <c r="E52" t="s">
        <v>204</v>
      </c>
      <c r="F52" t="s">
        <v>572</v>
      </c>
      <c r="G52" s="50" t="s">
        <v>243</v>
      </c>
      <c r="H52" s="50">
        <v>2</v>
      </c>
      <c r="I52" s="100">
        <v>6.7391919697301583</v>
      </c>
      <c r="J52" s="52">
        <v>3834.68</v>
      </c>
      <c r="K52" s="67">
        <f t="shared" si="0"/>
        <v>1041561.9504767891</v>
      </c>
      <c r="L52" s="95">
        <f>+VLOOKUP(E52,MARGEN!A:B,2,FALSE)</f>
        <v>0.1</v>
      </c>
      <c r="M52" s="112">
        <f t="shared" si="1"/>
        <v>104156.19504767892</v>
      </c>
      <c r="N52" s="113">
        <f t="shared" si="2"/>
        <v>4166.2478019071568</v>
      </c>
      <c r="O52" s="113">
        <f t="shared" si="3"/>
        <v>933239.50762720313</v>
      </c>
    </row>
    <row r="53" spans="1:15" x14ac:dyDescent="0.25">
      <c r="A53" s="13">
        <v>44447</v>
      </c>
      <c r="B53" s="51">
        <v>21603</v>
      </c>
      <c r="C53" s="66" t="s">
        <v>212</v>
      </c>
      <c r="D53" s="66" t="s">
        <v>421</v>
      </c>
      <c r="E53" t="s">
        <v>204</v>
      </c>
      <c r="F53" s="50" t="s">
        <v>572</v>
      </c>
      <c r="G53" s="50" t="s">
        <v>243</v>
      </c>
      <c r="H53" s="50">
        <v>2</v>
      </c>
      <c r="I53" s="100">
        <v>6.7391919697301583</v>
      </c>
      <c r="J53" s="52">
        <v>3834.68</v>
      </c>
      <c r="K53" s="67">
        <f t="shared" si="0"/>
        <v>558278.65264366008</v>
      </c>
      <c r="L53" s="95">
        <f>+VLOOKUP(E53,MARGEN!A:B,2,FALSE)</f>
        <v>0.1</v>
      </c>
      <c r="M53" s="112">
        <f t="shared" si="1"/>
        <v>55827.86526436601</v>
      </c>
      <c r="N53" s="113">
        <f t="shared" si="2"/>
        <v>2233.1146105746402</v>
      </c>
      <c r="O53" s="113">
        <f t="shared" si="3"/>
        <v>500217.67276871944</v>
      </c>
    </row>
    <row r="54" spans="1:15" x14ac:dyDescent="0.25">
      <c r="A54" s="13">
        <v>44454</v>
      </c>
      <c r="B54" s="97">
        <v>40336</v>
      </c>
      <c r="C54" t="s">
        <v>212</v>
      </c>
      <c r="D54" s="94" t="s">
        <v>424</v>
      </c>
      <c r="E54" t="s">
        <v>204</v>
      </c>
      <c r="F54" t="s">
        <v>551</v>
      </c>
      <c r="G54" s="50" t="s">
        <v>205</v>
      </c>
      <c r="H54" s="50">
        <v>2</v>
      </c>
      <c r="I54" s="100">
        <v>6.7391919697301583</v>
      </c>
      <c r="J54" s="52">
        <v>3834.68</v>
      </c>
      <c r="K54" s="67">
        <f t="shared" si="0"/>
        <v>1042388.9151059885</v>
      </c>
      <c r="L54" s="95">
        <f>+VLOOKUP(E54,MARGEN!A:B,2,FALSE)</f>
        <v>0.1</v>
      </c>
      <c r="M54" s="112">
        <f t="shared" si="1"/>
        <v>104238.89151059886</v>
      </c>
      <c r="N54" s="113">
        <f t="shared" si="2"/>
        <v>4169.5556604239537</v>
      </c>
      <c r="O54" s="113">
        <f t="shared" si="3"/>
        <v>933980.46793496574</v>
      </c>
    </row>
    <row r="55" spans="1:15" x14ac:dyDescent="0.25">
      <c r="A55" s="13">
        <v>44454</v>
      </c>
      <c r="B55" s="97">
        <v>21619</v>
      </c>
      <c r="C55" t="s">
        <v>212</v>
      </c>
      <c r="D55" s="94" t="s">
        <v>421</v>
      </c>
      <c r="E55" t="s">
        <v>204</v>
      </c>
      <c r="F55" t="s">
        <v>551</v>
      </c>
      <c r="G55" s="50" t="s">
        <v>205</v>
      </c>
      <c r="H55" s="50">
        <v>2</v>
      </c>
      <c r="I55" s="100">
        <v>6.7391919697301583</v>
      </c>
      <c r="J55" s="52">
        <v>3834.68</v>
      </c>
      <c r="K55" s="67">
        <f t="shared" si="0"/>
        <v>558692.13495825964</v>
      </c>
      <c r="L55" s="95">
        <f>+VLOOKUP(E55,MARGEN!A:B,2,FALSE)</f>
        <v>0.1</v>
      </c>
      <c r="M55" s="112">
        <f t="shared" si="1"/>
        <v>55869.21349582597</v>
      </c>
      <c r="N55" s="113">
        <f t="shared" si="2"/>
        <v>2234.7685398330386</v>
      </c>
      <c r="O55" s="113">
        <f t="shared" si="3"/>
        <v>500588.15292260062</v>
      </c>
    </row>
    <row r="56" spans="1:15" x14ac:dyDescent="0.25">
      <c r="A56" s="13">
        <v>44455</v>
      </c>
      <c r="B56" s="97">
        <v>40339</v>
      </c>
      <c r="C56" t="s">
        <v>212</v>
      </c>
      <c r="D56" s="94" t="s">
        <v>424</v>
      </c>
      <c r="E56" t="s">
        <v>204</v>
      </c>
      <c r="F56" t="s">
        <v>558</v>
      </c>
      <c r="G56" s="50" t="s">
        <v>559</v>
      </c>
      <c r="H56" s="50">
        <v>2</v>
      </c>
      <c r="I56" s="100">
        <v>6.7391919697301583</v>
      </c>
      <c r="J56" s="52">
        <v>3834.68</v>
      </c>
      <c r="K56" s="67">
        <f t="shared" si="0"/>
        <v>1042466.4430399762</v>
      </c>
      <c r="L56" s="95">
        <f>+VLOOKUP(E56,MARGEN!A:B,2,FALSE)</f>
        <v>0.1</v>
      </c>
      <c r="M56" s="112">
        <f t="shared" si="1"/>
        <v>104246.64430399763</v>
      </c>
      <c r="N56" s="113">
        <f t="shared" si="2"/>
        <v>4169.8657721599047</v>
      </c>
      <c r="O56" s="113">
        <f t="shared" si="3"/>
        <v>934049.93296381866</v>
      </c>
    </row>
    <row r="57" spans="1:15" x14ac:dyDescent="0.25">
      <c r="A57" s="13">
        <v>44455</v>
      </c>
      <c r="B57" s="97">
        <v>21621</v>
      </c>
      <c r="C57" t="s">
        <v>212</v>
      </c>
      <c r="D57" s="94" t="s">
        <v>421</v>
      </c>
      <c r="E57" t="s">
        <v>204</v>
      </c>
      <c r="F57" t="s">
        <v>558</v>
      </c>
      <c r="G57" s="50" t="s">
        <v>559</v>
      </c>
      <c r="H57" s="50">
        <v>2</v>
      </c>
      <c r="I57" s="100">
        <v>6.7391919697301583</v>
      </c>
      <c r="J57" s="52">
        <v>3834.68</v>
      </c>
      <c r="K57" s="67">
        <f t="shared" si="0"/>
        <v>558743.82024758484</v>
      </c>
      <c r="L57" s="95">
        <f>+VLOOKUP(E57,MARGEN!A:B,2,FALSE)</f>
        <v>0.1</v>
      </c>
      <c r="M57" s="112">
        <f t="shared" si="1"/>
        <v>55874.382024758488</v>
      </c>
      <c r="N57" s="113">
        <f t="shared" si="2"/>
        <v>2234.9752809903393</v>
      </c>
      <c r="O57" s="113">
        <f t="shared" si="3"/>
        <v>500634.46294183598</v>
      </c>
    </row>
    <row r="58" spans="1:15" x14ac:dyDescent="0.25">
      <c r="A58" s="13">
        <v>44456</v>
      </c>
      <c r="B58" s="97">
        <v>40336</v>
      </c>
      <c r="C58" t="s">
        <v>212</v>
      </c>
      <c r="D58" s="94" t="s">
        <v>424</v>
      </c>
      <c r="E58" t="s">
        <v>204</v>
      </c>
      <c r="F58" t="s">
        <v>551</v>
      </c>
      <c r="G58" s="50" t="s">
        <v>205</v>
      </c>
      <c r="H58" s="50">
        <v>2</v>
      </c>
      <c r="I58" s="100">
        <v>6.7391919697301583</v>
      </c>
      <c r="J58" s="52">
        <v>3834.68</v>
      </c>
      <c r="K58" s="67">
        <f t="shared" si="0"/>
        <v>1042388.9151059885</v>
      </c>
      <c r="L58" s="95">
        <f>+VLOOKUP(E58,MARGEN!A:B,2,FALSE)</f>
        <v>0.1</v>
      </c>
      <c r="M58" s="112">
        <f t="shared" si="1"/>
        <v>104238.89151059886</v>
      </c>
      <c r="N58" s="113">
        <f t="shared" si="2"/>
        <v>4169.5556604239537</v>
      </c>
      <c r="O58" s="113">
        <f t="shared" si="3"/>
        <v>933980.46793496574</v>
      </c>
    </row>
    <row r="59" spans="1:15" x14ac:dyDescent="0.25">
      <c r="A59" s="13">
        <v>44456</v>
      </c>
      <c r="B59" s="97">
        <v>21619</v>
      </c>
      <c r="C59" t="s">
        <v>212</v>
      </c>
      <c r="D59" s="94" t="s">
        <v>421</v>
      </c>
      <c r="E59" t="s">
        <v>204</v>
      </c>
      <c r="F59" t="s">
        <v>551</v>
      </c>
      <c r="G59" s="50" t="s">
        <v>205</v>
      </c>
      <c r="H59" s="50">
        <v>2</v>
      </c>
      <c r="I59" s="100">
        <v>6.7391919697301583</v>
      </c>
      <c r="J59" s="52">
        <v>3834.68</v>
      </c>
      <c r="K59" s="67">
        <f t="shared" si="0"/>
        <v>558692.13495825964</v>
      </c>
      <c r="L59" s="95">
        <f>+VLOOKUP(E59,MARGEN!A:B,2,FALSE)</f>
        <v>0.1</v>
      </c>
      <c r="M59" s="112">
        <f t="shared" si="1"/>
        <v>55869.21349582597</v>
      </c>
      <c r="N59" s="113">
        <f t="shared" si="2"/>
        <v>2234.7685398330386</v>
      </c>
      <c r="O59" s="113">
        <f t="shared" si="3"/>
        <v>500588.15292260062</v>
      </c>
    </row>
    <row r="60" spans="1:15" x14ac:dyDescent="0.25">
      <c r="A60" s="43">
        <v>44457</v>
      </c>
      <c r="B60" s="51">
        <v>40343</v>
      </c>
      <c r="C60" s="66" t="s">
        <v>212</v>
      </c>
      <c r="D60" s="66" t="s">
        <v>424</v>
      </c>
      <c r="E60" t="s">
        <v>204</v>
      </c>
      <c r="F60" s="50" t="s">
        <v>573</v>
      </c>
      <c r="G60" s="50" t="s">
        <v>574</v>
      </c>
      <c r="H60" s="50">
        <v>2</v>
      </c>
      <c r="I60" s="100">
        <v>6.7391919697301583</v>
      </c>
      <c r="J60" s="52">
        <v>3834.68</v>
      </c>
      <c r="K60" s="67">
        <f t="shared" si="0"/>
        <v>1042569.813618626</v>
      </c>
      <c r="L60" s="95">
        <f>+VLOOKUP(E60,MARGEN!A:B,2,FALSE)</f>
        <v>0.1</v>
      </c>
      <c r="M60" s="112">
        <f t="shared" si="1"/>
        <v>104256.98136186261</v>
      </c>
      <c r="N60" s="113">
        <f t="shared" si="2"/>
        <v>4170.2792544745043</v>
      </c>
      <c r="O60" s="113">
        <f t="shared" si="3"/>
        <v>934142.5530022888</v>
      </c>
    </row>
    <row r="61" spans="1:15" x14ac:dyDescent="0.25">
      <c r="A61" s="43">
        <v>44457</v>
      </c>
      <c r="B61" s="51">
        <v>21623</v>
      </c>
      <c r="C61" s="66" t="s">
        <v>212</v>
      </c>
      <c r="D61" s="66" t="s">
        <v>421</v>
      </c>
      <c r="E61" t="s">
        <v>204</v>
      </c>
      <c r="F61" s="50" t="s">
        <v>573</v>
      </c>
      <c r="G61" s="50" t="s">
        <v>574</v>
      </c>
      <c r="H61" s="50">
        <v>2</v>
      </c>
      <c r="I61" s="100">
        <v>6.7391919697301583</v>
      </c>
      <c r="J61" s="52">
        <v>3834.68</v>
      </c>
      <c r="K61" s="67">
        <f t="shared" si="0"/>
        <v>558795.50553690968</v>
      </c>
      <c r="L61" s="95">
        <f>+VLOOKUP(E61,MARGEN!A:B,2,FALSE)</f>
        <v>0.1</v>
      </c>
      <c r="M61" s="112">
        <f t="shared" si="1"/>
        <v>55879.55055369097</v>
      </c>
      <c r="N61" s="113">
        <f t="shared" si="2"/>
        <v>2235.1820221476387</v>
      </c>
      <c r="O61" s="113">
        <f t="shared" si="3"/>
        <v>500680.77296107105</v>
      </c>
    </row>
    <row r="62" spans="1:15" x14ac:dyDescent="0.25">
      <c r="A62" s="43">
        <v>44458</v>
      </c>
      <c r="B62" s="51">
        <v>40343</v>
      </c>
      <c r="C62" s="66" t="s">
        <v>212</v>
      </c>
      <c r="D62" s="66" t="s">
        <v>424</v>
      </c>
      <c r="E62" t="s">
        <v>204</v>
      </c>
      <c r="F62" s="50" t="s">
        <v>573</v>
      </c>
      <c r="G62" s="50" t="s">
        <v>574</v>
      </c>
      <c r="H62" s="50">
        <v>2</v>
      </c>
      <c r="I62" s="100">
        <v>6.7391919697301583</v>
      </c>
      <c r="J62" s="52">
        <v>3834.68</v>
      </c>
      <c r="K62" s="67">
        <f t="shared" si="0"/>
        <v>1042569.813618626</v>
      </c>
      <c r="L62" s="95">
        <f>+VLOOKUP(E62,MARGEN!A:B,2,FALSE)</f>
        <v>0.1</v>
      </c>
      <c r="M62" s="112">
        <f t="shared" si="1"/>
        <v>104256.98136186261</v>
      </c>
      <c r="N62" s="113">
        <f t="shared" si="2"/>
        <v>4170.2792544745043</v>
      </c>
      <c r="O62" s="113">
        <f t="shared" si="3"/>
        <v>934142.5530022888</v>
      </c>
    </row>
    <row r="63" spans="1:15" x14ac:dyDescent="0.25">
      <c r="A63" s="43">
        <v>44458</v>
      </c>
      <c r="B63" s="51">
        <v>21623</v>
      </c>
      <c r="C63" s="66" t="s">
        <v>212</v>
      </c>
      <c r="D63" s="66" t="s">
        <v>421</v>
      </c>
      <c r="E63" t="s">
        <v>204</v>
      </c>
      <c r="F63" s="50" t="s">
        <v>573</v>
      </c>
      <c r="G63" s="50" t="s">
        <v>574</v>
      </c>
      <c r="H63" s="50">
        <v>2</v>
      </c>
      <c r="I63" s="100">
        <v>6.7391919697301583</v>
      </c>
      <c r="J63" s="52">
        <v>3834.68</v>
      </c>
      <c r="K63" s="67">
        <f t="shared" si="0"/>
        <v>558795.50553690968</v>
      </c>
      <c r="L63" s="95">
        <f>+VLOOKUP(E63,MARGEN!A:B,2,FALSE)</f>
        <v>0.1</v>
      </c>
      <c r="M63" s="112">
        <f t="shared" si="1"/>
        <v>55879.55055369097</v>
      </c>
      <c r="N63" s="113">
        <f t="shared" si="2"/>
        <v>2235.1820221476387</v>
      </c>
      <c r="O63" s="113">
        <f t="shared" si="3"/>
        <v>500680.77296107105</v>
      </c>
    </row>
    <row r="64" spans="1:15" x14ac:dyDescent="0.25">
      <c r="A64" s="13">
        <v>44459</v>
      </c>
      <c r="B64" s="97">
        <v>40343</v>
      </c>
      <c r="C64" t="s">
        <v>212</v>
      </c>
      <c r="D64" s="94" t="s">
        <v>424</v>
      </c>
      <c r="E64" t="s">
        <v>204</v>
      </c>
      <c r="F64" t="s">
        <v>573</v>
      </c>
      <c r="G64" s="50" t="s">
        <v>574</v>
      </c>
      <c r="H64" s="50">
        <v>2</v>
      </c>
      <c r="I64" s="100">
        <v>6.7391919697301583</v>
      </c>
      <c r="J64" s="52">
        <v>3834.68</v>
      </c>
      <c r="K64" s="67">
        <f t="shared" si="0"/>
        <v>1042569.813618626</v>
      </c>
      <c r="L64" s="95">
        <f>+VLOOKUP(E64,MARGEN!A:B,2,FALSE)</f>
        <v>0.1</v>
      </c>
      <c r="M64" s="112">
        <f t="shared" si="1"/>
        <v>104256.98136186261</v>
      </c>
      <c r="N64" s="113">
        <f t="shared" si="2"/>
        <v>4170.2792544745043</v>
      </c>
      <c r="O64" s="113">
        <f t="shared" si="3"/>
        <v>934142.5530022888</v>
      </c>
    </row>
    <row r="65" spans="1:15" x14ac:dyDescent="0.25">
      <c r="A65" s="13">
        <v>44459</v>
      </c>
      <c r="B65" s="51">
        <v>21623</v>
      </c>
      <c r="C65" s="66" t="s">
        <v>212</v>
      </c>
      <c r="D65" s="66" t="s">
        <v>421</v>
      </c>
      <c r="E65" t="s">
        <v>204</v>
      </c>
      <c r="F65" s="50" t="s">
        <v>573</v>
      </c>
      <c r="G65" s="50" t="s">
        <v>574</v>
      </c>
      <c r="H65" s="50">
        <v>2</v>
      </c>
      <c r="I65" s="100">
        <v>6.7391919697301583</v>
      </c>
      <c r="J65" s="52">
        <v>3834.68</v>
      </c>
      <c r="K65" s="67">
        <f t="shared" si="0"/>
        <v>558795.50553690968</v>
      </c>
      <c r="L65" s="95">
        <f>+VLOOKUP(E65,MARGEN!A:B,2,FALSE)</f>
        <v>0.1</v>
      </c>
      <c r="M65" s="112">
        <f t="shared" si="1"/>
        <v>55879.55055369097</v>
      </c>
      <c r="N65" s="113">
        <f t="shared" si="2"/>
        <v>2235.1820221476387</v>
      </c>
      <c r="O65" s="113">
        <f t="shared" si="3"/>
        <v>500680.77296107105</v>
      </c>
    </row>
    <row r="66" spans="1:15" x14ac:dyDescent="0.25">
      <c r="A66" s="13">
        <v>44460</v>
      </c>
      <c r="B66" s="97">
        <v>40343</v>
      </c>
      <c r="C66" t="s">
        <v>212</v>
      </c>
      <c r="D66" s="94" t="s">
        <v>424</v>
      </c>
      <c r="E66" t="s">
        <v>204</v>
      </c>
      <c r="F66" t="s">
        <v>573</v>
      </c>
      <c r="G66" s="50" t="s">
        <v>574</v>
      </c>
      <c r="H66" s="50">
        <v>2</v>
      </c>
      <c r="I66" s="100">
        <v>6.7391919697301583</v>
      </c>
      <c r="J66" s="52">
        <v>3834.68</v>
      </c>
      <c r="K66" s="67">
        <f t="shared" ref="K66:K129" si="4">+B66*I66*J66/1000</f>
        <v>1042569.813618626</v>
      </c>
      <c r="L66" s="95">
        <f>+VLOOKUP(E66,MARGEN!A:B,2,FALSE)</f>
        <v>0.1</v>
      </c>
      <c r="M66" s="112">
        <f t="shared" si="1"/>
        <v>104256.98136186261</v>
      </c>
      <c r="N66" s="113">
        <f t="shared" si="2"/>
        <v>4170.2792544745043</v>
      </c>
      <c r="O66" s="113">
        <f t="shared" si="3"/>
        <v>934142.5530022888</v>
      </c>
    </row>
    <row r="67" spans="1:15" x14ac:dyDescent="0.25">
      <c r="A67" s="13">
        <v>44460</v>
      </c>
      <c r="B67" s="97">
        <v>21623</v>
      </c>
      <c r="C67" t="s">
        <v>212</v>
      </c>
      <c r="D67" s="94" t="s">
        <v>421</v>
      </c>
      <c r="E67" t="s">
        <v>204</v>
      </c>
      <c r="F67" t="s">
        <v>573</v>
      </c>
      <c r="G67" s="50" t="s">
        <v>574</v>
      </c>
      <c r="H67" s="50">
        <v>2</v>
      </c>
      <c r="I67" s="100">
        <v>6.7391919697301583</v>
      </c>
      <c r="J67" s="52">
        <v>3834.68</v>
      </c>
      <c r="K67" s="67">
        <f t="shared" si="4"/>
        <v>558795.50553690968</v>
      </c>
      <c r="L67" s="95">
        <f>+VLOOKUP(E67,MARGEN!A:B,2,FALSE)</f>
        <v>0.1</v>
      </c>
      <c r="M67" s="112">
        <f t="shared" ref="M67:M130" si="5">+K67*L67</f>
        <v>55879.55055369097</v>
      </c>
      <c r="N67" s="113">
        <f t="shared" ref="N67:N130" si="6">+K67*4/1000</f>
        <v>2235.1820221476387</v>
      </c>
      <c r="O67" s="113">
        <f t="shared" ref="O67:O130" si="7">+K67-M67-N67</f>
        <v>500680.77296107105</v>
      </c>
    </row>
    <row r="68" spans="1:15" x14ac:dyDescent="0.25">
      <c r="A68" s="13">
        <v>44461</v>
      </c>
      <c r="B68" s="97">
        <v>40343</v>
      </c>
      <c r="C68" t="s">
        <v>212</v>
      </c>
      <c r="D68" t="s">
        <v>424</v>
      </c>
      <c r="E68" t="s">
        <v>204</v>
      </c>
      <c r="F68" t="s">
        <v>573</v>
      </c>
      <c r="G68" s="50" t="s">
        <v>574</v>
      </c>
      <c r="H68" s="50">
        <v>2</v>
      </c>
      <c r="I68" s="100">
        <v>6.7391919697301583</v>
      </c>
      <c r="J68" s="52">
        <v>3834.68</v>
      </c>
      <c r="K68" s="67">
        <f t="shared" si="4"/>
        <v>1042569.813618626</v>
      </c>
      <c r="L68" s="95">
        <f>+VLOOKUP(E68,MARGEN!A:B,2,FALSE)</f>
        <v>0.1</v>
      </c>
      <c r="M68" s="112">
        <f t="shared" si="5"/>
        <v>104256.98136186261</v>
      </c>
      <c r="N68" s="113">
        <f t="shared" si="6"/>
        <v>4170.2792544745043</v>
      </c>
      <c r="O68" s="113">
        <f t="shared" si="7"/>
        <v>934142.5530022888</v>
      </c>
    </row>
    <row r="69" spans="1:15" x14ac:dyDescent="0.25">
      <c r="A69" s="13">
        <v>44461</v>
      </c>
      <c r="B69" s="97">
        <v>21623</v>
      </c>
      <c r="C69" t="s">
        <v>212</v>
      </c>
      <c r="D69" t="s">
        <v>421</v>
      </c>
      <c r="E69" t="s">
        <v>204</v>
      </c>
      <c r="F69" t="s">
        <v>573</v>
      </c>
      <c r="G69" s="50" t="s">
        <v>574</v>
      </c>
      <c r="H69" s="50">
        <v>2</v>
      </c>
      <c r="I69" s="100">
        <v>6.7391919697301583</v>
      </c>
      <c r="J69" s="52">
        <v>3834.68</v>
      </c>
      <c r="K69" s="67">
        <f t="shared" si="4"/>
        <v>558795.50553690968</v>
      </c>
      <c r="L69" s="95">
        <f>+VLOOKUP(E69,MARGEN!A:B,2,FALSE)</f>
        <v>0.1</v>
      </c>
      <c r="M69" s="112">
        <f t="shared" si="5"/>
        <v>55879.55055369097</v>
      </c>
      <c r="N69" s="113">
        <f t="shared" si="6"/>
        <v>2235.1820221476387</v>
      </c>
      <c r="O69" s="113">
        <f t="shared" si="7"/>
        <v>500680.77296107105</v>
      </c>
    </row>
    <row r="70" spans="1:15" x14ac:dyDescent="0.25">
      <c r="A70" s="13">
        <v>44462</v>
      </c>
      <c r="B70" s="97">
        <v>40343</v>
      </c>
      <c r="C70" t="s">
        <v>212</v>
      </c>
      <c r="D70" t="s">
        <v>424</v>
      </c>
      <c r="E70" t="s">
        <v>204</v>
      </c>
      <c r="F70" t="s">
        <v>573</v>
      </c>
      <c r="G70" s="50" t="s">
        <v>574</v>
      </c>
      <c r="H70" s="50">
        <v>2</v>
      </c>
      <c r="I70" s="100">
        <v>6.7391919697301583</v>
      </c>
      <c r="J70" s="52">
        <v>3834.68</v>
      </c>
      <c r="K70" s="67">
        <f t="shared" si="4"/>
        <v>1042569.813618626</v>
      </c>
      <c r="L70" s="95">
        <f>+VLOOKUP(E70,MARGEN!A:B,2,FALSE)</f>
        <v>0.1</v>
      </c>
      <c r="M70" s="112">
        <f t="shared" si="5"/>
        <v>104256.98136186261</v>
      </c>
      <c r="N70" s="113">
        <f t="shared" si="6"/>
        <v>4170.2792544745043</v>
      </c>
      <c r="O70" s="113">
        <f t="shared" si="7"/>
        <v>934142.5530022888</v>
      </c>
    </row>
    <row r="71" spans="1:15" x14ac:dyDescent="0.25">
      <c r="A71" s="13">
        <v>44462</v>
      </c>
      <c r="B71" s="97">
        <v>21623</v>
      </c>
      <c r="C71" t="s">
        <v>212</v>
      </c>
      <c r="D71" t="s">
        <v>421</v>
      </c>
      <c r="E71" t="s">
        <v>204</v>
      </c>
      <c r="F71" t="s">
        <v>573</v>
      </c>
      <c r="G71" s="50" t="s">
        <v>574</v>
      </c>
      <c r="H71" s="50">
        <v>2</v>
      </c>
      <c r="I71" s="100">
        <v>6.7391919697301583</v>
      </c>
      <c r="J71" s="52">
        <v>3834.68</v>
      </c>
      <c r="K71" s="67">
        <f t="shared" si="4"/>
        <v>558795.50553690968</v>
      </c>
      <c r="L71" s="95">
        <f>+VLOOKUP(E71,MARGEN!A:B,2,FALSE)</f>
        <v>0.1</v>
      </c>
      <c r="M71" s="112">
        <f t="shared" si="5"/>
        <v>55879.55055369097</v>
      </c>
      <c r="N71" s="113">
        <f t="shared" si="6"/>
        <v>2235.1820221476387</v>
      </c>
      <c r="O71" s="113">
        <f t="shared" si="7"/>
        <v>500680.77296107105</v>
      </c>
    </row>
    <row r="72" spans="1:15" x14ac:dyDescent="0.25">
      <c r="A72" s="13">
        <v>44463</v>
      </c>
      <c r="B72" s="97">
        <v>40343</v>
      </c>
      <c r="C72" t="s">
        <v>212</v>
      </c>
      <c r="D72" t="s">
        <v>424</v>
      </c>
      <c r="E72" t="s">
        <v>204</v>
      </c>
      <c r="F72" t="s">
        <v>573</v>
      </c>
      <c r="G72" s="50" t="s">
        <v>574</v>
      </c>
      <c r="H72" s="50">
        <v>2</v>
      </c>
      <c r="I72" s="100">
        <v>6.7391919697301583</v>
      </c>
      <c r="J72" s="52">
        <v>3834.68</v>
      </c>
      <c r="K72" s="67">
        <f t="shared" si="4"/>
        <v>1042569.813618626</v>
      </c>
      <c r="L72" s="95">
        <f>+VLOOKUP(E72,MARGEN!A:B,2,FALSE)</f>
        <v>0.1</v>
      </c>
      <c r="M72" s="112">
        <f t="shared" si="5"/>
        <v>104256.98136186261</v>
      </c>
      <c r="N72" s="113">
        <f t="shared" si="6"/>
        <v>4170.2792544745043</v>
      </c>
      <c r="O72" s="113">
        <f t="shared" si="7"/>
        <v>934142.5530022888</v>
      </c>
    </row>
    <row r="73" spans="1:15" x14ac:dyDescent="0.25">
      <c r="A73" s="13">
        <v>44463</v>
      </c>
      <c r="B73" s="97">
        <v>21623</v>
      </c>
      <c r="C73" t="s">
        <v>212</v>
      </c>
      <c r="D73" t="s">
        <v>421</v>
      </c>
      <c r="E73" t="s">
        <v>204</v>
      </c>
      <c r="F73" t="s">
        <v>573</v>
      </c>
      <c r="G73" s="50" t="s">
        <v>574</v>
      </c>
      <c r="H73" s="50">
        <v>2</v>
      </c>
      <c r="I73" s="100">
        <v>6.7391919697301583</v>
      </c>
      <c r="J73" s="52">
        <v>3834.68</v>
      </c>
      <c r="K73" s="67">
        <f t="shared" si="4"/>
        <v>558795.50553690968</v>
      </c>
      <c r="L73" s="95">
        <f>+VLOOKUP(E73,MARGEN!A:B,2,FALSE)</f>
        <v>0.1</v>
      </c>
      <c r="M73" s="112">
        <f t="shared" si="5"/>
        <v>55879.55055369097</v>
      </c>
      <c r="N73" s="113">
        <f t="shared" si="6"/>
        <v>2235.1820221476387</v>
      </c>
      <c r="O73" s="113">
        <f t="shared" si="7"/>
        <v>500680.77296107105</v>
      </c>
    </row>
    <row r="74" spans="1:15" x14ac:dyDescent="0.25">
      <c r="A74" s="13">
        <v>44464</v>
      </c>
      <c r="B74" s="97">
        <v>40343</v>
      </c>
      <c r="C74" t="s">
        <v>212</v>
      </c>
      <c r="D74" t="s">
        <v>424</v>
      </c>
      <c r="E74" t="s">
        <v>204</v>
      </c>
      <c r="F74" t="s">
        <v>573</v>
      </c>
      <c r="G74" s="50" t="s">
        <v>574</v>
      </c>
      <c r="H74" s="50">
        <v>2</v>
      </c>
      <c r="I74" s="100">
        <v>6.7391919697301583</v>
      </c>
      <c r="J74" s="52">
        <v>3834.68</v>
      </c>
      <c r="K74" s="67">
        <f t="shared" si="4"/>
        <v>1042569.813618626</v>
      </c>
      <c r="L74" s="95">
        <f>+VLOOKUP(E74,MARGEN!A:B,2,FALSE)</f>
        <v>0.1</v>
      </c>
      <c r="M74" s="112">
        <f t="shared" si="5"/>
        <v>104256.98136186261</v>
      </c>
      <c r="N74" s="113">
        <f t="shared" si="6"/>
        <v>4170.2792544745043</v>
      </c>
      <c r="O74" s="113">
        <f t="shared" si="7"/>
        <v>934142.5530022888</v>
      </c>
    </row>
    <row r="75" spans="1:15" x14ac:dyDescent="0.25">
      <c r="A75" s="43">
        <v>44464</v>
      </c>
      <c r="B75" s="51">
        <v>21623</v>
      </c>
      <c r="C75" s="66" t="s">
        <v>212</v>
      </c>
      <c r="D75" s="66" t="s">
        <v>421</v>
      </c>
      <c r="E75" t="s">
        <v>204</v>
      </c>
      <c r="F75" s="50" t="s">
        <v>573</v>
      </c>
      <c r="G75" s="50" t="s">
        <v>574</v>
      </c>
      <c r="H75" s="50">
        <v>2</v>
      </c>
      <c r="I75" s="100">
        <v>6.7391919697301583</v>
      </c>
      <c r="J75" s="52">
        <v>3834.68</v>
      </c>
      <c r="K75" s="67">
        <f t="shared" si="4"/>
        <v>558795.50553690968</v>
      </c>
      <c r="L75" s="95">
        <f>+VLOOKUP(E75,MARGEN!A:B,2,FALSE)</f>
        <v>0.1</v>
      </c>
      <c r="M75" s="112">
        <f t="shared" si="5"/>
        <v>55879.55055369097</v>
      </c>
      <c r="N75" s="113">
        <f t="shared" si="6"/>
        <v>2235.1820221476387</v>
      </c>
      <c r="O75" s="113">
        <f t="shared" si="7"/>
        <v>500680.77296107105</v>
      </c>
    </row>
    <row r="76" spans="1:15" x14ac:dyDescent="0.25">
      <c r="A76" s="43">
        <v>44465</v>
      </c>
      <c r="B76" s="51">
        <v>40343</v>
      </c>
      <c r="C76" s="66" t="s">
        <v>212</v>
      </c>
      <c r="D76" s="66" t="s">
        <v>424</v>
      </c>
      <c r="E76" t="s">
        <v>204</v>
      </c>
      <c r="F76" s="50" t="s">
        <v>573</v>
      </c>
      <c r="G76" s="50" t="s">
        <v>574</v>
      </c>
      <c r="H76" s="50">
        <v>2</v>
      </c>
      <c r="I76" s="100">
        <v>6.7391919697301583</v>
      </c>
      <c r="J76" s="52">
        <v>3834.68</v>
      </c>
      <c r="K76" s="67">
        <f t="shared" si="4"/>
        <v>1042569.813618626</v>
      </c>
      <c r="L76" s="95">
        <f>+VLOOKUP(E76,MARGEN!A:B,2,FALSE)</f>
        <v>0.1</v>
      </c>
      <c r="M76" s="112">
        <f t="shared" si="5"/>
        <v>104256.98136186261</v>
      </c>
      <c r="N76" s="113">
        <f t="shared" si="6"/>
        <v>4170.2792544745043</v>
      </c>
      <c r="O76" s="113">
        <f t="shared" si="7"/>
        <v>934142.5530022888</v>
      </c>
    </row>
    <row r="77" spans="1:15" x14ac:dyDescent="0.25">
      <c r="A77" s="43">
        <v>44465</v>
      </c>
      <c r="B77" s="51">
        <v>21623</v>
      </c>
      <c r="C77" s="66" t="s">
        <v>212</v>
      </c>
      <c r="D77" s="66" t="s">
        <v>421</v>
      </c>
      <c r="E77" t="s">
        <v>204</v>
      </c>
      <c r="F77" s="50" t="s">
        <v>573</v>
      </c>
      <c r="G77" s="50" t="s">
        <v>574</v>
      </c>
      <c r="H77" s="50">
        <v>2</v>
      </c>
      <c r="I77" s="100">
        <v>6.7391919697301583</v>
      </c>
      <c r="J77" s="52">
        <v>3834.68</v>
      </c>
      <c r="K77" s="67">
        <f t="shared" si="4"/>
        <v>558795.50553690968</v>
      </c>
      <c r="L77" s="95">
        <f>+VLOOKUP(E77,MARGEN!A:B,2,FALSE)</f>
        <v>0.1</v>
      </c>
      <c r="M77" s="112">
        <f t="shared" si="5"/>
        <v>55879.55055369097</v>
      </c>
      <c r="N77" s="113">
        <f t="shared" si="6"/>
        <v>2235.1820221476387</v>
      </c>
      <c r="O77" s="113">
        <f t="shared" si="7"/>
        <v>500680.77296107105</v>
      </c>
    </row>
    <row r="78" spans="1:15" x14ac:dyDescent="0.25">
      <c r="A78" s="43">
        <v>44466</v>
      </c>
      <c r="B78" s="51">
        <v>40343</v>
      </c>
      <c r="C78" s="66" t="s">
        <v>212</v>
      </c>
      <c r="D78" s="66" t="s">
        <v>424</v>
      </c>
      <c r="E78" t="s">
        <v>204</v>
      </c>
      <c r="F78" s="50" t="s">
        <v>573</v>
      </c>
      <c r="G78" s="50" t="s">
        <v>574</v>
      </c>
      <c r="H78" s="50">
        <v>2</v>
      </c>
      <c r="I78" s="100">
        <v>6.7391919697301583</v>
      </c>
      <c r="J78" s="52">
        <v>3834.68</v>
      </c>
      <c r="K78" s="67">
        <f t="shared" si="4"/>
        <v>1042569.813618626</v>
      </c>
      <c r="L78" s="95">
        <f>+VLOOKUP(E78,MARGEN!A:B,2,FALSE)</f>
        <v>0.1</v>
      </c>
      <c r="M78" s="112">
        <f t="shared" si="5"/>
        <v>104256.98136186261</v>
      </c>
      <c r="N78" s="113">
        <f t="shared" si="6"/>
        <v>4170.2792544745043</v>
      </c>
      <c r="O78" s="113">
        <f t="shared" si="7"/>
        <v>934142.5530022888</v>
      </c>
    </row>
    <row r="79" spans="1:15" x14ac:dyDescent="0.25">
      <c r="A79" s="43">
        <v>44466</v>
      </c>
      <c r="B79" s="51">
        <v>21623</v>
      </c>
      <c r="C79" s="66" t="s">
        <v>212</v>
      </c>
      <c r="D79" s="66" t="s">
        <v>421</v>
      </c>
      <c r="E79" t="s">
        <v>204</v>
      </c>
      <c r="F79" s="50" t="s">
        <v>573</v>
      </c>
      <c r="G79" s="50" t="s">
        <v>574</v>
      </c>
      <c r="H79" s="50">
        <v>2</v>
      </c>
      <c r="I79" s="100">
        <v>6.7391919697301583</v>
      </c>
      <c r="J79" s="52">
        <v>3834.68</v>
      </c>
      <c r="K79" s="67">
        <f t="shared" si="4"/>
        <v>558795.50553690968</v>
      </c>
      <c r="L79" s="95">
        <f>+VLOOKUP(E79,MARGEN!A:B,2,FALSE)</f>
        <v>0.1</v>
      </c>
      <c r="M79" s="112">
        <f t="shared" si="5"/>
        <v>55879.55055369097</v>
      </c>
      <c r="N79" s="113">
        <f t="shared" si="6"/>
        <v>2235.1820221476387</v>
      </c>
      <c r="O79" s="113">
        <f t="shared" si="7"/>
        <v>500680.77296107105</v>
      </c>
    </row>
    <row r="80" spans="1:15" x14ac:dyDescent="0.25">
      <c r="A80" s="43">
        <v>44467</v>
      </c>
      <c r="B80" s="51">
        <v>40343</v>
      </c>
      <c r="C80" s="66" t="s">
        <v>212</v>
      </c>
      <c r="D80" s="66" t="s">
        <v>424</v>
      </c>
      <c r="E80" t="s">
        <v>204</v>
      </c>
      <c r="F80" s="50" t="s">
        <v>573</v>
      </c>
      <c r="G80" s="50" t="s">
        <v>574</v>
      </c>
      <c r="H80" s="50">
        <v>2</v>
      </c>
      <c r="I80" s="100">
        <v>6.7391919697301583</v>
      </c>
      <c r="J80" s="52">
        <v>3834.68</v>
      </c>
      <c r="K80" s="67">
        <f t="shared" si="4"/>
        <v>1042569.813618626</v>
      </c>
      <c r="L80" s="95">
        <f>+VLOOKUP(E80,MARGEN!A:B,2,FALSE)</f>
        <v>0.1</v>
      </c>
      <c r="M80" s="112">
        <f t="shared" si="5"/>
        <v>104256.98136186261</v>
      </c>
      <c r="N80" s="113">
        <f t="shared" si="6"/>
        <v>4170.2792544745043</v>
      </c>
      <c r="O80" s="113">
        <f t="shared" si="7"/>
        <v>934142.5530022888</v>
      </c>
    </row>
    <row r="81" spans="1:15" x14ac:dyDescent="0.25">
      <c r="A81" s="43">
        <v>44467</v>
      </c>
      <c r="B81" s="51">
        <v>21623</v>
      </c>
      <c r="C81" s="66" t="s">
        <v>212</v>
      </c>
      <c r="D81" s="66" t="s">
        <v>421</v>
      </c>
      <c r="E81" t="s">
        <v>204</v>
      </c>
      <c r="F81" s="50" t="s">
        <v>573</v>
      </c>
      <c r="G81" s="50" t="s">
        <v>574</v>
      </c>
      <c r="H81" s="50">
        <v>2</v>
      </c>
      <c r="I81" s="100">
        <v>6.7391919697301583</v>
      </c>
      <c r="J81" s="52">
        <v>3834.68</v>
      </c>
      <c r="K81" s="67">
        <f t="shared" si="4"/>
        <v>558795.50553690968</v>
      </c>
      <c r="L81" s="95">
        <f>+VLOOKUP(E81,MARGEN!A:B,2,FALSE)</f>
        <v>0.1</v>
      </c>
      <c r="M81" s="112">
        <f t="shared" si="5"/>
        <v>55879.55055369097</v>
      </c>
      <c r="N81" s="113">
        <f t="shared" si="6"/>
        <v>2235.1820221476387</v>
      </c>
      <c r="O81" s="113">
        <f t="shared" si="7"/>
        <v>500680.77296107105</v>
      </c>
    </row>
    <row r="82" spans="1:15" x14ac:dyDescent="0.25">
      <c r="A82" s="13">
        <v>44440</v>
      </c>
      <c r="B82" s="97">
        <v>17997</v>
      </c>
      <c r="C82" t="s">
        <v>79</v>
      </c>
      <c r="D82" t="s">
        <v>409</v>
      </c>
      <c r="E82" t="s">
        <v>41</v>
      </c>
      <c r="F82" t="s">
        <v>558</v>
      </c>
      <c r="G82" s="50" t="s">
        <v>559</v>
      </c>
      <c r="H82" s="50">
        <v>2</v>
      </c>
      <c r="I82" s="100">
        <v>6.7391919697301583</v>
      </c>
      <c r="J82" s="52">
        <v>3834.68</v>
      </c>
      <c r="K82" s="67">
        <f t="shared" si="4"/>
        <v>465090.07599073969</v>
      </c>
      <c r="L82" s="95">
        <f>+VLOOKUP(E82,MARGEN!A:B,2,FALSE)</f>
        <v>0.09</v>
      </c>
      <c r="M82" s="112">
        <f t="shared" si="5"/>
        <v>41858.106839166569</v>
      </c>
      <c r="N82" s="113">
        <f t="shared" si="6"/>
        <v>1860.3603039629588</v>
      </c>
      <c r="O82" s="113">
        <f t="shared" si="7"/>
        <v>421371.60884761019</v>
      </c>
    </row>
    <row r="83" spans="1:15" x14ac:dyDescent="0.25">
      <c r="A83" s="13">
        <v>44440</v>
      </c>
      <c r="B83" s="97">
        <v>17997</v>
      </c>
      <c r="C83" t="s">
        <v>79</v>
      </c>
      <c r="D83" s="94" t="s">
        <v>408</v>
      </c>
      <c r="E83" t="s">
        <v>41</v>
      </c>
      <c r="F83" t="s">
        <v>558</v>
      </c>
      <c r="G83" s="50" t="s">
        <v>559</v>
      </c>
      <c r="H83" s="50">
        <v>2</v>
      </c>
      <c r="I83" s="100">
        <v>6.7391919697301583</v>
      </c>
      <c r="J83" s="52">
        <v>3834.68</v>
      </c>
      <c r="K83" s="67">
        <f t="shared" si="4"/>
        <v>465090.07599073969</v>
      </c>
      <c r="L83" s="95">
        <f>+VLOOKUP(E83,MARGEN!A:B,2,FALSE)</f>
        <v>0.09</v>
      </c>
      <c r="M83" s="112">
        <f t="shared" si="5"/>
        <v>41858.106839166569</v>
      </c>
      <c r="N83" s="113">
        <f t="shared" si="6"/>
        <v>1860.3603039629588</v>
      </c>
      <c r="O83" s="113">
        <f t="shared" si="7"/>
        <v>421371.60884761019</v>
      </c>
    </row>
    <row r="84" spans="1:15" x14ac:dyDescent="0.25">
      <c r="A84" s="13">
        <v>44440</v>
      </c>
      <c r="B84" s="97">
        <v>17997</v>
      </c>
      <c r="C84" t="s">
        <v>79</v>
      </c>
      <c r="D84" s="94" t="s">
        <v>406</v>
      </c>
      <c r="E84" t="s">
        <v>41</v>
      </c>
      <c r="F84" t="s">
        <v>558</v>
      </c>
      <c r="G84" s="50" t="s">
        <v>559</v>
      </c>
      <c r="H84" s="50">
        <v>2</v>
      </c>
      <c r="I84" s="100">
        <v>6.7391919697301583</v>
      </c>
      <c r="J84" s="52">
        <v>3834.68</v>
      </c>
      <c r="K84" s="67">
        <f t="shared" si="4"/>
        <v>465090.07599073969</v>
      </c>
      <c r="L84" s="95">
        <f>+VLOOKUP(E84,MARGEN!A:B,2,FALSE)</f>
        <v>0.09</v>
      </c>
      <c r="M84" s="112">
        <f t="shared" si="5"/>
        <v>41858.106839166569</v>
      </c>
      <c r="N84" s="113">
        <f t="shared" si="6"/>
        <v>1860.3603039629588</v>
      </c>
      <c r="O84" s="113">
        <f t="shared" si="7"/>
        <v>421371.60884761019</v>
      </c>
    </row>
    <row r="85" spans="1:15" x14ac:dyDescent="0.25">
      <c r="A85" s="13">
        <v>44440</v>
      </c>
      <c r="B85" s="97">
        <v>17997</v>
      </c>
      <c r="C85" t="s">
        <v>79</v>
      </c>
      <c r="D85" s="94" t="s">
        <v>405</v>
      </c>
      <c r="E85" t="s">
        <v>41</v>
      </c>
      <c r="F85" t="s">
        <v>558</v>
      </c>
      <c r="G85" s="50" t="s">
        <v>559</v>
      </c>
      <c r="H85" s="50">
        <v>2</v>
      </c>
      <c r="I85" s="100">
        <v>6.7391919697301583</v>
      </c>
      <c r="J85" s="52">
        <v>3834.68</v>
      </c>
      <c r="K85" s="67">
        <f t="shared" si="4"/>
        <v>465090.07599073969</v>
      </c>
      <c r="L85" s="95">
        <f>+VLOOKUP(E85,MARGEN!A:B,2,FALSE)</f>
        <v>0.09</v>
      </c>
      <c r="M85" s="112">
        <f t="shared" si="5"/>
        <v>41858.106839166569</v>
      </c>
      <c r="N85" s="113">
        <f t="shared" si="6"/>
        <v>1860.3603039629588</v>
      </c>
      <c r="O85" s="113">
        <f t="shared" si="7"/>
        <v>421371.60884761019</v>
      </c>
    </row>
    <row r="86" spans="1:15" x14ac:dyDescent="0.25">
      <c r="A86" s="13">
        <v>44441</v>
      </c>
      <c r="B86" s="97">
        <v>17997</v>
      </c>
      <c r="C86" t="s">
        <v>79</v>
      </c>
      <c r="D86" s="94" t="s">
        <v>408</v>
      </c>
      <c r="E86" t="s">
        <v>41</v>
      </c>
      <c r="F86" t="s">
        <v>558</v>
      </c>
      <c r="G86" s="50" t="s">
        <v>559</v>
      </c>
      <c r="H86" s="50">
        <v>2</v>
      </c>
      <c r="I86" s="100">
        <v>6.7391919697301583</v>
      </c>
      <c r="J86" s="52">
        <v>3834.68</v>
      </c>
      <c r="K86" s="67">
        <f t="shared" si="4"/>
        <v>465090.07599073969</v>
      </c>
      <c r="L86" s="95">
        <f>+VLOOKUP(E86,MARGEN!A:B,2,FALSE)</f>
        <v>0.09</v>
      </c>
      <c r="M86" s="112">
        <f t="shared" si="5"/>
        <v>41858.106839166569</v>
      </c>
      <c r="N86" s="113">
        <f t="shared" si="6"/>
        <v>1860.3603039629588</v>
      </c>
      <c r="O86" s="113">
        <f t="shared" si="7"/>
        <v>421371.60884761019</v>
      </c>
    </row>
    <row r="87" spans="1:15" x14ac:dyDescent="0.25">
      <c r="A87" s="13">
        <v>44441</v>
      </c>
      <c r="B87" s="97">
        <v>17997</v>
      </c>
      <c r="C87" t="s">
        <v>79</v>
      </c>
      <c r="D87" s="94" t="s">
        <v>406</v>
      </c>
      <c r="E87" t="s">
        <v>41</v>
      </c>
      <c r="F87" t="s">
        <v>558</v>
      </c>
      <c r="G87" s="50" t="s">
        <v>559</v>
      </c>
      <c r="H87" s="50">
        <v>2</v>
      </c>
      <c r="I87" s="100">
        <v>6.7391919697301583</v>
      </c>
      <c r="J87" s="52">
        <v>3834.68</v>
      </c>
      <c r="K87" s="67">
        <f t="shared" si="4"/>
        <v>465090.07599073969</v>
      </c>
      <c r="L87" s="95">
        <f>+VLOOKUP(E87,MARGEN!A:B,2,FALSE)</f>
        <v>0.09</v>
      </c>
      <c r="M87" s="112">
        <f t="shared" si="5"/>
        <v>41858.106839166569</v>
      </c>
      <c r="N87" s="113">
        <f t="shared" si="6"/>
        <v>1860.3603039629588</v>
      </c>
      <c r="O87" s="113">
        <f t="shared" si="7"/>
        <v>421371.60884761019</v>
      </c>
    </row>
    <row r="88" spans="1:15" x14ac:dyDescent="0.25">
      <c r="A88" s="13">
        <v>44441</v>
      </c>
      <c r="B88" s="97">
        <v>17997</v>
      </c>
      <c r="C88" t="s">
        <v>79</v>
      </c>
      <c r="D88" s="94" t="s">
        <v>405</v>
      </c>
      <c r="E88" t="s">
        <v>41</v>
      </c>
      <c r="F88" t="s">
        <v>558</v>
      </c>
      <c r="G88" s="50" t="s">
        <v>559</v>
      </c>
      <c r="H88" s="50">
        <v>2</v>
      </c>
      <c r="I88" s="100">
        <v>6.7391919697301583</v>
      </c>
      <c r="J88" s="52">
        <v>3834.68</v>
      </c>
      <c r="K88" s="67">
        <f t="shared" si="4"/>
        <v>465090.07599073969</v>
      </c>
      <c r="L88" s="95">
        <f>+VLOOKUP(E88,MARGEN!A:B,2,FALSE)</f>
        <v>0.09</v>
      </c>
      <c r="M88" s="112">
        <f t="shared" si="5"/>
        <v>41858.106839166569</v>
      </c>
      <c r="N88" s="113">
        <f t="shared" si="6"/>
        <v>1860.3603039629588</v>
      </c>
      <c r="O88" s="113">
        <f t="shared" si="7"/>
        <v>421371.60884761019</v>
      </c>
    </row>
    <row r="89" spans="1:15" x14ac:dyDescent="0.25">
      <c r="A89" s="13">
        <v>44441</v>
      </c>
      <c r="B89" s="97">
        <v>17997</v>
      </c>
      <c r="C89" t="s">
        <v>79</v>
      </c>
      <c r="D89" s="94" t="s">
        <v>409</v>
      </c>
      <c r="E89" t="s">
        <v>41</v>
      </c>
      <c r="F89" t="s">
        <v>558</v>
      </c>
      <c r="G89" s="50" t="s">
        <v>559</v>
      </c>
      <c r="H89" s="50">
        <v>2</v>
      </c>
      <c r="I89" s="100">
        <v>6.7391919697301583</v>
      </c>
      <c r="J89" s="52">
        <v>3834.68</v>
      </c>
      <c r="K89" s="67">
        <f t="shared" si="4"/>
        <v>465090.07599073969</v>
      </c>
      <c r="L89" s="95">
        <f>+VLOOKUP(E89,MARGEN!A:B,2,FALSE)</f>
        <v>0.09</v>
      </c>
      <c r="M89" s="112">
        <f t="shared" si="5"/>
        <v>41858.106839166569</v>
      </c>
      <c r="N89" s="113">
        <f t="shared" si="6"/>
        <v>1860.3603039629588</v>
      </c>
      <c r="O89" s="113">
        <f t="shared" si="7"/>
        <v>421371.60884761019</v>
      </c>
    </row>
    <row r="90" spans="1:15" x14ac:dyDescent="0.25">
      <c r="A90" s="13">
        <v>44442</v>
      </c>
      <c r="B90" s="97">
        <v>17997</v>
      </c>
      <c r="C90" t="s">
        <v>79</v>
      </c>
      <c r="D90" s="94" t="s">
        <v>406</v>
      </c>
      <c r="E90" t="s">
        <v>41</v>
      </c>
      <c r="F90" t="s">
        <v>558</v>
      </c>
      <c r="G90" s="50" t="s">
        <v>559</v>
      </c>
      <c r="H90" s="50">
        <v>2</v>
      </c>
      <c r="I90" s="100">
        <v>6.7391919697301583</v>
      </c>
      <c r="J90" s="52">
        <v>3834.68</v>
      </c>
      <c r="K90" s="67">
        <f t="shared" si="4"/>
        <v>465090.07599073969</v>
      </c>
      <c r="L90" s="95">
        <f>+VLOOKUP(E90,MARGEN!A:B,2,FALSE)</f>
        <v>0.09</v>
      </c>
      <c r="M90" s="112">
        <f t="shared" si="5"/>
        <v>41858.106839166569</v>
      </c>
      <c r="N90" s="113">
        <f t="shared" si="6"/>
        <v>1860.3603039629588</v>
      </c>
      <c r="O90" s="113">
        <f t="shared" si="7"/>
        <v>421371.60884761019</v>
      </c>
    </row>
    <row r="91" spans="1:15" x14ac:dyDescent="0.25">
      <c r="A91" s="13">
        <v>44442</v>
      </c>
      <c r="B91" s="97">
        <v>17997</v>
      </c>
      <c r="C91" t="s">
        <v>79</v>
      </c>
      <c r="D91" s="94" t="s">
        <v>409</v>
      </c>
      <c r="E91" t="s">
        <v>41</v>
      </c>
      <c r="F91" t="s">
        <v>558</v>
      </c>
      <c r="G91" s="50" t="s">
        <v>559</v>
      </c>
      <c r="H91" s="50">
        <v>2</v>
      </c>
      <c r="I91" s="100">
        <v>6.7391919697301583</v>
      </c>
      <c r="J91" s="52">
        <v>3834.68</v>
      </c>
      <c r="K91" s="67">
        <f t="shared" si="4"/>
        <v>465090.07599073969</v>
      </c>
      <c r="L91" s="95">
        <f>+VLOOKUP(E91,MARGEN!A:B,2,FALSE)</f>
        <v>0.09</v>
      </c>
      <c r="M91" s="112">
        <f t="shared" si="5"/>
        <v>41858.106839166569</v>
      </c>
      <c r="N91" s="113">
        <f t="shared" si="6"/>
        <v>1860.3603039629588</v>
      </c>
      <c r="O91" s="113">
        <f t="shared" si="7"/>
        <v>421371.60884761019</v>
      </c>
    </row>
    <row r="92" spans="1:15" x14ac:dyDescent="0.25">
      <c r="A92" s="13">
        <v>44442</v>
      </c>
      <c r="B92" s="97">
        <v>17997</v>
      </c>
      <c r="C92" t="s">
        <v>79</v>
      </c>
      <c r="D92" s="94" t="s">
        <v>408</v>
      </c>
      <c r="E92" t="s">
        <v>41</v>
      </c>
      <c r="F92" t="s">
        <v>558</v>
      </c>
      <c r="G92" s="50" t="s">
        <v>559</v>
      </c>
      <c r="H92" s="50">
        <v>2</v>
      </c>
      <c r="I92" s="100">
        <v>6.7391919697301583</v>
      </c>
      <c r="J92" s="52">
        <v>3834.68</v>
      </c>
      <c r="K92" s="67">
        <f t="shared" si="4"/>
        <v>465090.07599073969</v>
      </c>
      <c r="L92" s="95">
        <f>+VLOOKUP(E92,MARGEN!A:B,2,FALSE)</f>
        <v>0.09</v>
      </c>
      <c r="M92" s="112">
        <f t="shared" si="5"/>
        <v>41858.106839166569</v>
      </c>
      <c r="N92" s="113">
        <f t="shared" si="6"/>
        <v>1860.3603039629588</v>
      </c>
      <c r="O92" s="113">
        <f t="shared" si="7"/>
        <v>421371.60884761019</v>
      </c>
    </row>
    <row r="93" spans="1:15" x14ac:dyDescent="0.25">
      <c r="A93" s="13">
        <v>44442</v>
      </c>
      <c r="B93" s="97">
        <v>17997</v>
      </c>
      <c r="C93" t="s">
        <v>79</v>
      </c>
      <c r="D93" s="94" t="s">
        <v>405</v>
      </c>
      <c r="E93" t="s">
        <v>41</v>
      </c>
      <c r="F93" t="s">
        <v>558</v>
      </c>
      <c r="G93" s="50" t="s">
        <v>559</v>
      </c>
      <c r="H93" s="50">
        <v>2</v>
      </c>
      <c r="I93" s="100">
        <v>6.7391919697301583</v>
      </c>
      <c r="J93" s="52">
        <v>3834.68</v>
      </c>
      <c r="K93" s="67">
        <f t="shared" si="4"/>
        <v>465090.07599073969</v>
      </c>
      <c r="L93" s="95">
        <f>+VLOOKUP(E93,MARGEN!A:B,2,FALSE)</f>
        <v>0.09</v>
      </c>
      <c r="M93" s="112">
        <f t="shared" si="5"/>
        <v>41858.106839166569</v>
      </c>
      <c r="N93" s="113">
        <f t="shared" si="6"/>
        <v>1860.3603039629588</v>
      </c>
      <c r="O93" s="113">
        <f t="shared" si="7"/>
        <v>421371.60884761019</v>
      </c>
    </row>
    <row r="94" spans="1:15" x14ac:dyDescent="0.25">
      <c r="A94" s="13">
        <v>44446</v>
      </c>
      <c r="B94" s="97">
        <v>17997</v>
      </c>
      <c r="C94" t="s">
        <v>79</v>
      </c>
      <c r="D94" s="94" t="s">
        <v>409</v>
      </c>
      <c r="E94" t="s">
        <v>41</v>
      </c>
      <c r="F94" t="s">
        <v>558</v>
      </c>
      <c r="G94" s="50" t="s">
        <v>559</v>
      </c>
      <c r="H94" s="50">
        <v>2</v>
      </c>
      <c r="I94" s="100">
        <v>6.7391919697301583</v>
      </c>
      <c r="J94" s="52">
        <v>3834.68</v>
      </c>
      <c r="K94" s="67">
        <f t="shared" si="4"/>
        <v>465090.07599073969</v>
      </c>
      <c r="L94" s="95">
        <f>+VLOOKUP(E94,MARGEN!A:B,2,FALSE)</f>
        <v>0.09</v>
      </c>
      <c r="M94" s="112">
        <f t="shared" si="5"/>
        <v>41858.106839166569</v>
      </c>
      <c r="N94" s="113">
        <f t="shared" si="6"/>
        <v>1860.3603039629588</v>
      </c>
      <c r="O94" s="113">
        <f t="shared" si="7"/>
        <v>421371.60884761019</v>
      </c>
    </row>
    <row r="95" spans="1:15" x14ac:dyDescent="0.25">
      <c r="A95" s="13">
        <v>44446</v>
      </c>
      <c r="B95" s="97">
        <v>17997</v>
      </c>
      <c r="C95" t="s">
        <v>79</v>
      </c>
      <c r="D95" s="94" t="s">
        <v>405</v>
      </c>
      <c r="E95" t="s">
        <v>41</v>
      </c>
      <c r="F95" t="s">
        <v>558</v>
      </c>
      <c r="G95" s="50" t="s">
        <v>559</v>
      </c>
      <c r="H95" s="50">
        <v>2</v>
      </c>
      <c r="I95" s="100">
        <v>6.7391919697301583</v>
      </c>
      <c r="J95" s="52">
        <v>3834.68</v>
      </c>
      <c r="K95" s="67">
        <f t="shared" si="4"/>
        <v>465090.07599073969</v>
      </c>
      <c r="L95" s="95">
        <f>+VLOOKUP(E95,MARGEN!A:B,2,FALSE)</f>
        <v>0.09</v>
      </c>
      <c r="M95" s="112">
        <f t="shared" si="5"/>
        <v>41858.106839166569</v>
      </c>
      <c r="N95" s="113">
        <f t="shared" si="6"/>
        <v>1860.3603039629588</v>
      </c>
      <c r="O95" s="113">
        <f t="shared" si="7"/>
        <v>421371.60884761019</v>
      </c>
    </row>
    <row r="96" spans="1:15" x14ac:dyDescent="0.25">
      <c r="A96" s="13">
        <v>44446</v>
      </c>
      <c r="B96" s="97">
        <v>17997</v>
      </c>
      <c r="C96" t="s">
        <v>79</v>
      </c>
      <c r="D96" s="94" t="s">
        <v>406</v>
      </c>
      <c r="E96" t="s">
        <v>41</v>
      </c>
      <c r="F96" t="s">
        <v>558</v>
      </c>
      <c r="G96" s="50" t="s">
        <v>559</v>
      </c>
      <c r="H96" s="50">
        <v>2</v>
      </c>
      <c r="I96" s="100">
        <v>6.7391919697301583</v>
      </c>
      <c r="J96" s="52">
        <v>3834.68</v>
      </c>
      <c r="K96" s="67">
        <f t="shared" si="4"/>
        <v>465090.07599073969</v>
      </c>
      <c r="L96" s="95">
        <f>+VLOOKUP(E96,MARGEN!A:B,2,FALSE)</f>
        <v>0.09</v>
      </c>
      <c r="M96" s="112">
        <f t="shared" si="5"/>
        <v>41858.106839166569</v>
      </c>
      <c r="N96" s="113">
        <f t="shared" si="6"/>
        <v>1860.3603039629588</v>
      </c>
      <c r="O96" s="113">
        <f t="shared" si="7"/>
        <v>421371.60884761019</v>
      </c>
    </row>
    <row r="97" spans="1:15" x14ac:dyDescent="0.25">
      <c r="A97" s="13">
        <v>44446</v>
      </c>
      <c r="B97" s="97">
        <v>17997</v>
      </c>
      <c r="C97" t="s">
        <v>79</v>
      </c>
      <c r="D97" s="94" t="s">
        <v>408</v>
      </c>
      <c r="E97" t="s">
        <v>41</v>
      </c>
      <c r="F97" t="s">
        <v>558</v>
      </c>
      <c r="G97" s="50" t="s">
        <v>559</v>
      </c>
      <c r="H97" s="50">
        <v>2</v>
      </c>
      <c r="I97" s="100">
        <v>6.7391919697301583</v>
      </c>
      <c r="J97" s="52">
        <v>3834.68</v>
      </c>
      <c r="K97" s="67">
        <f t="shared" si="4"/>
        <v>465090.07599073969</v>
      </c>
      <c r="L97" s="95">
        <f>+VLOOKUP(E97,MARGEN!A:B,2,FALSE)</f>
        <v>0.09</v>
      </c>
      <c r="M97" s="112">
        <f t="shared" si="5"/>
        <v>41858.106839166569</v>
      </c>
      <c r="N97" s="113">
        <f t="shared" si="6"/>
        <v>1860.3603039629588</v>
      </c>
      <c r="O97" s="113">
        <f t="shared" si="7"/>
        <v>421371.60884761019</v>
      </c>
    </row>
    <row r="98" spans="1:15" x14ac:dyDescent="0.25">
      <c r="A98" s="13">
        <v>44447</v>
      </c>
      <c r="B98" s="97">
        <v>17997</v>
      </c>
      <c r="C98" t="s">
        <v>79</v>
      </c>
      <c r="D98" s="94" t="s">
        <v>406</v>
      </c>
      <c r="E98" t="s">
        <v>41</v>
      </c>
      <c r="F98" t="s">
        <v>558</v>
      </c>
      <c r="G98" s="50" t="s">
        <v>559</v>
      </c>
      <c r="H98" s="50">
        <v>2</v>
      </c>
      <c r="I98" s="100">
        <v>6.7391919697301583</v>
      </c>
      <c r="J98" s="52">
        <v>3834.68</v>
      </c>
      <c r="K98" s="67">
        <f t="shared" si="4"/>
        <v>465090.07599073969</v>
      </c>
      <c r="L98" s="95">
        <f>+VLOOKUP(E98,MARGEN!A:B,2,FALSE)</f>
        <v>0.09</v>
      </c>
      <c r="M98" s="112">
        <f t="shared" si="5"/>
        <v>41858.106839166569</v>
      </c>
      <c r="N98" s="113">
        <f t="shared" si="6"/>
        <v>1860.3603039629588</v>
      </c>
      <c r="O98" s="113">
        <f t="shared" si="7"/>
        <v>421371.60884761019</v>
      </c>
    </row>
    <row r="99" spans="1:15" x14ac:dyDescent="0.25">
      <c r="A99" s="13">
        <v>44447</v>
      </c>
      <c r="B99" s="97">
        <v>17997</v>
      </c>
      <c r="C99" t="s">
        <v>79</v>
      </c>
      <c r="D99" s="94" t="s">
        <v>408</v>
      </c>
      <c r="E99" t="s">
        <v>41</v>
      </c>
      <c r="F99" t="s">
        <v>558</v>
      </c>
      <c r="G99" s="50" t="s">
        <v>559</v>
      </c>
      <c r="H99" s="50">
        <v>2</v>
      </c>
      <c r="I99" s="100">
        <v>6.7391919697301583</v>
      </c>
      <c r="J99" s="52">
        <v>3834.68</v>
      </c>
      <c r="K99" s="67">
        <f t="shared" si="4"/>
        <v>465090.07599073969</v>
      </c>
      <c r="L99" s="95">
        <f>+VLOOKUP(E99,MARGEN!A:B,2,FALSE)</f>
        <v>0.09</v>
      </c>
      <c r="M99" s="112">
        <f t="shared" si="5"/>
        <v>41858.106839166569</v>
      </c>
      <c r="N99" s="113">
        <f t="shared" si="6"/>
        <v>1860.3603039629588</v>
      </c>
      <c r="O99" s="113">
        <f t="shared" si="7"/>
        <v>421371.60884761019</v>
      </c>
    </row>
    <row r="100" spans="1:15" x14ac:dyDescent="0.25">
      <c r="A100" s="13">
        <v>44447</v>
      </c>
      <c r="B100" s="97">
        <v>17997</v>
      </c>
      <c r="C100" t="s">
        <v>79</v>
      </c>
      <c r="D100" s="94" t="s">
        <v>405</v>
      </c>
      <c r="E100" t="s">
        <v>41</v>
      </c>
      <c r="F100" t="s">
        <v>558</v>
      </c>
      <c r="G100" s="50" t="s">
        <v>559</v>
      </c>
      <c r="H100" s="50">
        <v>2</v>
      </c>
      <c r="I100" s="100">
        <v>6.7391919697301583</v>
      </c>
      <c r="J100" s="52">
        <v>3834.68</v>
      </c>
      <c r="K100" s="67">
        <f t="shared" si="4"/>
        <v>465090.07599073969</v>
      </c>
      <c r="L100" s="95">
        <f>+VLOOKUP(E100,MARGEN!A:B,2,FALSE)</f>
        <v>0.09</v>
      </c>
      <c r="M100" s="112">
        <f t="shared" si="5"/>
        <v>41858.106839166569</v>
      </c>
      <c r="N100" s="113">
        <f t="shared" si="6"/>
        <v>1860.3603039629588</v>
      </c>
      <c r="O100" s="113">
        <f t="shared" si="7"/>
        <v>421371.60884761019</v>
      </c>
    </row>
    <row r="101" spans="1:15" x14ac:dyDescent="0.25">
      <c r="A101" s="13">
        <v>44447</v>
      </c>
      <c r="B101" s="97">
        <v>17997</v>
      </c>
      <c r="C101" t="s">
        <v>79</v>
      </c>
      <c r="D101" s="94" t="s">
        <v>409</v>
      </c>
      <c r="E101" t="s">
        <v>41</v>
      </c>
      <c r="F101" t="s">
        <v>558</v>
      </c>
      <c r="G101" s="50" t="s">
        <v>559</v>
      </c>
      <c r="H101" s="50">
        <v>2</v>
      </c>
      <c r="I101" s="100">
        <v>6.7391919697301583</v>
      </c>
      <c r="J101" s="52">
        <v>3834.68</v>
      </c>
      <c r="K101" s="67">
        <f t="shared" si="4"/>
        <v>465090.07599073969</v>
      </c>
      <c r="L101" s="95">
        <f>+VLOOKUP(E101,MARGEN!A:B,2,FALSE)</f>
        <v>0.09</v>
      </c>
      <c r="M101" s="112">
        <f t="shared" si="5"/>
        <v>41858.106839166569</v>
      </c>
      <c r="N101" s="113">
        <f t="shared" si="6"/>
        <v>1860.3603039629588</v>
      </c>
      <c r="O101" s="113">
        <f t="shared" si="7"/>
        <v>421371.60884761019</v>
      </c>
    </row>
    <row r="102" spans="1:15" x14ac:dyDescent="0.25">
      <c r="A102" s="13">
        <v>44448</v>
      </c>
      <c r="B102" s="97">
        <v>17997</v>
      </c>
      <c r="C102" t="s">
        <v>79</v>
      </c>
      <c r="D102" s="94" t="s">
        <v>408</v>
      </c>
      <c r="E102" t="s">
        <v>41</v>
      </c>
      <c r="F102" t="s">
        <v>558</v>
      </c>
      <c r="G102" s="50" t="s">
        <v>559</v>
      </c>
      <c r="H102" s="50">
        <v>2</v>
      </c>
      <c r="I102" s="100">
        <v>6.7391919697301583</v>
      </c>
      <c r="J102" s="52">
        <v>3834.68</v>
      </c>
      <c r="K102" s="67">
        <f t="shared" si="4"/>
        <v>465090.07599073969</v>
      </c>
      <c r="L102" s="95">
        <f>+VLOOKUP(E102,MARGEN!A:B,2,FALSE)</f>
        <v>0.09</v>
      </c>
      <c r="M102" s="112">
        <f t="shared" si="5"/>
        <v>41858.106839166569</v>
      </c>
      <c r="N102" s="113">
        <f t="shared" si="6"/>
        <v>1860.3603039629588</v>
      </c>
      <c r="O102" s="113">
        <f t="shared" si="7"/>
        <v>421371.60884761019</v>
      </c>
    </row>
    <row r="103" spans="1:15" x14ac:dyDescent="0.25">
      <c r="A103" s="13">
        <v>44448</v>
      </c>
      <c r="B103" s="97">
        <v>17997</v>
      </c>
      <c r="C103" t="s">
        <v>79</v>
      </c>
      <c r="D103" s="94" t="s">
        <v>409</v>
      </c>
      <c r="E103" t="s">
        <v>41</v>
      </c>
      <c r="F103" t="s">
        <v>558</v>
      </c>
      <c r="G103" s="50" t="s">
        <v>559</v>
      </c>
      <c r="H103" s="50">
        <v>2</v>
      </c>
      <c r="I103" s="100">
        <v>6.7391919697301583</v>
      </c>
      <c r="J103" s="52">
        <v>3834.68</v>
      </c>
      <c r="K103" s="67">
        <f t="shared" si="4"/>
        <v>465090.07599073969</v>
      </c>
      <c r="L103" s="95">
        <f>+VLOOKUP(E103,MARGEN!A:B,2,FALSE)</f>
        <v>0.09</v>
      </c>
      <c r="M103" s="112">
        <f t="shared" si="5"/>
        <v>41858.106839166569</v>
      </c>
      <c r="N103" s="113">
        <f t="shared" si="6"/>
        <v>1860.3603039629588</v>
      </c>
      <c r="O103" s="113">
        <f t="shared" si="7"/>
        <v>421371.60884761019</v>
      </c>
    </row>
    <row r="104" spans="1:15" x14ac:dyDescent="0.25">
      <c r="A104" s="13">
        <v>44448</v>
      </c>
      <c r="B104" s="97">
        <v>17997</v>
      </c>
      <c r="C104" t="s">
        <v>79</v>
      </c>
      <c r="D104" s="94" t="s">
        <v>406</v>
      </c>
      <c r="E104" t="s">
        <v>41</v>
      </c>
      <c r="F104" t="s">
        <v>558</v>
      </c>
      <c r="G104" s="50" t="s">
        <v>559</v>
      </c>
      <c r="H104" s="50">
        <v>2</v>
      </c>
      <c r="I104" s="100">
        <v>6.7391919697301583</v>
      </c>
      <c r="J104" s="52">
        <v>3834.68</v>
      </c>
      <c r="K104" s="67">
        <f t="shared" si="4"/>
        <v>465090.07599073969</v>
      </c>
      <c r="L104" s="95">
        <f>+VLOOKUP(E104,MARGEN!A:B,2,FALSE)</f>
        <v>0.09</v>
      </c>
      <c r="M104" s="112">
        <f t="shared" si="5"/>
        <v>41858.106839166569</v>
      </c>
      <c r="N104" s="113">
        <f t="shared" si="6"/>
        <v>1860.3603039629588</v>
      </c>
      <c r="O104" s="113">
        <f t="shared" si="7"/>
        <v>421371.60884761019</v>
      </c>
    </row>
    <row r="105" spans="1:15" x14ac:dyDescent="0.25">
      <c r="A105" s="13">
        <v>44448</v>
      </c>
      <c r="B105" s="97">
        <v>17997</v>
      </c>
      <c r="C105" t="s">
        <v>79</v>
      </c>
      <c r="D105" s="94" t="s">
        <v>405</v>
      </c>
      <c r="E105" t="s">
        <v>41</v>
      </c>
      <c r="F105" t="s">
        <v>558</v>
      </c>
      <c r="G105" s="50" t="s">
        <v>559</v>
      </c>
      <c r="H105" s="50">
        <v>2</v>
      </c>
      <c r="I105" s="100">
        <v>6.7391919697301583</v>
      </c>
      <c r="J105" s="52">
        <v>3834.68</v>
      </c>
      <c r="K105" s="67">
        <f t="shared" si="4"/>
        <v>465090.07599073969</v>
      </c>
      <c r="L105" s="95">
        <f>+VLOOKUP(E105,MARGEN!A:B,2,FALSE)</f>
        <v>0.09</v>
      </c>
      <c r="M105" s="112">
        <f t="shared" si="5"/>
        <v>41858.106839166569</v>
      </c>
      <c r="N105" s="113">
        <f t="shared" si="6"/>
        <v>1860.3603039629588</v>
      </c>
      <c r="O105" s="113">
        <f t="shared" si="7"/>
        <v>421371.60884761019</v>
      </c>
    </row>
    <row r="106" spans="1:15" x14ac:dyDescent="0.25">
      <c r="A106" s="13">
        <v>44449</v>
      </c>
      <c r="B106" s="97">
        <v>17997</v>
      </c>
      <c r="C106" t="s">
        <v>79</v>
      </c>
      <c r="D106" s="94" t="s">
        <v>406</v>
      </c>
      <c r="E106" t="s">
        <v>41</v>
      </c>
      <c r="F106" t="s">
        <v>558</v>
      </c>
      <c r="G106" s="50" t="s">
        <v>559</v>
      </c>
      <c r="H106" s="50">
        <v>2</v>
      </c>
      <c r="I106" s="100">
        <v>6.7391919697301583</v>
      </c>
      <c r="J106" s="52">
        <v>3834.68</v>
      </c>
      <c r="K106" s="67">
        <f t="shared" si="4"/>
        <v>465090.07599073969</v>
      </c>
      <c r="L106" s="95">
        <f>+VLOOKUP(E106,MARGEN!A:B,2,FALSE)</f>
        <v>0.09</v>
      </c>
      <c r="M106" s="112">
        <f t="shared" si="5"/>
        <v>41858.106839166569</v>
      </c>
      <c r="N106" s="113">
        <f t="shared" si="6"/>
        <v>1860.3603039629588</v>
      </c>
      <c r="O106" s="113">
        <f t="shared" si="7"/>
        <v>421371.60884761019</v>
      </c>
    </row>
    <row r="107" spans="1:15" x14ac:dyDescent="0.25">
      <c r="A107" s="13">
        <v>44449</v>
      </c>
      <c r="B107" s="97">
        <v>17997</v>
      </c>
      <c r="C107" t="s">
        <v>79</v>
      </c>
      <c r="D107" s="94" t="s">
        <v>408</v>
      </c>
      <c r="E107" t="s">
        <v>41</v>
      </c>
      <c r="F107" t="s">
        <v>558</v>
      </c>
      <c r="G107" s="50" t="s">
        <v>559</v>
      </c>
      <c r="H107" s="50">
        <v>2</v>
      </c>
      <c r="I107" s="100">
        <v>6.7391919697301583</v>
      </c>
      <c r="J107" s="52">
        <v>3834.68</v>
      </c>
      <c r="K107" s="67">
        <f t="shared" si="4"/>
        <v>465090.07599073969</v>
      </c>
      <c r="L107" s="95">
        <f>+VLOOKUP(E107,MARGEN!A:B,2,FALSE)</f>
        <v>0.09</v>
      </c>
      <c r="M107" s="112">
        <f t="shared" si="5"/>
        <v>41858.106839166569</v>
      </c>
      <c r="N107" s="113">
        <f t="shared" si="6"/>
        <v>1860.3603039629588</v>
      </c>
      <c r="O107" s="113">
        <f t="shared" si="7"/>
        <v>421371.60884761019</v>
      </c>
    </row>
    <row r="108" spans="1:15" x14ac:dyDescent="0.25">
      <c r="A108" s="13">
        <v>44449</v>
      </c>
      <c r="B108" s="97">
        <v>17997</v>
      </c>
      <c r="C108" t="s">
        <v>79</v>
      </c>
      <c r="D108" s="94" t="s">
        <v>405</v>
      </c>
      <c r="E108" t="s">
        <v>41</v>
      </c>
      <c r="F108" t="s">
        <v>558</v>
      </c>
      <c r="G108" s="50" t="s">
        <v>559</v>
      </c>
      <c r="H108" s="50">
        <v>2</v>
      </c>
      <c r="I108" s="100">
        <v>6.7391919697301583</v>
      </c>
      <c r="J108" s="52">
        <v>3834.68</v>
      </c>
      <c r="K108" s="67">
        <f t="shared" si="4"/>
        <v>465090.07599073969</v>
      </c>
      <c r="L108" s="95">
        <f>+VLOOKUP(E108,MARGEN!A:B,2,FALSE)</f>
        <v>0.09</v>
      </c>
      <c r="M108" s="112">
        <f t="shared" si="5"/>
        <v>41858.106839166569</v>
      </c>
      <c r="N108" s="113">
        <f t="shared" si="6"/>
        <v>1860.3603039629588</v>
      </c>
      <c r="O108" s="113">
        <f t="shared" si="7"/>
        <v>421371.60884761019</v>
      </c>
    </row>
    <row r="109" spans="1:15" x14ac:dyDescent="0.25">
      <c r="A109" s="13">
        <v>44449</v>
      </c>
      <c r="B109" s="97">
        <v>17997</v>
      </c>
      <c r="C109" t="s">
        <v>79</v>
      </c>
      <c r="D109" s="94" t="s">
        <v>409</v>
      </c>
      <c r="E109" t="s">
        <v>41</v>
      </c>
      <c r="F109" t="s">
        <v>558</v>
      </c>
      <c r="G109" s="50" t="s">
        <v>559</v>
      </c>
      <c r="H109" s="50">
        <v>2</v>
      </c>
      <c r="I109" s="100">
        <v>6.7391919697301583</v>
      </c>
      <c r="J109" s="52">
        <v>3834.68</v>
      </c>
      <c r="K109" s="67">
        <f t="shared" si="4"/>
        <v>465090.07599073969</v>
      </c>
      <c r="L109" s="95">
        <f>+VLOOKUP(E109,MARGEN!A:B,2,FALSE)</f>
        <v>0.09</v>
      </c>
      <c r="M109" s="112">
        <f t="shared" si="5"/>
        <v>41858.106839166569</v>
      </c>
      <c r="N109" s="113">
        <f t="shared" si="6"/>
        <v>1860.3603039629588</v>
      </c>
      <c r="O109" s="113">
        <f t="shared" si="7"/>
        <v>421371.60884761019</v>
      </c>
    </row>
    <row r="110" spans="1:15" x14ac:dyDescent="0.25">
      <c r="A110" s="13">
        <v>44450</v>
      </c>
      <c r="B110" s="97">
        <v>17997</v>
      </c>
      <c r="C110" t="s">
        <v>79</v>
      </c>
      <c r="D110" s="94" t="s">
        <v>409</v>
      </c>
      <c r="E110" t="s">
        <v>41</v>
      </c>
      <c r="F110" t="s">
        <v>558</v>
      </c>
      <c r="G110" s="50" t="s">
        <v>559</v>
      </c>
      <c r="H110" s="50">
        <v>2</v>
      </c>
      <c r="I110" s="100">
        <v>6.7391919697301583</v>
      </c>
      <c r="J110" s="52">
        <v>3834.68</v>
      </c>
      <c r="K110" s="67">
        <f t="shared" si="4"/>
        <v>465090.07599073969</v>
      </c>
      <c r="L110" s="95">
        <f>+VLOOKUP(E110,MARGEN!A:B,2,FALSE)</f>
        <v>0.09</v>
      </c>
      <c r="M110" s="112">
        <f t="shared" si="5"/>
        <v>41858.106839166569</v>
      </c>
      <c r="N110" s="113">
        <f t="shared" si="6"/>
        <v>1860.3603039629588</v>
      </c>
      <c r="O110" s="113">
        <f t="shared" si="7"/>
        <v>421371.60884761019</v>
      </c>
    </row>
    <row r="111" spans="1:15" x14ac:dyDescent="0.25">
      <c r="A111" s="13">
        <v>44450</v>
      </c>
      <c r="B111" s="97">
        <v>17997</v>
      </c>
      <c r="C111" t="s">
        <v>79</v>
      </c>
      <c r="D111" s="94" t="s">
        <v>405</v>
      </c>
      <c r="E111" t="s">
        <v>41</v>
      </c>
      <c r="F111" t="s">
        <v>558</v>
      </c>
      <c r="G111" s="50" t="s">
        <v>559</v>
      </c>
      <c r="H111" s="50">
        <v>2</v>
      </c>
      <c r="I111" s="100">
        <v>6.7391919697301583</v>
      </c>
      <c r="J111" s="52">
        <v>3834.68</v>
      </c>
      <c r="K111" s="67">
        <f t="shared" si="4"/>
        <v>465090.07599073969</v>
      </c>
      <c r="L111" s="95">
        <f>+VLOOKUP(E111,MARGEN!A:B,2,FALSE)</f>
        <v>0.09</v>
      </c>
      <c r="M111" s="112">
        <f t="shared" si="5"/>
        <v>41858.106839166569</v>
      </c>
      <c r="N111" s="113">
        <f t="shared" si="6"/>
        <v>1860.3603039629588</v>
      </c>
      <c r="O111" s="113">
        <f t="shared" si="7"/>
        <v>421371.60884761019</v>
      </c>
    </row>
    <row r="112" spans="1:15" x14ac:dyDescent="0.25">
      <c r="A112" s="13">
        <v>44450</v>
      </c>
      <c r="B112" s="97">
        <v>17997</v>
      </c>
      <c r="C112" t="s">
        <v>79</v>
      </c>
      <c r="D112" s="94" t="s">
        <v>406</v>
      </c>
      <c r="E112" t="s">
        <v>41</v>
      </c>
      <c r="F112" t="s">
        <v>558</v>
      </c>
      <c r="G112" s="50" t="s">
        <v>559</v>
      </c>
      <c r="H112" s="50">
        <v>2</v>
      </c>
      <c r="I112" s="100">
        <v>6.7391919697301583</v>
      </c>
      <c r="J112" s="52">
        <v>3834.68</v>
      </c>
      <c r="K112" s="67">
        <f t="shared" si="4"/>
        <v>465090.07599073969</v>
      </c>
      <c r="L112" s="95">
        <f>+VLOOKUP(E112,MARGEN!A:B,2,FALSE)</f>
        <v>0.09</v>
      </c>
      <c r="M112" s="112">
        <f t="shared" si="5"/>
        <v>41858.106839166569</v>
      </c>
      <c r="N112" s="113">
        <f t="shared" si="6"/>
        <v>1860.3603039629588</v>
      </c>
      <c r="O112" s="113">
        <f t="shared" si="7"/>
        <v>421371.60884761019</v>
      </c>
    </row>
    <row r="113" spans="1:15" x14ac:dyDescent="0.25">
      <c r="A113" s="13">
        <v>44450</v>
      </c>
      <c r="B113" s="97">
        <v>17997</v>
      </c>
      <c r="C113" t="s">
        <v>79</v>
      </c>
      <c r="D113" s="94" t="s">
        <v>408</v>
      </c>
      <c r="E113" t="s">
        <v>41</v>
      </c>
      <c r="F113" t="s">
        <v>558</v>
      </c>
      <c r="G113" s="50" t="s">
        <v>559</v>
      </c>
      <c r="H113" s="50">
        <v>2</v>
      </c>
      <c r="I113" s="100">
        <v>6.7391919697301583</v>
      </c>
      <c r="J113" s="52">
        <v>3834.68</v>
      </c>
      <c r="K113" s="67">
        <f t="shared" si="4"/>
        <v>465090.07599073969</v>
      </c>
      <c r="L113" s="95">
        <f>+VLOOKUP(E113,MARGEN!A:B,2,FALSE)</f>
        <v>0.09</v>
      </c>
      <c r="M113" s="112">
        <f t="shared" si="5"/>
        <v>41858.106839166569</v>
      </c>
      <c r="N113" s="113">
        <f t="shared" si="6"/>
        <v>1860.3603039629588</v>
      </c>
      <c r="O113" s="113">
        <f t="shared" si="7"/>
        <v>421371.60884761019</v>
      </c>
    </row>
    <row r="114" spans="1:15" x14ac:dyDescent="0.25">
      <c r="A114" s="13">
        <v>44451</v>
      </c>
      <c r="B114" s="97">
        <v>17997</v>
      </c>
      <c r="C114" t="s">
        <v>79</v>
      </c>
      <c r="D114" s="94" t="s">
        <v>406</v>
      </c>
      <c r="E114" t="s">
        <v>41</v>
      </c>
      <c r="F114" t="s">
        <v>566</v>
      </c>
      <c r="G114" s="50" t="s">
        <v>559</v>
      </c>
      <c r="H114" s="50">
        <v>2</v>
      </c>
      <c r="I114" s="100">
        <v>6.7391919697301583</v>
      </c>
      <c r="J114" s="52">
        <v>3834.68</v>
      </c>
      <c r="K114" s="67">
        <f t="shared" si="4"/>
        <v>465090.07599073969</v>
      </c>
      <c r="L114" s="95">
        <f>+VLOOKUP(E114,MARGEN!A:B,2,FALSE)</f>
        <v>0.09</v>
      </c>
      <c r="M114" s="112">
        <f t="shared" si="5"/>
        <v>41858.106839166569</v>
      </c>
      <c r="N114" s="113">
        <f t="shared" si="6"/>
        <v>1860.3603039629588</v>
      </c>
      <c r="O114" s="113">
        <f t="shared" si="7"/>
        <v>421371.60884761019</v>
      </c>
    </row>
    <row r="115" spans="1:15" x14ac:dyDescent="0.25">
      <c r="A115" s="13">
        <v>44451</v>
      </c>
      <c r="B115" s="97">
        <v>17997</v>
      </c>
      <c r="C115" t="s">
        <v>79</v>
      </c>
      <c r="D115" s="94" t="s">
        <v>409</v>
      </c>
      <c r="E115" t="s">
        <v>41</v>
      </c>
      <c r="F115" t="s">
        <v>566</v>
      </c>
      <c r="G115" s="50" t="s">
        <v>559</v>
      </c>
      <c r="H115" s="50">
        <v>2</v>
      </c>
      <c r="I115" s="100">
        <v>6.7391919697301583</v>
      </c>
      <c r="J115" s="52">
        <v>3834.68</v>
      </c>
      <c r="K115" s="67">
        <f t="shared" si="4"/>
        <v>465090.07599073969</v>
      </c>
      <c r="L115" s="95">
        <f>+VLOOKUP(E115,MARGEN!A:B,2,FALSE)</f>
        <v>0.09</v>
      </c>
      <c r="M115" s="112">
        <f t="shared" si="5"/>
        <v>41858.106839166569</v>
      </c>
      <c r="N115" s="113">
        <f t="shared" si="6"/>
        <v>1860.3603039629588</v>
      </c>
      <c r="O115" s="113">
        <f t="shared" si="7"/>
        <v>421371.60884761019</v>
      </c>
    </row>
    <row r="116" spans="1:15" x14ac:dyDescent="0.25">
      <c r="A116" s="13">
        <v>44451</v>
      </c>
      <c r="B116" s="97">
        <v>17997</v>
      </c>
      <c r="C116" t="s">
        <v>79</v>
      </c>
      <c r="D116" s="94" t="s">
        <v>408</v>
      </c>
      <c r="E116" t="s">
        <v>41</v>
      </c>
      <c r="F116" t="s">
        <v>566</v>
      </c>
      <c r="G116" s="50" t="s">
        <v>559</v>
      </c>
      <c r="H116" s="50">
        <v>2</v>
      </c>
      <c r="I116" s="100">
        <v>6.7391919697301583</v>
      </c>
      <c r="J116" s="52">
        <v>3834.68</v>
      </c>
      <c r="K116" s="67">
        <f t="shared" si="4"/>
        <v>465090.07599073969</v>
      </c>
      <c r="L116" s="95">
        <f>+VLOOKUP(E116,MARGEN!A:B,2,FALSE)</f>
        <v>0.09</v>
      </c>
      <c r="M116" s="112">
        <f t="shared" si="5"/>
        <v>41858.106839166569</v>
      </c>
      <c r="N116" s="113">
        <f t="shared" si="6"/>
        <v>1860.3603039629588</v>
      </c>
      <c r="O116" s="113">
        <f t="shared" si="7"/>
        <v>421371.60884761019</v>
      </c>
    </row>
    <row r="117" spans="1:15" x14ac:dyDescent="0.25">
      <c r="A117" s="13">
        <v>44451</v>
      </c>
      <c r="B117" s="97">
        <v>17997</v>
      </c>
      <c r="C117" t="s">
        <v>79</v>
      </c>
      <c r="D117" s="94" t="s">
        <v>405</v>
      </c>
      <c r="E117" t="s">
        <v>41</v>
      </c>
      <c r="F117" t="s">
        <v>566</v>
      </c>
      <c r="G117" s="50" t="s">
        <v>559</v>
      </c>
      <c r="H117" s="50">
        <v>2</v>
      </c>
      <c r="I117" s="100">
        <v>6.7391919697301583</v>
      </c>
      <c r="J117" s="52">
        <v>3834.68</v>
      </c>
      <c r="K117" s="67">
        <f t="shared" si="4"/>
        <v>465090.07599073969</v>
      </c>
      <c r="L117" s="95">
        <f>+VLOOKUP(E117,MARGEN!A:B,2,FALSE)</f>
        <v>0.09</v>
      </c>
      <c r="M117" s="112">
        <f t="shared" si="5"/>
        <v>41858.106839166569</v>
      </c>
      <c r="N117" s="113">
        <f t="shared" si="6"/>
        <v>1860.3603039629588</v>
      </c>
      <c r="O117" s="113">
        <f t="shared" si="7"/>
        <v>421371.60884761019</v>
      </c>
    </row>
    <row r="118" spans="1:15" x14ac:dyDescent="0.25">
      <c r="A118" s="13">
        <v>44452</v>
      </c>
      <c r="B118" s="97">
        <v>17997</v>
      </c>
      <c r="C118" t="s">
        <v>79</v>
      </c>
      <c r="D118" s="94" t="s">
        <v>406</v>
      </c>
      <c r="E118" t="s">
        <v>41</v>
      </c>
      <c r="F118" t="s">
        <v>558</v>
      </c>
      <c r="G118" s="50" t="s">
        <v>559</v>
      </c>
      <c r="H118" s="50">
        <v>2</v>
      </c>
      <c r="I118" s="100">
        <v>6.7391919697301583</v>
      </c>
      <c r="J118" s="52">
        <v>3834.68</v>
      </c>
      <c r="K118" s="67">
        <f t="shared" si="4"/>
        <v>465090.07599073969</v>
      </c>
      <c r="L118" s="95">
        <f>+VLOOKUP(E118,MARGEN!A:B,2,FALSE)</f>
        <v>0.09</v>
      </c>
      <c r="M118" s="112">
        <f t="shared" si="5"/>
        <v>41858.106839166569</v>
      </c>
      <c r="N118" s="113">
        <f t="shared" si="6"/>
        <v>1860.3603039629588</v>
      </c>
      <c r="O118" s="113">
        <f t="shared" si="7"/>
        <v>421371.60884761019</v>
      </c>
    </row>
    <row r="119" spans="1:15" x14ac:dyDescent="0.25">
      <c r="A119" s="13">
        <v>44452</v>
      </c>
      <c r="B119" s="97">
        <v>17997</v>
      </c>
      <c r="C119" t="s">
        <v>79</v>
      </c>
      <c r="D119" s="94" t="s">
        <v>409</v>
      </c>
      <c r="E119" t="s">
        <v>41</v>
      </c>
      <c r="F119" t="s">
        <v>558</v>
      </c>
      <c r="G119" s="50" t="s">
        <v>559</v>
      </c>
      <c r="H119" s="50">
        <v>2</v>
      </c>
      <c r="I119" s="100">
        <v>6.7391919697301583</v>
      </c>
      <c r="J119" s="52">
        <v>3834.68</v>
      </c>
      <c r="K119" s="67">
        <f t="shared" si="4"/>
        <v>465090.07599073969</v>
      </c>
      <c r="L119" s="95">
        <f>+VLOOKUP(E119,MARGEN!A:B,2,FALSE)</f>
        <v>0.09</v>
      </c>
      <c r="M119" s="112">
        <f t="shared" si="5"/>
        <v>41858.106839166569</v>
      </c>
      <c r="N119" s="113">
        <f t="shared" si="6"/>
        <v>1860.3603039629588</v>
      </c>
      <c r="O119" s="113">
        <f t="shared" si="7"/>
        <v>421371.60884761019</v>
      </c>
    </row>
    <row r="120" spans="1:15" x14ac:dyDescent="0.25">
      <c r="A120" s="13">
        <v>44452</v>
      </c>
      <c r="B120" s="97">
        <v>17997</v>
      </c>
      <c r="C120" t="s">
        <v>79</v>
      </c>
      <c r="D120" s="94" t="s">
        <v>405</v>
      </c>
      <c r="E120" t="s">
        <v>41</v>
      </c>
      <c r="F120" t="s">
        <v>558</v>
      </c>
      <c r="G120" s="50" t="s">
        <v>559</v>
      </c>
      <c r="H120" s="50">
        <v>2</v>
      </c>
      <c r="I120" s="100">
        <v>6.7391919697301583</v>
      </c>
      <c r="J120" s="52">
        <v>3834.68</v>
      </c>
      <c r="K120" s="67">
        <f t="shared" si="4"/>
        <v>465090.07599073969</v>
      </c>
      <c r="L120" s="95">
        <f>+VLOOKUP(E120,MARGEN!A:B,2,FALSE)</f>
        <v>0.09</v>
      </c>
      <c r="M120" s="112">
        <f t="shared" si="5"/>
        <v>41858.106839166569</v>
      </c>
      <c r="N120" s="113">
        <f t="shared" si="6"/>
        <v>1860.3603039629588</v>
      </c>
      <c r="O120" s="113">
        <f t="shared" si="7"/>
        <v>421371.60884761019</v>
      </c>
    </row>
    <row r="121" spans="1:15" x14ac:dyDescent="0.25">
      <c r="A121" s="13">
        <v>44452</v>
      </c>
      <c r="B121" s="97">
        <v>17997</v>
      </c>
      <c r="C121" t="s">
        <v>79</v>
      </c>
      <c r="D121" t="s">
        <v>408</v>
      </c>
      <c r="E121" t="s">
        <v>41</v>
      </c>
      <c r="F121" t="s">
        <v>558</v>
      </c>
      <c r="G121" s="50" t="s">
        <v>559</v>
      </c>
      <c r="H121" s="50">
        <v>2</v>
      </c>
      <c r="I121" s="100">
        <v>6.7391919697301583</v>
      </c>
      <c r="J121" s="52">
        <v>3834.68</v>
      </c>
      <c r="K121" s="67">
        <f t="shared" si="4"/>
        <v>465090.07599073969</v>
      </c>
      <c r="L121" s="95">
        <f>+VLOOKUP(E121,MARGEN!A:B,2,FALSE)</f>
        <v>0.09</v>
      </c>
      <c r="M121" s="112">
        <f t="shared" si="5"/>
        <v>41858.106839166569</v>
      </c>
      <c r="N121" s="113">
        <f t="shared" si="6"/>
        <v>1860.3603039629588</v>
      </c>
      <c r="O121" s="113">
        <f t="shared" si="7"/>
        <v>421371.60884761019</v>
      </c>
    </row>
    <row r="122" spans="1:15" x14ac:dyDescent="0.25">
      <c r="A122" s="13">
        <v>44453</v>
      </c>
      <c r="B122" s="97">
        <v>17997</v>
      </c>
      <c r="C122" t="s">
        <v>79</v>
      </c>
      <c r="D122" s="94" t="s">
        <v>409</v>
      </c>
      <c r="E122" t="s">
        <v>41</v>
      </c>
      <c r="F122" t="s">
        <v>558</v>
      </c>
      <c r="G122" s="50" t="s">
        <v>559</v>
      </c>
      <c r="H122" s="50">
        <v>2</v>
      </c>
      <c r="I122" s="100">
        <v>6.7391919697301583</v>
      </c>
      <c r="J122" s="52">
        <v>3834.68</v>
      </c>
      <c r="K122" s="67">
        <f t="shared" si="4"/>
        <v>465090.07599073969</v>
      </c>
      <c r="L122" s="95">
        <f>+VLOOKUP(E122,MARGEN!A:B,2,FALSE)</f>
        <v>0.09</v>
      </c>
      <c r="M122" s="112">
        <f t="shared" si="5"/>
        <v>41858.106839166569</v>
      </c>
      <c r="N122" s="113">
        <f t="shared" si="6"/>
        <v>1860.3603039629588</v>
      </c>
      <c r="O122" s="113">
        <f t="shared" si="7"/>
        <v>421371.60884761019</v>
      </c>
    </row>
    <row r="123" spans="1:15" x14ac:dyDescent="0.25">
      <c r="A123" s="13">
        <v>44453</v>
      </c>
      <c r="B123" s="97">
        <v>17997</v>
      </c>
      <c r="C123" t="s">
        <v>79</v>
      </c>
      <c r="D123" s="94" t="s">
        <v>408</v>
      </c>
      <c r="E123" t="s">
        <v>41</v>
      </c>
      <c r="F123" t="s">
        <v>558</v>
      </c>
      <c r="G123" s="50" t="s">
        <v>559</v>
      </c>
      <c r="H123" s="50">
        <v>2</v>
      </c>
      <c r="I123" s="100">
        <v>6.7391919697301583</v>
      </c>
      <c r="J123" s="52">
        <v>3834.68</v>
      </c>
      <c r="K123" s="67">
        <f t="shared" si="4"/>
        <v>465090.07599073969</v>
      </c>
      <c r="L123" s="95">
        <f>+VLOOKUP(E123,MARGEN!A:B,2,FALSE)</f>
        <v>0.09</v>
      </c>
      <c r="M123" s="112">
        <f t="shared" si="5"/>
        <v>41858.106839166569</v>
      </c>
      <c r="N123" s="113">
        <f t="shared" si="6"/>
        <v>1860.3603039629588</v>
      </c>
      <c r="O123" s="113">
        <f t="shared" si="7"/>
        <v>421371.60884761019</v>
      </c>
    </row>
    <row r="124" spans="1:15" x14ac:dyDescent="0.25">
      <c r="A124" s="13">
        <v>44453</v>
      </c>
      <c r="B124" s="97">
        <v>17997</v>
      </c>
      <c r="C124" t="s">
        <v>79</v>
      </c>
      <c r="D124" s="94" t="s">
        <v>406</v>
      </c>
      <c r="E124" t="s">
        <v>41</v>
      </c>
      <c r="F124" t="s">
        <v>558</v>
      </c>
      <c r="G124" s="50" t="s">
        <v>559</v>
      </c>
      <c r="H124" s="50">
        <v>2</v>
      </c>
      <c r="I124" s="100">
        <v>6.7391919697301583</v>
      </c>
      <c r="J124" s="52">
        <v>3834.68</v>
      </c>
      <c r="K124" s="67">
        <f t="shared" si="4"/>
        <v>465090.07599073969</v>
      </c>
      <c r="L124" s="95">
        <f>+VLOOKUP(E124,MARGEN!A:B,2,FALSE)</f>
        <v>0.09</v>
      </c>
      <c r="M124" s="112">
        <f t="shared" si="5"/>
        <v>41858.106839166569</v>
      </c>
      <c r="N124" s="113">
        <f t="shared" si="6"/>
        <v>1860.3603039629588</v>
      </c>
      <c r="O124" s="113">
        <f t="shared" si="7"/>
        <v>421371.60884761019</v>
      </c>
    </row>
    <row r="125" spans="1:15" x14ac:dyDescent="0.25">
      <c r="A125" s="13">
        <v>44453</v>
      </c>
      <c r="B125" s="97">
        <v>17997</v>
      </c>
      <c r="C125" t="s">
        <v>79</v>
      </c>
      <c r="D125" s="94" t="s">
        <v>405</v>
      </c>
      <c r="E125" t="s">
        <v>41</v>
      </c>
      <c r="F125" t="s">
        <v>558</v>
      </c>
      <c r="G125" s="50" t="s">
        <v>559</v>
      </c>
      <c r="H125" s="50">
        <v>2</v>
      </c>
      <c r="I125" s="100">
        <v>6.7391919697301583</v>
      </c>
      <c r="J125" s="52">
        <v>3834.68</v>
      </c>
      <c r="K125" s="67">
        <f t="shared" si="4"/>
        <v>465090.07599073969</v>
      </c>
      <c r="L125" s="95">
        <f>+VLOOKUP(E125,MARGEN!A:B,2,FALSE)</f>
        <v>0.09</v>
      </c>
      <c r="M125" s="112">
        <f t="shared" si="5"/>
        <v>41858.106839166569</v>
      </c>
      <c r="N125" s="113">
        <f t="shared" si="6"/>
        <v>1860.3603039629588</v>
      </c>
      <c r="O125" s="113">
        <f t="shared" si="7"/>
        <v>421371.60884761019</v>
      </c>
    </row>
    <row r="126" spans="1:15" x14ac:dyDescent="0.25">
      <c r="A126" s="13">
        <v>44454</v>
      </c>
      <c r="B126" s="97">
        <v>17997</v>
      </c>
      <c r="C126" s="88" t="s">
        <v>79</v>
      </c>
      <c r="D126" t="s">
        <v>405</v>
      </c>
      <c r="E126" t="s">
        <v>41</v>
      </c>
      <c r="F126" t="s">
        <v>558</v>
      </c>
      <c r="G126" s="50" t="s">
        <v>559</v>
      </c>
      <c r="H126" s="50">
        <v>2</v>
      </c>
      <c r="I126" s="100">
        <v>6.7391919697301583</v>
      </c>
      <c r="J126" s="52">
        <v>3834.68</v>
      </c>
      <c r="K126" s="67">
        <f t="shared" si="4"/>
        <v>465090.07599073969</v>
      </c>
      <c r="L126" s="95">
        <f>+VLOOKUP(E126,MARGEN!A:B,2,FALSE)</f>
        <v>0.09</v>
      </c>
      <c r="M126" s="112">
        <f t="shared" si="5"/>
        <v>41858.106839166569</v>
      </c>
      <c r="N126" s="113">
        <f t="shared" si="6"/>
        <v>1860.3603039629588</v>
      </c>
      <c r="O126" s="113">
        <f t="shared" si="7"/>
        <v>421371.60884761019</v>
      </c>
    </row>
    <row r="127" spans="1:15" x14ac:dyDescent="0.25">
      <c r="A127" s="13">
        <v>44454</v>
      </c>
      <c r="B127" s="97">
        <v>17997</v>
      </c>
      <c r="C127" t="s">
        <v>79</v>
      </c>
      <c r="D127" s="94" t="s">
        <v>406</v>
      </c>
      <c r="E127" t="s">
        <v>41</v>
      </c>
      <c r="F127" t="s">
        <v>558</v>
      </c>
      <c r="G127" s="50" t="s">
        <v>559</v>
      </c>
      <c r="H127" s="50">
        <v>2</v>
      </c>
      <c r="I127" s="100">
        <v>6.7391919697301583</v>
      </c>
      <c r="J127" s="52">
        <v>3834.68</v>
      </c>
      <c r="K127" s="67">
        <f t="shared" si="4"/>
        <v>465090.07599073969</v>
      </c>
      <c r="L127" s="95">
        <f>+VLOOKUP(E127,MARGEN!A:B,2,FALSE)</f>
        <v>0.09</v>
      </c>
      <c r="M127" s="112">
        <f t="shared" si="5"/>
        <v>41858.106839166569</v>
      </c>
      <c r="N127" s="113">
        <f t="shared" si="6"/>
        <v>1860.3603039629588</v>
      </c>
      <c r="O127" s="113">
        <f t="shared" si="7"/>
        <v>421371.60884761019</v>
      </c>
    </row>
    <row r="128" spans="1:15" x14ac:dyDescent="0.25">
      <c r="A128" s="13">
        <v>44454</v>
      </c>
      <c r="B128" s="97">
        <v>17997</v>
      </c>
      <c r="C128" t="s">
        <v>79</v>
      </c>
      <c r="D128" s="94" t="s">
        <v>409</v>
      </c>
      <c r="E128" t="s">
        <v>41</v>
      </c>
      <c r="F128" t="s">
        <v>558</v>
      </c>
      <c r="G128" s="50" t="s">
        <v>559</v>
      </c>
      <c r="H128" s="50">
        <v>2</v>
      </c>
      <c r="I128" s="100">
        <v>6.7391919697301583</v>
      </c>
      <c r="J128" s="52">
        <v>3834.68</v>
      </c>
      <c r="K128" s="67">
        <f t="shared" si="4"/>
        <v>465090.07599073969</v>
      </c>
      <c r="L128" s="95">
        <f>+VLOOKUP(E128,MARGEN!A:B,2,FALSE)</f>
        <v>0.09</v>
      </c>
      <c r="M128" s="112">
        <f t="shared" si="5"/>
        <v>41858.106839166569</v>
      </c>
      <c r="N128" s="113">
        <f t="shared" si="6"/>
        <v>1860.3603039629588</v>
      </c>
      <c r="O128" s="113">
        <f t="shared" si="7"/>
        <v>421371.60884761019</v>
      </c>
    </row>
    <row r="129" spans="1:15" x14ac:dyDescent="0.25">
      <c r="A129" s="13">
        <v>44454</v>
      </c>
      <c r="B129" s="97">
        <v>17997</v>
      </c>
      <c r="C129" t="s">
        <v>79</v>
      </c>
      <c r="D129" s="94" t="s">
        <v>408</v>
      </c>
      <c r="E129" t="s">
        <v>41</v>
      </c>
      <c r="F129" t="s">
        <v>558</v>
      </c>
      <c r="G129" s="50" t="s">
        <v>559</v>
      </c>
      <c r="H129" s="50">
        <v>2</v>
      </c>
      <c r="I129" s="100">
        <v>6.7391919697301583</v>
      </c>
      <c r="J129" s="52">
        <v>3834.68</v>
      </c>
      <c r="K129" s="67">
        <f t="shared" si="4"/>
        <v>465090.07599073969</v>
      </c>
      <c r="L129" s="95">
        <f>+VLOOKUP(E129,MARGEN!A:B,2,FALSE)</f>
        <v>0.09</v>
      </c>
      <c r="M129" s="112">
        <f t="shared" si="5"/>
        <v>41858.106839166569</v>
      </c>
      <c r="N129" s="113">
        <f t="shared" si="6"/>
        <v>1860.3603039629588</v>
      </c>
      <c r="O129" s="113">
        <f t="shared" si="7"/>
        <v>421371.60884761019</v>
      </c>
    </row>
    <row r="130" spans="1:15" x14ac:dyDescent="0.25">
      <c r="A130" s="13">
        <v>44455</v>
      </c>
      <c r="B130" s="97">
        <v>17997</v>
      </c>
      <c r="C130" t="s">
        <v>79</v>
      </c>
      <c r="D130" s="94" t="s">
        <v>405</v>
      </c>
      <c r="E130" t="s">
        <v>41</v>
      </c>
      <c r="F130" t="s">
        <v>558</v>
      </c>
      <c r="G130" s="50" t="s">
        <v>559</v>
      </c>
      <c r="H130" s="50">
        <v>2</v>
      </c>
      <c r="I130" s="100">
        <v>6.7391919697301583</v>
      </c>
      <c r="J130" s="52">
        <v>3834.68</v>
      </c>
      <c r="K130" s="67">
        <f t="shared" ref="K130:K193" si="8">+B130*I130*J130/1000</f>
        <v>465090.07599073969</v>
      </c>
      <c r="L130" s="95">
        <f>+VLOOKUP(E130,MARGEN!A:B,2,FALSE)</f>
        <v>0.09</v>
      </c>
      <c r="M130" s="112">
        <f t="shared" si="5"/>
        <v>41858.106839166569</v>
      </c>
      <c r="N130" s="113">
        <f t="shared" si="6"/>
        <v>1860.3603039629588</v>
      </c>
      <c r="O130" s="113">
        <f t="shared" si="7"/>
        <v>421371.60884761019</v>
      </c>
    </row>
    <row r="131" spans="1:15" x14ac:dyDescent="0.25">
      <c r="A131" s="13">
        <v>44455</v>
      </c>
      <c r="B131" s="97">
        <v>17997</v>
      </c>
      <c r="C131" t="s">
        <v>79</v>
      </c>
      <c r="D131" s="94" t="s">
        <v>406</v>
      </c>
      <c r="E131" t="s">
        <v>41</v>
      </c>
      <c r="F131" t="s">
        <v>558</v>
      </c>
      <c r="G131" s="50" t="s">
        <v>559</v>
      </c>
      <c r="H131" s="50">
        <v>2</v>
      </c>
      <c r="I131" s="100">
        <v>6.7391919697301583</v>
      </c>
      <c r="J131" s="52">
        <v>3834.68</v>
      </c>
      <c r="K131" s="67">
        <f t="shared" si="8"/>
        <v>465090.07599073969</v>
      </c>
      <c r="L131" s="95">
        <f>+VLOOKUP(E131,MARGEN!A:B,2,FALSE)</f>
        <v>0.09</v>
      </c>
      <c r="M131" s="112">
        <f t="shared" ref="M131:M194" si="9">+K131*L131</f>
        <v>41858.106839166569</v>
      </c>
      <c r="N131" s="113">
        <f t="shared" ref="N131:N194" si="10">+K131*4/1000</f>
        <v>1860.3603039629588</v>
      </c>
      <c r="O131" s="113">
        <f t="shared" ref="O131:O194" si="11">+K131-M131-N131</f>
        <v>421371.60884761019</v>
      </c>
    </row>
    <row r="132" spans="1:15" x14ac:dyDescent="0.25">
      <c r="A132" s="13">
        <v>44455</v>
      </c>
      <c r="B132" s="97">
        <v>17997</v>
      </c>
      <c r="C132" t="s">
        <v>79</v>
      </c>
      <c r="D132" t="s">
        <v>409</v>
      </c>
      <c r="E132" t="s">
        <v>41</v>
      </c>
      <c r="F132" t="s">
        <v>558</v>
      </c>
      <c r="G132" s="50" t="s">
        <v>559</v>
      </c>
      <c r="H132" s="50">
        <v>2</v>
      </c>
      <c r="I132" s="100">
        <v>6.7391919697301583</v>
      </c>
      <c r="J132" s="52">
        <v>3834.68</v>
      </c>
      <c r="K132" s="67">
        <f t="shared" si="8"/>
        <v>465090.07599073969</v>
      </c>
      <c r="L132" s="95">
        <f>+VLOOKUP(E132,MARGEN!A:B,2,FALSE)</f>
        <v>0.09</v>
      </c>
      <c r="M132" s="112">
        <f t="shared" si="9"/>
        <v>41858.106839166569</v>
      </c>
      <c r="N132" s="113">
        <f t="shared" si="10"/>
        <v>1860.3603039629588</v>
      </c>
      <c r="O132" s="113">
        <f t="shared" si="11"/>
        <v>421371.60884761019</v>
      </c>
    </row>
    <row r="133" spans="1:15" x14ac:dyDescent="0.25">
      <c r="A133" s="13">
        <v>44455</v>
      </c>
      <c r="B133" s="97">
        <v>17997</v>
      </c>
      <c r="C133" t="s">
        <v>79</v>
      </c>
      <c r="D133" s="94" t="s">
        <v>408</v>
      </c>
      <c r="E133" t="s">
        <v>41</v>
      </c>
      <c r="F133" t="s">
        <v>558</v>
      </c>
      <c r="G133" s="50" t="s">
        <v>559</v>
      </c>
      <c r="H133" s="50">
        <v>2</v>
      </c>
      <c r="I133" s="100">
        <v>6.7391919697301583</v>
      </c>
      <c r="J133" s="52">
        <v>3834.68</v>
      </c>
      <c r="K133" s="67">
        <f t="shared" si="8"/>
        <v>465090.07599073969</v>
      </c>
      <c r="L133" s="95">
        <f>+VLOOKUP(E133,MARGEN!A:B,2,FALSE)</f>
        <v>0.09</v>
      </c>
      <c r="M133" s="112">
        <f t="shared" si="9"/>
        <v>41858.106839166569</v>
      </c>
      <c r="N133" s="113">
        <f t="shared" si="10"/>
        <v>1860.3603039629588</v>
      </c>
      <c r="O133" s="113">
        <f t="shared" si="11"/>
        <v>421371.60884761019</v>
      </c>
    </row>
    <row r="134" spans="1:15" x14ac:dyDescent="0.25">
      <c r="A134" s="13">
        <v>44456</v>
      </c>
      <c r="B134" s="97">
        <v>17997</v>
      </c>
      <c r="C134" t="s">
        <v>79</v>
      </c>
      <c r="D134" s="94" t="s">
        <v>405</v>
      </c>
      <c r="E134" t="s">
        <v>41</v>
      </c>
      <c r="F134" t="s">
        <v>558</v>
      </c>
      <c r="G134" s="50" t="s">
        <v>559</v>
      </c>
      <c r="H134" s="50">
        <v>2</v>
      </c>
      <c r="I134" s="100">
        <v>6.7391919697301583</v>
      </c>
      <c r="J134" s="52">
        <v>3834.68</v>
      </c>
      <c r="K134" s="67">
        <f t="shared" si="8"/>
        <v>465090.07599073969</v>
      </c>
      <c r="L134" s="95">
        <f>+VLOOKUP(E134,MARGEN!A:B,2,FALSE)</f>
        <v>0.09</v>
      </c>
      <c r="M134" s="112">
        <f t="shared" si="9"/>
        <v>41858.106839166569</v>
      </c>
      <c r="N134" s="113">
        <f t="shared" si="10"/>
        <v>1860.3603039629588</v>
      </c>
      <c r="O134" s="113">
        <f t="shared" si="11"/>
        <v>421371.60884761019</v>
      </c>
    </row>
    <row r="135" spans="1:15" x14ac:dyDescent="0.25">
      <c r="A135" s="13">
        <v>44456</v>
      </c>
      <c r="B135" s="97">
        <v>17997</v>
      </c>
      <c r="C135" t="s">
        <v>79</v>
      </c>
      <c r="D135" s="94" t="s">
        <v>409</v>
      </c>
      <c r="E135" t="s">
        <v>41</v>
      </c>
      <c r="F135" t="s">
        <v>558</v>
      </c>
      <c r="G135" s="50" t="s">
        <v>559</v>
      </c>
      <c r="H135" s="50">
        <v>2</v>
      </c>
      <c r="I135" s="100">
        <v>6.7391919697301583</v>
      </c>
      <c r="J135" s="52">
        <v>3834.68</v>
      </c>
      <c r="K135" s="67">
        <f t="shared" si="8"/>
        <v>465090.07599073969</v>
      </c>
      <c r="L135" s="95">
        <f>+VLOOKUP(E135,MARGEN!A:B,2,FALSE)</f>
        <v>0.09</v>
      </c>
      <c r="M135" s="112">
        <f t="shared" si="9"/>
        <v>41858.106839166569</v>
      </c>
      <c r="N135" s="113">
        <f t="shared" si="10"/>
        <v>1860.3603039629588</v>
      </c>
      <c r="O135" s="113">
        <f t="shared" si="11"/>
        <v>421371.60884761019</v>
      </c>
    </row>
    <row r="136" spans="1:15" x14ac:dyDescent="0.25">
      <c r="A136" s="13">
        <v>44456</v>
      </c>
      <c r="B136" s="97">
        <v>17997</v>
      </c>
      <c r="C136" t="s">
        <v>79</v>
      </c>
      <c r="D136" s="94" t="s">
        <v>408</v>
      </c>
      <c r="E136" t="s">
        <v>41</v>
      </c>
      <c r="F136" t="s">
        <v>558</v>
      </c>
      <c r="G136" s="50" t="s">
        <v>559</v>
      </c>
      <c r="H136" s="50">
        <v>2</v>
      </c>
      <c r="I136" s="100">
        <v>6.7391919697301583</v>
      </c>
      <c r="J136" s="52">
        <v>3834.68</v>
      </c>
      <c r="K136" s="67">
        <f t="shared" si="8"/>
        <v>465090.07599073969</v>
      </c>
      <c r="L136" s="95">
        <f>+VLOOKUP(E136,MARGEN!A:B,2,FALSE)</f>
        <v>0.09</v>
      </c>
      <c r="M136" s="112">
        <f t="shared" si="9"/>
        <v>41858.106839166569</v>
      </c>
      <c r="N136" s="113">
        <f t="shared" si="10"/>
        <v>1860.3603039629588</v>
      </c>
      <c r="O136" s="113">
        <f t="shared" si="11"/>
        <v>421371.60884761019</v>
      </c>
    </row>
    <row r="137" spans="1:15" x14ac:dyDescent="0.25">
      <c r="A137" s="13">
        <v>44456</v>
      </c>
      <c r="B137" s="97">
        <v>17997</v>
      </c>
      <c r="C137" t="s">
        <v>79</v>
      </c>
      <c r="D137" s="94" t="s">
        <v>406</v>
      </c>
      <c r="E137" t="s">
        <v>41</v>
      </c>
      <c r="F137" t="s">
        <v>558</v>
      </c>
      <c r="G137" s="50" t="s">
        <v>559</v>
      </c>
      <c r="H137" s="50">
        <v>2</v>
      </c>
      <c r="I137" s="100">
        <v>6.7391919697301583</v>
      </c>
      <c r="J137" s="52">
        <v>3834.68</v>
      </c>
      <c r="K137" s="67">
        <f t="shared" si="8"/>
        <v>465090.07599073969</v>
      </c>
      <c r="L137" s="95">
        <f>+VLOOKUP(E137,MARGEN!A:B,2,FALSE)</f>
        <v>0.09</v>
      </c>
      <c r="M137" s="112">
        <f t="shared" si="9"/>
        <v>41858.106839166569</v>
      </c>
      <c r="N137" s="113">
        <f t="shared" si="10"/>
        <v>1860.3603039629588</v>
      </c>
      <c r="O137" s="113">
        <f t="shared" si="11"/>
        <v>421371.60884761019</v>
      </c>
    </row>
    <row r="138" spans="1:15" x14ac:dyDescent="0.25">
      <c r="A138" s="13">
        <v>44457</v>
      </c>
      <c r="B138" s="97">
        <v>17997</v>
      </c>
      <c r="C138" t="s">
        <v>79</v>
      </c>
      <c r="D138" s="94" t="s">
        <v>409</v>
      </c>
      <c r="E138" t="s">
        <v>41</v>
      </c>
      <c r="F138" t="s">
        <v>558</v>
      </c>
      <c r="G138" s="50" t="s">
        <v>559</v>
      </c>
      <c r="H138" s="50">
        <v>2</v>
      </c>
      <c r="I138" s="100">
        <v>6.7391919697301583</v>
      </c>
      <c r="J138" s="52">
        <v>3834.68</v>
      </c>
      <c r="K138" s="67">
        <f t="shared" si="8"/>
        <v>465090.07599073969</v>
      </c>
      <c r="L138" s="95">
        <f>+VLOOKUP(E138,MARGEN!A:B,2,FALSE)</f>
        <v>0.09</v>
      </c>
      <c r="M138" s="112">
        <f t="shared" si="9"/>
        <v>41858.106839166569</v>
      </c>
      <c r="N138" s="113">
        <f t="shared" si="10"/>
        <v>1860.3603039629588</v>
      </c>
      <c r="O138" s="113">
        <f t="shared" si="11"/>
        <v>421371.60884761019</v>
      </c>
    </row>
    <row r="139" spans="1:15" x14ac:dyDescent="0.25">
      <c r="A139" s="13">
        <v>44457</v>
      </c>
      <c r="B139" s="97">
        <v>17997</v>
      </c>
      <c r="C139" t="s">
        <v>79</v>
      </c>
      <c r="D139" s="94" t="s">
        <v>406</v>
      </c>
      <c r="E139" t="s">
        <v>41</v>
      </c>
      <c r="F139" t="s">
        <v>558</v>
      </c>
      <c r="G139" s="50" t="s">
        <v>559</v>
      </c>
      <c r="H139" s="50">
        <v>2</v>
      </c>
      <c r="I139" s="100">
        <v>6.7391919697301583</v>
      </c>
      <c r="J139" s="52">
        <v>3834.68</v>
      </c>
      <c r="K139" s="67">
        <f t="shared" si="8"/>
        <v>465090.07599073969</v>
      </c>
      <c r="L139" s="95">
        <f>+VLOOKUP(E139,MARGEN!A:B,2,FALSE)</f>
        <v>0.09</v>
      </c>
      <c r="M139" s="112">
        <f t="shared" si="9"/>
        <v>41858.106839166569</v>
      </c>
      <c r="N139" s="113">
        <f t="shared" si="10"/>
        <v>1860.3603039629588</v>
      </c>
      <c r="O139" s="113">
        <f t="shared" si="11"/>
        <v>421371.60884761019</v>
      </c>
    </row>
    <row r="140" spans="1:15" x14ac:dyDescent="0.25">
      <c r="A140" s="13">
        <v>44457</v>
      </c>
      <c r="B140" s="97">
        <v>17997</v>
      </c>
      <c r="C140" t="s">
        <v>79</v>
      </c>
      <c r="D140" s="94" t="s">
        <v>405</v>
      </c>
      <c r="E140" t="s">
        <v>41</v>
      </c>
      <c r="F140" t="s">
        <v>558</v>
      </c>
      <c r="G140" s="50" t="s">
        <v>559</v>
      </c>
      <c r="H140" s="50">
        <v>2</v>
      </c>
      <c r="I140" s="100">
        <v>6.7391919697301583</v>
      </c>
      <c r="J140" s="52">
        <v>3834.68</v>
      </c>
      <c r="K140" s="67">
        <f t="shared" si="8"/>
        <v>465090.07599073969</v>
      </c>
      <c r="L140" s="95">
        <f>+VLOOKUP(E140,MARGEN!A:B,2,FALSE)</f>
        <v>0.09</v>
      </c>
      <c r="M140" s="112">
        <f t="shared" si="9"/>
        <v>41858.106839166569</v>
      </c>
      <c r="N140" s="113">
        <f t="shared" si="10"/>
        <v>1860.3603039629588</v>
      </c>
      <c r="O140" s="113">
        <f t="shared" si="11"/>
        <v>421371.60884761019</v>
      </c>
    </row>
    <row r="141" spans="1:15" x14ac:dyDescent="0.25">
      <c r="A141" s="13">
        <v>44457</v>
      </c>
      <c r="B141" s="97">
        <v>17997</v>
      </c>
      <c r="C141" t="s">
        <v>79</v>
      </c>
      <c r="D141" s="94" t="s">
        <v>408</v>
      </c>
      <c r="E141" t="s">
        <v>41</v>
      </c>
      <c r="F141" t="s">
        <v>558</v>
      </c>
      <c r="G141" s="50" t="s">
        <v>559</v>
      </c>
      <c r="H141" s="50">
        <v>2</v>
      </c>
      <c r="I141" s="100">
        <v>6.7391919697301583</v>
      </c>
      <c r="J141" s="52">
        <v>3834.68</v>
      </c>
      <c r="K141" s="67">
        <f t="shared" si="8"/>
        <v>465090.07599073969</v>
      </c>
      <c r="L141" s="95">
        <f>+VLOOKUP(E141,MARGEN!A:B,2,FALSE)</f>
        <v>0.09</v>
      </c>
      <c r="M141" s="112">
        <f t="shared" si="9"/>
        <v>41858.106839166569</v>
      </c>
      <c r="N141" s="113">
        <f t="shared" si="10"/>
        <v>1860.3603039629588</v>
      </c>
      <c r="O141" s="113">
        <f t="shared" si="11"/>
        <v>421371.60884761019</v>
      </c>
    </row>
    <row r="142" spans="1:15" x14ac:dyDescent="0.25">
      <c r="A142" s="43">
        <v>44458</v>
      </c>
      <c r="B142" s="51">
        <v>17999</v>
      </c>
      <c r="C142" s="66" t="s">
        <v>79</v>
      </c>
      <c r="D142" s="66" t="s">
        <v>406</v>
      </c>
      <c r="E142" t="s">
        <v>41</v>
      </c>
      <c r="F142" s="50" t="s">
        <v>573</v>
      </c>
      <c r="G142" s="50" t="s">
        <v>574</v>
      </c>
      <c r="H142" s="50">
        <v>2</v>
      </c>
      <c r="I142" s="100">
        <v>6.7391919697301583</v>
      </c>
      <c r="J142" s="52">
        <v>3834.68</v>
      </c>
      <c r="K142" s="67">
        <f t="shared" si="8"/>
        <v>465141.7612800647</v>
      </c>
      <c r="L142" s="95">
        <f>+VLOOKUP(E142,MARGEN!A:B,2,FALSE)</f>
        <v>0.09</v>
      </c>
      <c r="M142" s="112">
        <f t="shared" si="9"/>
        <v>41862.758515205824</v>
      </c>
      <c r="N142" s="113">
        <f t="shared" si="10"/>
        <v>1860.5670451202589</v>
      </c>
      <c r="O142" s="113">
        <f t="shared" si="11"/>
        <v>421418.43571973866</v>
      </c>
    </row>
    <row r="143" spans="1:15" x14ac:dyDescent="0.25">
      <c r="A143" s="43">
        <v>44458</v>
      </c>
      <c r="B143" s="51">
        <v>17999</v>
      </c>
      <c r="C143" s="66" t="s">
        <v>79</v>
      </c>
      <c r="D143" s="66" t="s">
        <v>405</v>
      </c>
      <c r="E143" t="s">
        <v>41</v>
      </c>
      <c r="F143" s="50" t="s">
        <v>573</v>
      </c>
      <c r="G143" s="50" t="s">
        <v>574</v>
      </c>
      <c r="H143" s="50">
        <v>2</v>
      </c>
      <c r="I143" s="100">
        <v>6.7391919697301583</v>
      </c>
      <c r="J143" s="52">
        <v>3834.68</v>
      </c>
      <c r="K143" s="67">
        <f t="shared" si="8"/>
        <v>465141.7612800647</v>
      </c>
      <c r="L143" s="95">
        <f>+VLOOKUP(E143,MARGEN!A:B,2,FALSE)</f>
        <v>0.09</v>
      </c>
      <c r="M143" s="112">
        <f t="shared" si="9"/>
        <v>41862.758515205824</v>
      </c>
      <c r="N143" s="113">
        <f t="shared" si="10"/>
        <v>1860.5670451202589</v>
      </c>
      <c r="O143" s="113">
        <f t="shared" si="11"/>
        <v>421418.43571973866</v>
      </c>
    </row>
    <row r="144" spans="1:15" x14ac:dyDescent="0.25">
      <c r="A144" s="43">
        <v>44458</v>
      </c>
      <c r="B144" s="51">
        <v>17999</v>
      </c>
      <c r="C144" s="66" t="s">
        <v>79</v>
      </c>
      <c r="D144" s="66" t="s">
        <v>408</v>
      </c>
      <c r="E144" t="s">
        <v>41</v>
      </c>
      <c r="F144" s="50" t="s">
        <v>573</v>
      </c>
      <c r="G144" s="50" t="s">
        <v>574</v>
      </c>
      <c r="H144" s="50">
        <v>2</v>
      </c>
      <c r="I144" s="100">
        <v>6.7391919697301583</v>
      </c>
      <c r="J144" s="52">
        <v>3834.68</v>
      </c>
      <c r="K144" s="67">
        <f t="shared" si="8"/>
        <v>465141.7612800647</v>
      </c>
      <c r="L144" s="95">
        <f>+VLOOKUP(E144,MARGEN!A:B,2,FALSE)</f>
        <v>0.09</v>
      </c>
      <c r="M144" s="112">
        <f t="shared" si="9"/>
        <v>41862.758515205824</v>
      </c>
      <c r="N144" s="113">
        <f t="shared" si="10"/>
        <v>1860.5670451202589</v>
      </c>
      <c r="O144" s="113">
        <f t="shared" si="11"/>
        <v>421418.43571973866</v>
      </c>
    </row>
    <row r="145" spans="1:15" x14ac:dyDescent="0.25">
      <c r="A145" s="43">
        <v>44458</v>
      </c>
      <c r="B145" s="51">
        <v>17999</v>
      </c>
      <c r="C145" s="66" t="s">
        <v>79</v>
      </c>
      <c r="D145" s="66" t="s">
        <v>409</v>
      </c>
      <c r="E145" t="s">
        <v>41</v>
      </c>
      <c r="F145" s="50" t="s">
        <v>573</v>
      </c>
      <c r="G145" s="50" t="s">
        <v>574</v>
      </c>
      <c r="H145" s="50">
        <v>2</v>
      </c>
      <c r="I145" s="100">
        <v>6.7391919697301583</v>
      </c>
      <c r="J145" s="52">
        <v>3834.68</v>
      </c>
      <c r="K145" s="67">
        <f t="shared" si="8"/>
        <v>465141.7612800647</v>
      </c>
      <c r="L145" s="95">
        <f>+VLOOKUP(E145,MARGEN!A:B,2,FALSE)</f>
        <v>0.09</v>
      </c>
      <c r="M145" s="112">
        <f t="shared" si="9"/>
        <v>41862.758515205824</v>
      </c>
      <c r="N145" s="113">
        <f t="shared" si="10"/>
        <v>1860.5670451202589</v>
      </c>
      <c r="O145" s="113">
        <f t="shared" si="11"/>
        <v>421418.43571973866</v>
      </c>
    </row>
    <row r="146" spans="1:15" x14ac:dyDescent="0.25">
      <c r="A146" s="13">
        <v>44459</v>
      </c>
      <c r="B146" s="97">
        <v>17999</v>
      </c>
      <c r="C146" t="s">
        <v>79</v>
      </c>
      <c r="D146" s="94" t="s">
        <v>406</v>
      </c>
      <c r="E146" t="s">
        <v>41</v>
      </c>
      <c r="F146" t="s">
        <v>573</v>
      </c>
      <c r="G146" s="50" t="s">
        <v>574</v>
      </c>
      <c r="H146" s="50">
        <v>2</v>
      </c>
      <c r="I146" s="100">
        <v>6.7391919697301583</v>
      </c>
      <c r="J146" s="52">
        <v>3834.68</v>
      </c>
      <c r="K146" s="67">
        <f t="shared" si="8"/>
        <v>465141.7612800647</v>
      </c>
      <c r="L146" s="95">
        <f>+VLOOKUP(E146,MARGEN!A:B,2,FALSE)</f>
        <v>0.09</v>
      </c>
      <c r="M146" s="112">
        <f t="shared" si="9"/>
        <v>41862.758515205824</v>
      </c>
      <c r="N146" s="113">
        <f t="shared" si="10"/>
        <v>1860.5670451202589</v>
      </c>
      <c r="O146" s="113">
        <f t="shared" si="11"/>
        <v>421418.43571973866</v>
      </c>
    </row>
    <row r="147" spans="1:15" x14ac:dyDescent="0.25">
      <c r="A147" s="13">
        <v>44459</v>
      </c>
      <c r="B147" s="97">
        <v>17999</v>
      </c>
      <c r="C147" t="s">
        <v>79</v>
      </c>
      <c r="D147" s="94" t="s">
        <v>405</v>
      </c>
      <c r="E147" t="s">
        <v>41</v>
      </c>
      <c r="F147" t="s">
        <v>573</v>
      </c>
      <c r="G147" s="50" t="s">
        <v>574</v>
      </c>
      <c r="H147" s="50">
        <v>2</v>
      </c>
      <c r="I147" s="100">
        <v>6.7391919697301583</v>
      </c>
      <c r="J147" s="52">
        <v>3834.68</v>
      </c>
      <c r="K147" s="67">
        <f t="shared" si="8"/>
        <v>465141.7612800647</v>
      </c>
      <c r="L147" s="95">
        <f>+VLOOKUP(E147,MARGEN!A:B,2,FALSE)</f>
        <v>0.09</v>
      </c>
      <c r="M147" s="112">
        <f t="shared" si="9"/>
        <v>41862.758515205824</v>
      </c>
      <c r="N147" s="113">
        <f t="shared" si="10"/>
        <v>1860.5670451202589</v>
      </c>
      <c r="O147" s="113">
        <f t="shared" si="11"/>
        <v>421418.43571973866</v>
      </c>
    </row>
    <row r="148" spans="1:15" x14ac:dyDescent="0.25">
      <c r="A148" s="13">
        <v>44459</v>
      </c>
      <c r="B148" s="97">
        <v>17999</v>
      </c>
      <c r="C148" t="s">
        <v>79</v>
      </c>
      <c r="D148" s="94" t="s">
        <v>408</v>
      </c>
      <c r="E148" t="s">
        <v>41</v>
      </c>
      <c r="F148" t="s">
        <v>573</v>
      </c>
      <c r="G148" s="50" t="s">
        <v>574</v>
      </c>
      <c r="H148" s="50">
        <v>2</v>
      </c>
      <c r="I148" s="100">
        <v>6.7391919697301583</v>
      </c>
      <c r="J148" s="52">
        <v>3834.68</v>
      </c>
      <c r="K148" s="67">
        <f t="shared" si="8"/>
        <v>465141.7612800647</v>
      </c>
      <c r="L148" s="95">
        <f>+VLOOKUP(E148,MARGEN!A:B,2,FALSE)</f>
        <v>0.09</v>
      </c>
      <c r="M148" s="112">
        <f t="shared" si="9"/>
        <v>41862.758515205824</v>
      </c>
      <c r="N148" s="113">
        <f t="shared" si="10"/>
        <v>1860.5670451202589</v>
      </c>
      <c r="O148" s="113">
        <f t="shared" si="11"/>
        <v>421418.43571973866</v>
      </c>
    </row>
    <row r="149" spans="1:15" x14ac:dyDescent="0.25">
      <c r="A149" s="13">
        <v>44459</v>
      </c>
      <c r="B149" s="51">
        <v>17999</v>
      </c>
      <c r="C149" s="66" t="s">
        <v>79</v>
      </c>
      <c r="D149" s="94" t="s">
        <v>409</v>
      </c>
      <c r="E149" t="s">
        <v>41</v>
      </c>
      <c r="F149" s="50" t="s">
        <v>573</v>
      </c>
      <c r="G149" s="50" t="s">
        <v>574</v>
      </c>
      <c r="H149" s="50">
        <v>2</v>
      </c>
      <c r="I149" s="100">
        <v>6.7391919697301583</v>
      </c>
      <c r="J149" s="52">
        <v>3834.68</v>
      </c>
      <c r="K149" s="67">
        <f t="shared" si="8"/>
        <v>465141.7612800647</v>
      </c>
      <c r="L149" s="95">
        <f>+VLOOKUP(E149,MARGEN!A:B,2,FALSE)</f>
        <v>0.09</v>
      </c>
      <c r="M149" s="112">
        <f t="shared" si="9"/>
        <v>41862.758515205824</v>
      </c>
      <c r="N149" s="113">
        <f t="shared" si="10"/>
        <v>1860.5670451202589</v>
      </c>
      <c r="O149" s="113">
        <f t="shared" si="11"/>
        <v>421418.43571973866</v>
      </c>
    </row>
    <row r="150" spans="1:15" x14ac:dyDescent="0.25">
      <c r="A150" s="13">
        <v>44460</v>
      </c>
      <c r="B150" s="97">
        <v>17999</v>
      </c>
      <c r="C150" t="s">
        <v>79</v>
      </c>
      <c r="D150" s="94" t="s">
        <v>408</v>
      </c>
      <c r="E150" t="s">
        <v>41</v>
      </c>
      <c r="F150" t="s">
        <v>573</v>
      </c>
      <c r="G150" s="50" t="s">
        <v>574</v>
      </c>
      <c r="H150" s="50">
        <v>2</v>
      </c>
      <c r="I150" s="100">
        <v>6.7391919697301583</v>
      </c>
      <c r="J150" s="52">
        <v>3834.68</v>
      </c>
      <c r="K150" s="67">
        <f t="shared" si="8"/>
        <v>465141.7612800647</v>
      </c>
      <c r="L150" s="95">
        <f>+VLOOKUP(E150,MARGEN!A:B,2,FALSE)</f>
        <v>0.09</v>
      </c>
      <c r="M150" s="112">
        <f t="shared" si="9"/>
        <v>41862.758515205824</v>
      </c>
      <c r="N150" s="113">
        <f t="shared" si="10"/>
        <v>1860.5670451202589</v>
      </c>
      <c r="O150" s="113">
        <f t="shared" si="11"/>
        <v>421418.43571973866</v>
      </c>
    </row>
    <row r="151" spans="1:15" x14ac:dyDescent="0.25">
      <c r="A151" s="13">
        <v>44460</v>
      </c>
      <c r="B151" s="97">
        <v>17999</v>
      </c>
      <c r="C151" t="s">
        <v>79</v>
      </c>
      <c r="D151" s="94" t="s">
        <v>405</v>
      </c>
      <c r="E151" t="s">
        <v>41</v>
      </c>
      <c r="F151" t="s">
        <v>573</v>
      </c>
      <c r="G151" s="50" t="s">
        <v>574</v>
      </c>
      <c r="H151" s="50">
        <v>2</v>
      </c>
      <c r="I151" s="100">
        <v>6.7391919697301583</v>
      </c>
      <c r="J151" s="52">
        <v>3834.68</v>
      </c>
      <c r="K151" s="67">
        <f t="shared" si="8"/>
        <v>465141.7612800647</v>
      </c>
      <c r="L151" s="95">
        <f>+VLOOKUP(E151,MARGEN!A:B,2,FALSE)</f>
        <v>0.09</v>
      </c>
      <c r="M151" s="112">
        <f t="shared" si="9"/>
        <v>41862.758515205824</v>
      </c>
      <c r="N151" s="113">
        <f t="shared" si="10"/>
        <v>1860.5670451202589</v>
      </c>
      <c r="O151" s="113">
        <f t="shared" si="11"/>
        <v>421418.43571973866</v>
      </c>
    </row>
    <row r="152" spans="1:15" x14ac:dyDescent="0.25">
      <c r="A152" s="13">
        <v>44460</v>
      </c>
      <c r="B152" s="97">
        <v>17999</v>
      </c>
      <c r="C152" t="s">
        <v>79</v>
      </c>
      <c r="D152" s="94" t="s">
        <v>406</v>
      </c>
      <c r="E152" t="s">
        <v>41</v>
      </c>
      <c r="F152" t="s">
        <v>573</v>
      </c>
      <c r="G152" s="50" t="s">
        <v>574</v>
      </c>
      <c r="H152" s="50">
        <v>2</v>
      </c>
      <c r="I152" s="100">
        <v>6.7391919697301583</v>
      </c>
      <c r="J152" s="52">
        <v>3834.68</v>
      </c>
      <c r="K152" s="67">
        <f t="shared" si="8"/>
        <v>465141.7612800647</v>
      </c>
      <c r="L152" s="95">
        <f>+VLOOKUP(E152,MARGEN!A:B,2,FALSE)</f>
        <v>0.09</v>
      </c>
      <c r="M152" s="112">
        <f t="shared" si="9"/>
        <v>41862.758515205824</v>
      </c>
      <c r="N152" s="113">
        <f t="shared" si="10"/>
        <v>1860.5670451202589</v>
      </c>
      <c r="O152" s="113">
        <f t="shared" si="11"/>
        <v>421418.43571973866</v>
      </c>
    </row>
    <row r="153" spans="1:15" x14ac:dyDescent="0.25">
      <c r="A153" s="13">
        <v>44460</v>
      </c>
      <c r="B153" s="97">
        <v>17999</v>
      </c>
      <c r="C153" t="s">
        <v>79</v>
      </c>
      <c r="D153" s="94" t="s">
        <v>409</v>
      </c>
      <c r="E153" t="s">
        <v>41</v>
      </c>
      <c r="F153" t="s">
        <v>573</v>
      </c>
      <c r="G153" s="50" t="s">
        <v>574</v>
      </c>
      <c r="H153" s="50">
        <v>2</v>
      </c>
      <c r="I153" s="100">
        <v>6.7391919697301583</v>
      </c>
      <c r="J153" s="52">
        <v>3834.68</v>
      </c>
      <c r="K153" s="67">
        <f t="shared" si="8"/>
        <v>465141.7612800647</v>
      </c>
      <c r="L153" s="95">
        <f>+VLOOKUP(E153,MARGEN!A:B,2,FALSE)</f>
        <v>0.09</v>
      </c>
      <c r="M153" s="112">
        <f t="shared" si="9"/>
        <v>41862.758515205824</v>
      </c>
      <c r="N153" s="113">
        <f t="shared" si="10"/>
        <v>1860.5670451202589</v>
      </c>
      <c r="O153" s="113">
        <f t="shared" si="11"/>
        <v>421418.43571973866</v>
      </c>
    </row>
    <row r="154" spans="1:15" x14ac:dyDescent="0.25">
      <c r="A154" s="13">
        <v>44461</v>
      </c>
      <c r="B154" s="97">
        <v>17999</v>
      </c>
      <c r="C154" t="s">
        <v>79</v>
      </c>
      <c r="D154" t="s">
        <v>405</v>
      </c>
      <c r="E154" t="s">
        <v>41</v>
      </c>
      <c r="F154" t="s">
        <v>573</v>
      </c>
      <c r="G154" s="50" t="s">
        <v>574</v>
      </c>
      <c r="H154" s="50">
        <v>2</v>
      </c>
      <c r="I154" s="100">
        <v>6.7391919697301583</v>
      </c>
      <c r="J154" s="52">
        <v>3834.68</v>
      </c>
      <c r="K154" s="67">
        <f t="shared" si="8"/>
        <v>465141.7612800647</v>
      </c>
      <c r="L154" s="95">
        <f>+VLOOKUP(E154,MARGEN!A:B,2,FALSE)</f>
        <v>0.09</v>
      </c>
      <c r="M154" s="112">
        <f t="shared" si="9"/>
        <v>41862.758515205824</v>
      </c>
      <c r="N154" s="113">
        <f t="shared" si="10"/>
        <v>1860.5670451202589</v>
      </c>
      <c r="O154" s="113">
        <f t="shared" si="11"/>
        <v>421418.43571973866</v>
      </c>
    </row>
    <row r="155" spans="1:15" x14ac:dyDescent="0.25">
      <c r="A155" s="13">
        <v>44461</v>
      </c>
      <c r="B155" s="97">
        <v>17999</v>
      </c>
      <c r="C155" t="s">
        <v>79</v>
      </c>
      <c r="D155" t="s">
        <v>408</v>
      </c>
      <c r="E155" t="s">
        <v>41</v>
      </c>
      <c r="F155" t="s">
        <v>573</v>
      </c>
      <c r="G155" s="50" t="s">
        <v>574</v>
      </c>
      <c r="H155" s="50">
        <v>2</v>
      </c>
      <c r="I155" s="100">
        <v>6.7391919697301583</v>
      </c>
      <c r="J155" s="52">
        <v>3834.68</v>
      </c>
      <c r="K155" s="67">
        <f t="shared" si="8"/>
        <v>465141.7612800647</v>
      </c>
      <c r="L155" s="95">
        <f>+VLOOKUP(E155,MARGEN!A:B,2,FALSE)</f>
        <v>0.09</v>
      </c>
      <c r="M155" s="112">
        <f t="shared" si="9"/>
        <v>41862.758515205824</v>
      </c>
      <c r="N155" s="113">
        <f t="shared" si="10"/>
        <v>1860.5670451202589</v>
      </c>
      <c r="O155" s="113">
        <f t="shared" si="11"/>
        <v>421418.43571973866</v>
      </c>
    </row>
    <row r="156" spans="1:15" x14ac:dyDescent="0.25">
      <c r="A156" s="13">
        <v>44461</v>
      </c>
      <c r="B156" s="97">
        <v>17999</v>
      </c>
      <c r="C156" t="s">
        <v>79</v>
      </c>
      <c r="D156" t="s">
        <v>409</v>
      </c>
      <c r="E156" t="s">
        <v>41</v>
      </c>
      <c r="F156" t="s">
        <v>573</v>
      </c>
      <c r="G156" s="50" t="s">
        <v>574</v>
      </c>
      <c r="H156" s="50">
        <v>2</v>
      </c>
      <c r="I156" s="100">
        <v>6.7391919697301583</v>
      </c>
      <c r="J156" s="52">
        <v>3834.68</v>
      </c>
      <c r="K156" s="67">
        <f t="shared" si="8"/>
        <v>465141.7612800647</v>
      </c>
      <c r="L156" s="95">
        <f>+VLOOKUP(E156,MARGEN!A:B,2,FALSE)</f>
        <v>0.09</v>
      </c>
      <c r="M156" s="112">
        <f t="shared" si="9"/>
        <v>41862.758515205824</v>
      </c>
      <c r="N156" s="113">
        <f t="shared" si="10"/>
        <v>1860.5670451202589</v>
      </c>
      <c r="O156" s="113">
        <f t="shared" si="11"/>
        <v>421418.43571973866</v>
      </c>
    </row>
    <row r="157" spans="1:15" x14ac:dyDescent="0.25">
      <c r="A157" s="13">
        <v>44461</v>
      </c>
      <c r="B157" s="97">
        <v>17999</v>
      </c>
      <c r="C157" t="s">
        <v>79</v>
      </c>
      <c r="D157" t="s">
        <v>406</v>
      </c>
      <c r="E157" t="s">
        <v>41</v>
      </c>
      <c r="F157" t="s">
        <v>573</v>
      </c>
      <c r="G157" s="50" t="s">
        <v>574</v>
      </c>
      <c r="H157" s="50">
        <v>2</v>
      </c>
      <c r="I157" s="100">
        <v>6.7391919697301583</v>
      </c>
      <c r="J157" s="52">
        <v>3834.68</v>
      </c>
      <c r="K157" s="67">
        <f t="shared" si="8"/>
        <v>465141.7612800647</v>
      </c>
      <c r="L157" s="95">
        <f>+VLOOKUP(E157,MARGEN!A:B,2,FALSE)</f>
        <v>0.09</v>
      </c>
      <c r="M157" s="112">
        <f t="shared" si="9"/>
        <v>41862.758515205824</v>
      </c>
      <c r="N157" s="113">
        <f t="shared" si="10"/>
        <v>1860.5670451202589</v>
      </c>
      <c r="O157" s="113">
        <f t="shared" si="11"/>
        <v>421418.43571973866</v>
      </c>
    </row>
    <row r="158" spans="1:15" x14ac:dyDescent="0.25">
      <c r="A158" s="13">
        <v>44462</v>
      </c>
      <c r="B158" s="97">
        <v>17999</v>
      </c>
      <c r="C158" t="s">
        <v>79</v>
      </c>
      <c r="D158" t="s">
        <v>406</v>
      </c>
      <c r="E158" t="s">
        <v>41</v>
      </c>
      <c r="F158" t="s">
        <v>573</v>
      </c>
      <c r="G158" s="50" t="s">
        <v>574</v>
      </c>
      <c r="H158" s="50">
        <v>2</v>
      </c>
      <c r="I158" s="100">
        <v>6.7391919697301583</v>
      </c>
      <c r="J158" s="52">
        <v>3834.68</v>
      </c>
      <c r="K158" s="67">
        <f t="shared" si="8"/>
        <v>465141.7612800647</v>
      </c>
      <c r="L158" s="95">
        <f>+VLOOKUP(E158,MARGEN!A:B,2,FALSE)</f>
        <v>0.09</v>
      </c>
      <c r="M158" s="112">
        <f t="shared" si="9"/>
        <v>41862.758515205824</v>
      </c>
      <c r="N158" s="113">
        <f t="shared" si="10"/>
        <v>1860.5670451202589</v>
      </c>
      <c r="O158" s="113">
        <f t="shared" si="11"/>
        <v>421418.43571973866</v>
      </c>
    </row>
    <row r="159" spans="1:15" x14ac:dyDescent="0.25">
      <c r="A159" s="13">
        <v>44462</v>
      </c>
      <c r="B159" s="97">
        <v>17999</v>
      </c>
      <c r="C159" t="s">
        <v>79</v>
      </c>
      <c r="D159" t="s">
        <v>405</v>
      </c>
      <c r="E159" t="s">
        <v>41</v>
      </c>
      <c r="F159" t="s">
        <v>573</v>
      </c>
      <c r="G159" s="50" t="s">
        <v>574</v>
      </c>
      <c r="H159" s="50">
        <v>2</v>
      </c>
      <c r="I159" s="100">
        <v>6.7391919697301583</v>
      </c>
      <c r="J159" s="52">
        <v>3834.68</v>
      </c>
      <c r="K159" s="67">
        <f t="shared" si="8"/>
        <v>465141.7612800647</v>
      </c>
      <c r="L159" s="95">
        <f>+VLOOKUP(E159,MARGEN!A:B,2,FALSE)</f>
        <v>0.09</v>
      </c>
      <c r="M159" s="112">
        <f t="shared" si="9"/>
        <v>41862.758515205824</v>
      </c>
      <c r="N159" s="113">
        <f t="shared" si="10"/>
        <v>1860.5670451202589</v>
      </c>
      <c r="O159" s="113">
        <f t="shared" si="11"/>
        <v>421418.43571973866</v>
      </c>
    </row>
    <row r="160" spans="1:15" x14ac:dyDescent="0.25">
      <c r="A160" s="13">
        <v>44462</v>
      </c>
      <c r="B160" s="97">
        <v>17999</v>
      </c>
      <c r="C160" t="s">
        <v>79</v>
      </c>
      <c r="D160" t="s">
        <v>409</v>
      </c>
      <c r="E160" t="s">
        <v>41</v>
      </c>
      <c r="F160" t="s">
        <v>573</v>
      </c>
      <c r="G160" s="50" t="s">
        <v>574</v>
      </c>
      <c r="H160" s="50">
        <v>2</v>
      </c>
      <c r="I160" s="100">
        <v>6.7391919697301583</v>
      </c>
      <c r="J160" s="52">
        <v>3834.68</v>
      </c>
      <c r="K160" s="67">
        <f t="shared" si="8"/>
        <v>465141.7612800647</v>
      </c>
      <c r="L160" s="95">
        <f>+VLOOKUP(E160,MARGEN!A:B,2,FALSE)</f>
        <v>0.09</v>
      </c>
      <c r="M160" s="112">
        <f t="shared" si="9"/>
        <v>41862.758515205824</v>
      </c>
      <c r="N160" s="113">
        <f t="shared" si="10"/>
        <v>1860.5670451202589</v>
      </c>
      <c r="O160" s="113">
        <f t="shared" si="11"/>
        <v>421418.43571973866</v>
      </c>
    </row>
    <row r="161" spans="1:15" x14ac:dyDescent="0.25">
      <c r="A161" s="13">
        <v>44462</v>
      </c>
      <c r="B161" s="97">
        <v>17999</v>
      </c>
      <c r="C161" t="s">
        <v>79</v>
      </c>
      <c r="D161" t="s">
        <v>408</v>
      </c>
      <c r="E161" t="s">
        <v>41</v>
      </c>
      <c r="F161" t="s">
        <v>573</v>
      </c>
      <c r="G161" s="50" t="s">
        <v>574</v>
      </c>
      <c r="H161" s="50">
        <v>2</v>
      </c>
      <c r="I161" s="100">
        <v>6.7391919697301583</v>
      </c>
      <c r="J161" s="52">
        <v>3834.68</v>
      </c>
      <c r="K161" s="67">
        <f t="shared" si="8"/>
        <v>465141.7612800647</v>
      </c>
      <c r="L161" s="95">
        <f>+VLOOKUP(E161,MARGEN!A:B,2,FALSE)</f>
        <v>0.09</v>
      </c>
      <c r="M161" s="112">
        <f t="shared" si="9"/>
        <v>41862.758515205824</v>
      </c>
      <c r="N161" s="113">
        <f t="shared" si="10"/>
        <v>1860.5670451202589</v>
      </c>
      <c r="O161" s="113">
        <f t="shared" si="11"/>
        <v>421418.43571973866</v>
      </c>
    </row>
    <row r="162" spans="1:15" x14ac:dyDescent="0.25">
      <c r="A162" s="13">
        <v>44463</v>
      </c>
      <c r="B162" s="97">
        <v>17999</v>
      </c>
      <c r="C162" t="s">
        <v>79</v>
      </c>
      <c r="D162" t="s">
        <v>409</v>
      </c>
      <c r="E162" t="s">
        <v>41</v>
      </c>
      <c r="F162" t="s">
        <v>573</v>
      </c>
      <c r="G162" s="50" t="s">
        <v>574</v>
      </c>
      <c r="H162" s="50">
        <v>2</v>
      </c>
      <c r="I162" s="100">
        <v>6.7391919697301583</v>
      </c>
      <c r="J162" s="52">
        <v>3834.68</v>
      </c>
      <c r="K162" s="67">
        <f t="shared" si="8"/>
        <v>465141.7612800647</v>
      </c>
      <c r="L162" s="95">
        <f>+VLOOKUP(E162,MARGEN!A:B,2,FALSE)</f>
        <v>0.09</v>
      </c>
      <c r="M162" s="112">
        <f t="shared" si="9"/>
        <v>41862.758515205824</v>
      </c>
      <c r="N162" s="113">
        <f t="shared" si="10"/>
        <v>1860.5670451202589</v>
      </c>
      <c r="O162" s="113">
        <f t="shared" si="11"/>
        <v>421418.43571973866</v>
      </c>
    </row>
    <row r="163" spans="1:15" x14ac:dyDescent="0.25">
      <c r="A163" s="13">
        <v>44463</v>
      </c>
      <c r="B163" s="97">
        <v>17999</v>
      </c>
      <c r="C163" t="s">
        <v>79</v>
      </c>
      <c r="D163" t="s">
        <v>406</v>
      </c>
      <c r="E163" t="s">
        <v>41</v>
      </c>
      <c r="F163" t="s">
        <v>573</v>
      </c>
      <c r="G163" s="50" t="s">
        <v>574</v>
      </c>
      <c r="H163" s="50">
        <v>2</v>
      </c>
      <c r="I163" s="100">
        <v>6.7391919697301583</v>
      </c>
      <c r="J163" s="52">
        <v>3834.68</v>
      </c>
      <c r="K163" s="67">
        <f t="shared" si="8"/>
        <v>465141.7612800647</v>
      </c>
      <c r="L163" s="95">
        <f>+VLOOKUP(E163,MARGEN!A:B,2,FALSE)</f>
        <v>0.09</v>
      </c>
      <c r="M163" s="112">
        <f t="shared" si="9"/>
        <v>41862.758515205824</v>
      </c>
      <c r="N163" s="113">
        <f t="shared" si="10"/>
        <v>1860.5670451202589</v>
      </c>
      <c r="O163" s="113">
        <f t="shared" si="11"/>
        <v>421418.43571973866</v>
      </c>
    </row>
    <row r="164" spans="1:15" x14ac:dyDescent="0.25">
      <c r="A164" s="13">
        <v>44463</v>
      </c>
      <c r="B164" s="97">
        <v>17999</v>
      </c>
      <c r="C164" t="s">
        <v>79</v>
      </c>
      <c r="D164" t="s">
        <v>405</v>
      </c>
      <c r="E164" t="s">
        <v>41</v>
      </c>
      <c r="F164" t="s">
        <v>573</v>
      </c>
      <c r="G164" s="50" t="s">
        <v>574</v>
      </c>
      <c r="H164" s="50">
        <v>2</v>
      </c>
      <c r="I164" s="100">
        <v>6.7391919697301583</v>
      </c>
      <c r="J164" s="52">
        <v>3834.68</v>
      </c>
      <c r="K164" s="67">
        <f t="shared" si="8"/>
        <v>465141.7612800647</v>
      </c>
      <c r="L164" s="95">
        <f>+VLOOKUP(E164,MARGEN!A:B,2,FALSE)</f>
        <v>0.09</v>
      </c>
      <c r="M164" s="112">
        <f t="shared" si="9"/>
        <v>41862.758515205824</v>
      </c>
      <c r="N164" s="113">
        <f t="shared" si="10"/>
        <v>1860.5670451202589</v>
      </c>
      <c r="O164" s="113">
        <f t="shared" si="11"/>
        <v>421418.43571973866</v>
      </c>
    </row>
    <row r="165" spans="1:15" x14ac:dyDescent="0.25">
      <c r="A165" s="13">
        <v>44463</v>
      </c>
      <c r="B165" s="97">
        <v>17999</v>
      </c>
      <c r="C165" t="s">
        <v>79</v>
      </c>
      <c r="D165" t="s">
        <v>408</v>
      </c>
      <c r="E165" t="s">
        <v>41</v>
      </c>
      <c r="F165" t="s">
        <v>573</v>
      </c>
      <c r="G165" s="50" t="s">
        <v>574</v>
      </c>
      <c r="H165" s="50">
        <v>2</v>
      </c>
      <c r="I165" s="100">
        <v>6.7391919697301583</v>
      </c>
      <c r="J165" s="52">
        <v>3834.68</v>
      </c>
      <c r="K165" s="67">
        <f t="shared" si="8"/>
        <v>465141.7612800647</v>
      </c>
      <c r="L165" s="95">
        <f>+VLOOKUP(E165,MARGEN!A:B,2,FALSE)</f>
        <v>0.09</v>
      </c>
      <c r="M165" s="112">
        <f t="shared" si="9"/>
        <v>41862.758515205824</v>
      </c>
      <c r="N165" s="113">
        <f t="shared" si="10"/>
        <v>1860.5670451202589</v>
      </c>
      <c r="O165" s="113">
        <f t="shared" si="11"/>
        <v>421418.43571973866</v>
      </c>
    </row>
    <row r="166" spans="1:15" x14ac:dyDescent="0.25">
      <c r="A166" s="13">
        <v>44464</v>
      </c>
      <c r="B166" s="97">
        <v>17999</v>
      </c>
      <c r="C166" t="s">
        <v>79</v>
      </c>
      <c r="D166" t="s">
        <v>408</v>
      </c>
      <c r="E166" t="s">
        <v>41</v>
      </c>
      <c r="F166" t="s">
        <v>573</v>
      </c>
      <c r="G166" s="50" t="s">
        <v>574</v>
      </c>
      <c r="H166" s="50">
        <v>2</v>
      </c>
      <c r="I166" s="100">
        <v>6.7391919697301583</v>
      </c>
      <c r="J166" s="52">
        <v>3834.68</v>
      </c>
      <c r="K166" s="67">
        <f t="shared" si="8"/>
        <v>465141.7612800647</v>
      </c>
      <c r="L166" s="95">
        <f>+VLOOKUP(E166,MARGEN!A:B,2,FALSE)</f>
        <v>0.09</v>
      </c>
      <c r="M166" s="112">
        <f t="shared" si="9"/>
        <v>41862.758515205824</v>
      </c>
      <c r="N166" s="113">
        <f t="shared" si="10"/>
        <v>1860.5670451202589</v>
      </c>
      <c r="O166" s="113">
        <f t="shared" si="11"/>
        <v>421418.43571973866</v>
      </c>
    </row>
    <row r="167" spans="1:15" x14ac:dyDescent="0.25">
      <c r="A167" s="13">
        <v>44464</v>
      </c>
      <c r="B167" s="97">
        <v>17999</v>
      </c>
      <c r="C167" t="s">
        <v>79</v>
      </c>
      <c r="D167" t="s">
        <v>406</v>
      </c>
      <c r="E167" t="s">
        <v>41</v>
      </c>
      <c r="F167" t="s">
        <v>573</v>
      </c>
      <c r="G167" s="50" t="s">
        <v>574</v>
      </c>
      <c r="H167" s="50">
        <v>2</v>
      </c>
      <c r="I167" s="100">
        <v>6.7391919697301583</v>
      </c>
      <c r="J167" s="52">
        <v>3834.68</v>
      </c>
      <c r="K167" s="67">
        <f t="shared" si="8"/>
        <v>465141.7612800647</v>
      </c>
      <c r="L167" s="95">
        <f>+VLOOKUP(E167,MARGEN!A:B,2,FALSE)</f>
        <v>0.09</v>
      </c>
      <c r="M167" s="112">
        <f t="shared" si="9"/>
        <v>41862.758515205824</v>
      </c>
      <c r="N167" s="113">
        <f t="shared" si="10"/>
        <v>1860.5670451202589</v>
      </c>
      <c r="O167" s="113">
        <f t="shared" si="11"/>
        <v>421418.43571973866</v>
      </c>
    </row>
    <row r="168" spans="1:15" x14ac:dyDescent="0.25">
      <c r="A168" s="13">
        <v>44464</v>
      </c>
      <c r="B168" s="97">
        <v>17999</v>
      </c>
      <c r="C168" t="s">
        <v>79</v>
      </c>
      <c r="D168" t="s">
        <v>405</v>
      </c>
      <c r="E168" t="s">
        <v>41</v>
      </c>
      <c r="F168" t="s">
        <v>573</v>
      </c>
      <c r="G168" s="50" t="s">
        <v>574</v>
      </c>
      <c r="H168" s="50">
        <v>2</v>
      </c>
      <c r="I168" s="100">
        <v>6.7391919697301583</v>
      </c>
      <c r="J168" s="52">
        <v>3834.68</v>
      </c>
      <c r="K168" s="67">
        <f t="shared" si="8"/>
        <v>465141.7612800647</v>
      </c>
      <c r="L168" s="95">
        <f>+VLOOKUP(E168,MARGEN!A:B,2,FALSE)</f>
        <v>0.09</v>
      </c>
      <c r="M168" s="112">
        <f t="shared" si="9"/>
        <v>41862.758515205824</v>
      </c>
      <c r="N168" s="113">
        <f t="shared" si="10"/>
        <v>1860.5670451202589</v>
      </c>
      <c r="O168" s="113">
        <f t="shared" si="11"/>
        <v>421418.43571973866</v>
      </c>
    </row>
    <row r="169" spans="1:15" x14ac:dyDescent="0.25">
      <c r="A169" s="13">
        <v>44464</v>
      </c>
      <c r="B169" s="97">
        <v>17999</v>
      </c>
      <c r="C169" t="s">
        <v>79</v>
      </c>
      <c r="D169" t="s">
        <v>409</v>
      </c>
      <c r="E169" t="s">
        <v>41</v>
      </c>
      <c r="F169" t="s">
        <v>573</v>
      </c>
      <c r="G169" s="50" t="s">
        <v>574</v>
      </c>
      <c r="H169" s="50">
        <v>2</v>
      </c>
      <c r="I169" s="100">
        <v>6.7391919697301583</v>
      </c>
      <c r="J169" s="52">
        <v>3834.68</v>
      </c>
      <c r="K169" s="67">
        <f t="shared" si="8"/>
        <v>465141.7612800647</v>
      </c>
      <c r="L169" s="95">
        <f>+VLOOKUP(E169,MARGEN!A:B,2,FALSE)</f>
        <v>0.09</v>
      </c>
      <c r="M169" s="112">
        <f t="shared" si="9"/>
        <v>41862.758515205824</v>
      </c>
      <c r="N169" s="113">
        <f t="shared" si="10"/>
        <v>1860.5670451202589</v>
      </c>
      <c r="O169" s="113">
        <f t="shared" si="11"/>
        <v>421418.43571973866</v>
      </c>
    </row>
    <row r="170" spans="1:15" x14ac:dyDescent="0.25">
      <c r="A170" s="43">
        <v>44465</v>
      </c>
      <c r="B170" s="51">
        <v>17999</v>
      </c>
      <c r="C170" s="66" t="s">
        <v>79</v>
      </c>
      <c r="D170" s="66" t="s">
        <v>408</v>
      </c>
      <c r="E170" t="s">
        <v>41</v>
      </c>
      <c r="F170" s="50" t="s">
        <v>573</v>
      </c>
      <c r="G170" s="50" t="s">
        <v>574</v>
      </c>
      <c r="H170" s="50">
        <v>2</v>
      </c>
      <c r="I170" s="100">
        <v>6.7391919697301583</v>
      </c>
      <c r="J170" s="52">
        <v>3834.68</v>
      </c>
      <c r="K170" s="67">
        <f t="shared" si="8"/>
        <v>465141.7612800647</v>
      </c>
      <c r="L170" s="95">
        <f>+VLOOKUP(E170,MARGEN!A:B,2,FALSE)</f>
        <v>0.09</v>
      </c>
      <c r="M170" s="112">
        <f t="shared" si="9"/>
        <v>41862.758515205824</v>
      </c>
      <c r="N170" s="113">
        <f t="shared" si="10"/>
        <v>1860.5670451202589</v>
      </c>
      <c r="O170" s="113">
        <f t="shared" si="11"/>
        <v>421418.43571973866</v>
      </c>
    </row>
    <row r="171" spans="1:15" x14ac:dyDescent="0.25">
      <c r="A171" s="43">
        <v>44465</v>
      </c>
      <c r="B171" s="51">
        <v>17999</v>
      </c>
      <c r="C171" s="66" t="s">
        <v>79</v>
      </c>
      <c r="D171" s="66" t="s">
        <v>409</v>
      </c>
      <c r="E171" t="s">
        <v>41</v>
      </c>
      <c r="F171" s="50" t="s">
        <v>573</v>
      </c>
      <c r="G171" s="50" t="s">
        <v>574</v>
      </c>
      <c r="H171" s="50">
        <v>2</v>
      </c>
      <c r="I171" s="100">
        <v>6.7391919697301583</v>
      </c>
      <c r="J171" s="52">
        <v>3834.68</v>
      </c>
      <c r="K171" s="67">
        <f t="shared" si="8"/>
        <v>465141.7612800647</v>
      </c>
      <c r="L171" s="95">
        <f>+VLOOKUP(E171,MARGEN!A:B,2,FALSE)</f>
        <v>0.09</v>
      </c>
      <c r="M171" s="112">
        <f t="shared" si="9"/>
        <v>41862.758515205824</v>
      </c>
      <c r="N171" s="113">
        <f t="shared" si="10"/>
        <v>1860.5670451202589</v>
      </c>
      <c r="O171" s="113">
        <f t="shared" si="11"/>
        <v>421418.43571973866</v>
      </c>
    </row>
    <row r="172" spans="1:15" x14ac:dyDescent="0.25">
      <c r="A172" s="43">
        <v>44465</v>
      </c>
      <c r="B172" s="51">
        <v>17999</v>
      </c>
      <c r="C172" s="66" t="s">
        <v>79</v>
      </c>
      <c r="D172" s="66" t="s">
        <v>406</v>
      </c>
      <c r="E172" t="s">
        <v>41</v>
      </c>
      <c r="F172" s="50" t="s">
        <v>573</v>
      </c>
      <c r="G172" s="50" t="s">
        <v>574</v>
      </c>
      <c r="H172" s="50">
        <v>2</v>
      </c>
      <c r="I172" s="100">
        <v>6.7391919697301583</v>
      </c>
      <c r="J172" s="52">
        <v>3834.68</v>
      </c>
      <c r="K172" s="67">
        <f t="shared" si="8"/>
        <v>465141.7612800647</v>
      </c>
      <c r="L172" s="95">
        <f>+VLOOKUP(E172,MARGEN!A:B,2,FALSE)</f>
        <v>0.09</v>
      </c>
      <c r="M172" s="112">
        <f t="shared" si="9"/>
        <v>41862.758515205824</v>
      </c>
      <c r="N172" s="113">
        <f t="shared" si="10"/>
        <v>1860.5670451202589</v>
      </c>
      <c r="O172" s="113">
        <f t="shared" si="11"/>
        <v>421418.43571973866</v>
      </c>
    </row>
    <row r="173" spans="1:15" x14ac:dyDescent="0.25">
      <c r="A173" s="43">
        <v>44465</v>
      </c>
      <c r="B173" s="51">
        <v>17999</v>
      </c>
      <c r="C173" s="66" t="s">
        <v>79</v>
      </c>
      <c r="D173" s="66" t="s">
        <v>405</v>
      </c>
      <c r="E173" t="s">
        <v>41</v>
      </c>
      <c r="F173" s="50" t="s">
        <v>573</v>
      </c>
      <c r="G173" s="50" t="s">
        <v>574</v>
      </c>
      <c r="H173" s="50">
        <v>2</v>
      </c>
      <c r="I173" s="100">
        <v>6.7391919697301583</v>
      </c>
      <c r="J173" s="52">
        <v>3834.68</v>
      </c>
      <c r="K173" s="67">
        <f t="shared" si="8"/>
        <v>465141.7612800647</v>
      </c>
      <c r="L173" s="95">
        <f>+VLOOKUP(E173,MARGEN!A:B,2,FALSE)</f>
        <v>0.09</v>
      </c>
      <c r="M173" s="112">
        <f t="shared" si="9"/>
        <v>41862.758515205824</v>
      </c>
      <c r="N173" s="113">
        <f t="shared" si="10"/>
        <v>1860.5670451202589</v>
      </c>
      <c r="O173" s="113">
        <f t="shared" si="11"/>
        <v>421418.43571973866</v>
      </c>
    </row>
    <row r="174" spans="1:15" x14ac:dyDescent="0.25">
      <c r="A174" s="43">
        <v>44466</v>
      </c>
      <c r="B174" s="51">
        <v>17999</v>
      </c>
      <c r="C174" s="66" t="s">
        <v>79</v>
      </c>
      <c r="D174" s="66" t="s">
        <v>406</v>
      </c>
      <c r="E174" t="s">
        <v>41</v>
      </c>
      <c r="F174" s="50" t="s">
        <v>573</v>
      </c>
      <c r="G174" s="50" t="s">
        <v>574</v>
      </c>
      <c r="H174" s="50">
        <v>2</v>
      </c>
      <c r="I174" s="100">
        <v>6.7391919697301583</v>
      </c>
      <c r="J174" s="52">
        <v>3834.68</v>
      </c>
      <c r="K174" s="67">
        <f t="shared" si="8"/>
        <v>465141.7612800647</v>
      </c>
      <c r="L174" s="95">
        <f>+VLOOKUP(E174,MARGEN!A:B,2,FALSE)</f>
        <v>0.09</v>
      </c>
      <c r="M174" s="112">
        <f t="shared" si="9"/>
        <v>41862.758515205824</v>
      </c>
      <c r="N174" s="113">
        <f t="shared" si="10"/>
        <v>1860.5670451202589</v>
      </c>
      <c r="O174" s="113">
        <f t="shared" si="11"/>
        <v>421418.43571973866</v>
      </c>
    </row>
    <row r="175" spans="1:15" x14ac:dyDescent="0.25">
      <c r="A175" s="43">
        <v>44466</v>
      </c>
      <c r="B175" s="51">
        <v>17999</v>
      </c>
      <c r="C175" s="66" t="s">
        <v>79</v>
      </c>
      <c r="D175" s="66" t="s">
        <v>408</v>
      </c>
      <c r="E175" t="s">
        <v>41</v>
      </c>
      <c r="F175" s="50" t="s">
        <v>573</v>
      </c>
      <c r="G175" s="50" t="s">
        <v>574</v>
      </c>
      <c r="H175" s="50">
        <v>2</v>
      </c>
      <c r="I175" s="100">
        <v>6.7391919697301583</v>
      </c>
      <c r="J175" s="52">
        <v>3834.68</v>
      </c>
      <c r="K175" s="67">
        <f t="shared" si="8"/>
        <v>465141.7612800647</v>
      </c>
      <c r="L175" s="95">
        <f>+VLOOKUP(E175,MARGEN!A:B,2,FALSE)</f>
        <v>0.09</v>
      </c>
      <c r="M175" s="112">
        <f t="shared" si="9"/>
        <v>41862.758515205824</v>
      </c>
      <c r="N175" s="113">
        <f t="shared" si="10"/>
        <v>1860.5670451202589</v>
      </c>
      <c r="O175" s="113">
        <f t="shared" si="11"/>
        <v>421418.43571973866</v>
      </c>
    </row>
    <row r="176" spans="1:15" x14ac:dyDescent="0.25">
      <c r="A176" s="43">
        <v>44466</v>
      </c>
      <c r="B176" s="51">
        <v>17999</v>
      </c>
      <c r="C176" s="66" t="s">
        <v>79</v>
      </c>
      <c r="D176" s="66" t="s">
        <v>405</v>
      </c>
      <c r="E176" t="s">
        <v>41</v>
      </c>
      <c r="F176" s="50" t="s">
        <v>573</v>
      </c>
      <c r="G176" s="50" t="s">
        <v>574</v>
      </c>
      <c r="H176" s="50">
        <v>2</v>
      </c>
      <c r="I176" s="100">
        <v>6.7391919697301583</v>
      </c>
      <c r="J176" s="52">
        <v>3834.68</v>
      </c>
      <c r="K176" s="67">
        <f t="shared" si="8"/>
        <v>465141.7612800647</v>
      </c>
      <c r="L176" s="95">
        <f>+VLOOKUP(E176,MARGEN!A:B,2,FALSE)</f>
        <v>0.09</v>
      </c>
      <c r="M176" s="112">
        <f t="shared" si="9"/>
        <v>41862.758515205824</v>
      </c>
      <c r="N176" s="113">
        <f t="shared" si="10"/>
        <v>1860.5670451202589</v>
      </c>
      <c r="O176" s="113">
        <f t="shared" si="11"/>
        <v>421418.43571973866</v>
      </c>
    </row>
    <row r="177" spans="1:15" x14ac:dyDescent="0.25">
      <c r="A177" s="43">
        <v>44466</v>
      </c>
      <c r="B177" s="51">
        <v>17999</v>
      </c>
      <c r="C177" s="66" t="s">
        <v>79</v>
      </c>
      <c r="D177" s="66" t="s">
        <v>409</v>
      </c>
      <c r="E177" t="s">
        <v>41</v>
      </c>
      <c r="F177" s="50" t="s">
        <v>573</v>
      </c>
      <c r="G177" s="50" t="s">
        <v>574</v>
      </c>
      <c r="H177" s="50">
        <v>2</v>
      </c>
      <c r="I177" s="100">
        <v>6.7391919697301583</v>
      </c>
      <c r="J177" s="52">
        <v>3834.68</v>
      </c>
      <c r="K177" s="67">
        <f t="shared" si="8"/>
        <v>465141.7612800647</v>
      </c>
      <c r="L177" s="95">
        <f>+VLOOKUP(E177,MARGEN!A:B,2,FALSE)</f>
        <v>0.09</v>
      </c>
      <c r="M177" s="112">
        <f t="shared" si="9"/>
        <v>41862.758515205824</v>
      </c>
      <c r="N177" s="113">
        <f t="shared" si="10"/>
        <v>1860.5670451202589</v>
      </c>
      <c r="O177" s="113">
        <f t="shared" si="11"/>
        <v>421418.43571973866</v>
      </c>
    </row>
    <row r="178" spans="1:15" x14ac:dyDescent="0.25">
      <c r="A178" s="13">
        <v>44440</v>
      </c>
      <c r="B178" s="97">
        <v>19029</v>
      </c>
      <c r="C178" t="s">
        <v>80</v>
      </c>
      <c r="D178" s="94" t="s">
        <v>407</v>
      </c>
      <c r="E178" t="s">
        <v>59</v>
      </c>
      <c r="F178" t="s">
        <v>558</v>
      </c>
      <c r="G178" s="50" t="s">
        <v>559</v>
      </c>
      <c r="H178" s="50">
        <v>2</v>
      </c>
      <c r="I178" s="100">
        <v>6.7391919697301583</v>
      </c>
      <c r="J178" s="52">
        <v>3834.68</v>
      </c>
      <c r="K178" s="67">
        <f t="shared" si="8"/>
        <v>491759.68528242409</v>
      </c>
      <c r="L178" s="95">
        <f>+VLOOKUP(E178,MARGEN!A:B,2,FALSE)</f>
        <v>0.09</v>
      </c>
      <c r="M178" s="112">
        <f t="shared" si="9"/>
        <v>44258.371675418166</v>
      </c>
      <c r="N178" s="113">
        <f t="shared" si="10"/>
        <v>1967.0387411296963</v>
      </c>
      <c r="O178" s="113">
        <f t="shared" si="11"/>
        <v>445534.27486587624</v>
      </c>
    </row>
    <row r="179" spans="1:15" x14ac:dyDescent="0.25">
      <c r="A179" s="13">
        <v>44441</v>
      </c>
      <c r="B179" s="97">
        <v>19029</v>
      </c>
      <c r="C179" t="s">
        <v>80</v>
      </c>
      <c r="D179" s="94" t="s">
        <v>407</v>
      </c>
      <c r="E179" t="s">
        <v>59</v>
      </c>
      <c r="F179" t="s">
        <v>558</v>
      </c>
      <c r="G179" s="50" t="s">
        <v>559</v>
      </c>
      <c r="H179" s="50">
        <v>2</v>
      </c>
      <c r="I179" s="100">
        <v>6.7391919697301583</v>
      </c>
      <c r="J179" s="52">
        <v>3834.68</v>
      </c>
      <c r="K179" s="67">
        <f t="shared" si="8"/>
        <v>491759.68528242409</v>
      </c>
      <c r="L179" s="95">
        <f>+VLOOKUP(E179,MARGEN!A:B,2,FALSE)</f>
        <v>0.09</v>
      </c>
      <c r="M179" s="112">
        <f t="shared" si="9"/>
        <v>44258.371675418166</v>
      </c>
      <c r="N179" s="113">
        <f t="shared" si="10"/>
        <v>1967.0387411296963</v>
      </c>
      <c r="O179" s="113">
        <f t="shared" si="11"/>
        <v>445534.27486587624</v>
      </c>
    </row>
    <row r="180" spans="1:15" x14ac:dyDescent="0.25">
      <c r="A180" s="13">
        <v>44442</v>
      </c>
      <c r="B180" s="97">
        <v>19029</v>
      </c>
      <c r="C180" t="s">
        <v>80</v>
      </c>
      <c r="D180" s="94" t="s">
        <v>407</v>
      </c>
      <c r="E180" t="s">
        <v>59</v>
      </c>
      <c r="F180" t="s">
        <v>558</v>
      </c>
      <c r="G180" s="50" t="s">
        <v>559</v>
      </c>
      <c r="H180" s="50">
        <v>2</v>
      </c>
      <c r="I180" s="100">
        <v>6.7391919697301583</v>
      </c>
      <c r="J180" s="52">
        <v>3834.68</v>
      </c>
      <c r="K180" s="67">
        <f t="shared" si="8"/>
        <v>491759.68528242409</v>
      </c>
      <c r="L180" s="95">
        <f>+VLOOKUP(E180,MARGEN!A:B,2,FALSE)</f>
        <v>0.09</v>
      </c>
      <c r="M180" s="112">
        <f t="shared" si="9"/>
        <v>44258.371675418166</v>
      </c>
      <c r="N180" s="113">
        <f t="shared" si="10"/>
        <v>1967.0387411296963</v>
      </c>
      <c r="O180" s="113">
        <f t="shared" si="11"/>
        <v>445534.27486587624</v>
      </c>
    </row>
    <row r="181" spans="1:15" x14ac:dyDescent="0.25">
      <c r="A181" s="13">
        <v>44446</v>
      </c>
      <c r="B181" s="97">
        <v>19029</v>
      </c>
      <c r="C181" t="s">
        <v>80</v>
      </c>
      <c r="D181" s="94" t="s">
        <v>407</v>
      </c>
      <c r="E181" t="s">
        <v>59</v>
      </c>
      <c r="F181" t="s">
        <v>558</v>
      </c>
      <c r="G181" s="50" t="s">
        <v>559</v>
      </c>
      <c r="H181" s="50">
        <v>2</v>
      </c>
      <c r="I181" s="100">
        <v>6.7391919697301583</v>
      </c>
      <c r="J181" s="52">
        <v>3834.68</v>
      </c>
      <c r="K181" s="67">
        <f t="shared" si="8"/>
        <v>491759.68528242409</v>
      </c>
      <c r="L181" s="95">
        <f>+VLOOKUP(E181,MARGEN!A:B,2,FALSE)</f>
        <v>0.09</v>
      </c>
      <c r="M181" s="112">
        <f t="shared" si="9"/>
        <v>44258.371675418166</v>
      </c>
      <c r="N181" s="113">
        <f t="shared" si="10"/>
        <v>1967.0387411296963</v>
      </c>
      <c r="O181" s="113">
        <f t="shared" si="11"/>
        <v>445534.27486587624</v>
      </c>
    </row>
    <row r="182" spans="1:15" x14ac:dyDescent="0.25">
      <c r="A182" s="13">
        <v>44447</v>
      </c>
      <c r="B182" s="51">
        <v>19029</v>
      </c>
      <c r="C182" s="66" t="s">
        <v>80</v>
      </c>
      <c r="D182" s="66" t="s">
        <v>407</v>
      </c>
      <c r="E182" t="s">
        <v>59</v>
      </c>
      <c r="F182" s="50" t="s">
        <v>558</v>
      </c>
      <c r="G182" s="50" t="s">
        <v>559</v>
      </c>
      <c r="H182" s="50">
        <v>2</v>
      </c>
      <c r="I182" s="100">
        <v>6.7391919697301583</v>
      </c>
      <c r="J182" s="52">
        <v>3834.68</v>
      </c>
      <c r="K182" s="67">
        <f t="shared" si="8"/>
        <v>491759.68528242409</v>
      </c>
      <c r="L182" s="95">
        <f>+VLOOKUP(E182,MARGEN!A:B,2,FALSE)</f>
        <v>0.09</v>
      </c>
      <c r="M182" s="112">
        <f t="shared" si="9"/>
        <v>44258.371675418166</v>
      </c>
      <c r="N182" s="113">
        <f t="shared" si="10"/>
        <v>1967.0387411296963</v>
      </c>
      <c r="O182" s="113">
        <f t="shared" si="11"/>
        <v>445534.27486587624</v>
      </c>
    </row>
    <row r="183" spans="1:15" x14ac:dyDescent="0.25">
      <c r="A183" s="13">
        <v>44448</v>
      </c>
      <c r="B183" s="97">
        <v>19029</v>
      </c>
      <c r="C183" t="s">
        <v>80</v>
      </c>
      <c r="D183" s="94" t="s">
        <v>407</v>
      </c>
      <c r="E183" t="s">
        <v>59</v>
      </c>
      <c r="F183" t="s">
        <v>558</v>
      </c>
      <c r="G183" s="50" t="s">
        <v>559</v>
      </c>
      <c r="H183" s="50">
        <v>2</v>
      </c>
      <c r="I183" s="100">
        <v>6.7391919697301583</v>
      </c>
      <c r="J183" s="52">
        <v>3834.68</v>
      </c>
      <c r="K183" s="67">
        <f t="shared" si="8"/>
        <v>491759.68528242409</v>
      </c>
      <c r="L183" s="95">
        <f>+VLOOKUP(E183,MARGEN!A:B,2,FALSE)</f>
        <v>0.09</v>
      </c>
      <c r="M183" s="112">
        <f t="shared" si="9"/>
        <v>44258.371675418166</v>
      </c>
      <c r="N183" s="113">
        <f t="shared" si="10"/>
        <v>1967.0387411296963</v>
      </c>
      <c r="O183" s="113">
        <f t="shared" si="11"/>
        <v>445534.27486587624</v>
      </c>
    </row>
    <row r="184" spans="1:15" x14ac:dyDescent="0.25">
      <c r="A184" s="13">
        <v>44449</v>
      </c>
      <c r="B184" s="97">
        <v>19029</v>
      </c>
      <c r="C184" t="s">
        <v>80</v>
      </c>
      <c r="D184" s="94" t="s">
        <v>407</v>
      </c>
      <c r="E184" t="s">
        <v>59</v>
      </c>
      <c r="F184" t="s">
        <v>558</v>
      </c>
      <c r="G184" s="50" t="s">
        <v>559</v>
      </c>
      <c r="H184" s="50">
        <v>2</v>
      </c>
      <c r="I184" s="100">
        <v>6.7391919697301583</v>
      </c>
      <c r="J184" s="52">
        <v>3834.68</v>
      </c>
      <c r="K184" s="67">
        <f t="shared" si="8"/>
        <v>491759.68528242409</v>
      </c>
      <c r="L184" s="95">
        <f>+VLOOKUP(E184,MARGEN!A:B,2,FALSE)</f>
        <v>0.09</v>
      </c>
      <c r="M184" s="112">
        <f t="shared" si="9"/>
        <v>44258.371675418166</v>
      </c>
      <c r="N184" s="113">
        <f t="shared" si="10"/>
        <v>1967.0387411296963</v>
      </c>
      <c r="O184" s="113">
        <f t="shared" si="11"/>
        <v>445534.27486587624</v>
      </c>
    </row>
    <row r="185" spans="1:15" x14ac:dyDescent="0.25">
      <c r="A185" s="13">
        <v>44450</v>
      </c>
      <c r="B185" s="97">
        <v>19029</v>
      </c>
      <c r="C185" t="s">
        <v>80</v>
      </c>
      <c r="D185" s="94" t="s">
        <v>407</v>
      </c>
      <c r="E185" t="s">
        <v>59</v>
      </c>
      <c r="F185" t="s">
        <v>558</v>
      </c>
      <c r="G185" s="50" t="s">
        <v>559</v>
      </c>
      <c r="H185" s="50">
        <v>2</v>
      </c>
      <c r="I185" s="100">
        <v>6.7391919697301583</v>
      </c>
      <c r="J185" s="52">
        <v>3834.68</v>
      </c>
      <c r="K185" s="67">
        <f t="shared" si="8"/>
        <v>491759.68528242409</v>
      </c>
      <c r="L185" s="95">
        <f>+VLOOKUP(E185,MARGEN!A:B,2,FALSE)</f>
        <v>0.09</v>
      </c>
      <c r="M185" s="112">
        <f t="shared" si="9"/>
        <v>44258.371675418166</v>
      </c>
      <c r="N185" s="113">
        <f t="shared" si="10"/>
        <v>1967.0387411296963</v>
      </c>
      <c r="O185" s="113">
        <f t="shared" si="11"/>
        <v>445534.27486587624</v>
      </c>
    </row>
    <row r="186" spans="1:15" x14ac:dyDescent="0.25">
      <c r="A186" s="13">
        <v>44451</v>
      </c>
      <c r="B186" s="97">
        <v>19029</v>
      </c>
      <c r="C186" t="s">
        <v>80</v>
      </c>
      <c r="D186" s="94" t="s">
        <v>407</v>
      </c>
      <c r="E186" t="s">
        <v>59</v>
      </c>
      <c r="F186" t="s">
        <v>566</v>
      </c>
      <c r="G186" s="50" t="s">
        <v>559</v>
      </c>
      <c r="H186" s="50">
        <v>2</v>
      </c>
      <c r="I186" s="100">
        <v>6.7391919697301583</v>
      </c>
      <c r="J186" s="52">
        <v>3834.68</v>
      </c>
      <c r="K186" s="67">
        <f t="shared" si="8"/>
        <v>491759.68528242409</v>
      </c>
      <c r="L186" s="95">
        <f>+VLOOKUP(E186,MARGEN!A:B,2,FALSE)</f>
        <v>0.09</v>
      </c>
      <c r="M186" s="112">
        <f t="shared" si="9"/>
        <v>44258.371675418166</v>
      </c>
      <c r="N186" s="113">
        <f t="shared" si="10"/>
        <v>1967.0387411296963</v>
      </c>
      <c r="O186" s="113">
        <f t="shared" si="11"/>
        <v>445534.27486587624</v>
      </c>
    </row>
    <row r="187" spans="1:15" x14ac:dyDescent="0.25">
      <c r="A187" s="13">
        <v>44452</v>
      </c>
      <c r="B187" s="97">
        <v>19029</v>
      </c>
      <c r="C187" t="s">
        <v>80</v>
      </c>
      <c r="D187" s="94" t="s">
        <v>407</v>
      </c>
      <c r="E187" t="s">
        <v>59</v>
      </c>
      <c r="F187" t="s">
        <v>558</v>
      </c>
      <c r="G187" s="50" t="s">
        <v>559</v>
      </c>
      <c r="H187" s="50">
        <v>2</v>
      </c>
      <c r="I187" s="100">
        <v>6.7391919697301583</v>
      </c>
      <c r="J187" s="52">
        <v>3834.68</v>
      </c>
      <c r="K187" s="67">
        <f t="shared" si="8"/>
        <v>491759.68528242409</v>
      </c>
      <c r="L187" s="95">
        <f>+VLOOKUP(E187,MARGEN!A:B,2,FALSE)</f>
        <v>0.09</v>
      </c>
      <c r="M187" s="112">
        <f t="shared" si="9"/>
        <v>44258.371675418166</v>
      </c>
      <c r="N187" s="113">
        <f t="shared" si="10"/>
        <v>1967.0387411296963</v>
      </c>
      <c r="O187" s="113">
        <f t="shared" si="11"/>
        <v>445534.27486587624</v>
      </c>
    </row>
    <row r="188" spans="1:15" x14ac:dyDescent="0.25">
      <c r="A188" s="13">
        <v>44453</v>
      </c>
      <c r="B188" s="97">
        <v>19029</v>
      </c>
      <c r="C188" t="s">
        <v>80</v>
      </c>
      <c r="D188" s="94" t="s">
        <v>407</v>
      </c>
      <c r="E188" t="s">
        <v>59</v>
      </c>
      <c r="F188" t="s">
        <v>558</v>
      </c>
      <c r="G188" s="50" t="s">
        <v>559</v>
      </c>
      <c r="H188" s="50">
        <v>2</v>
      </c>
      <c r="I188" s="100">
        <v>6.7391919697301583</v>
      </c>
      <c r="J188" s="52">
        <v>3834.68</v>
      </c>
      <c r="K188" s="67">
        <f t="shared" si="8"/>
        <v>491759.68528242409</v>
      </c>
      <c r="L188" s="95">
        <f>+VLOOKUP(E188,MARGEN!A:B,2,FALSE)</f>
        <v>0.09</v>
      </c>
      <c r="M188" s="112">
        <f t="shared" si="9"/>
        <v>44258.371675418166</v>
      </c>
      <c r="N188" s="113">
        <f t="shared" si="10"/>
        <v>1967.0387411296963</v>
      </c>
      <c r="O188" s="113">
        <f t="shared" si="11"/>
        <v>445534.27486587624</v>
      </c>
    </row>
    <row r="189" spans="1:15" x14ac:dyDescent="0.25">
      <c r="A189" s="13">
        <v>44454</v>
      </c>
      <c r="B189" s="97">
        <v>19029</v>
      </c>
      <c r="C189" t="s">
        <v>80</v>
      </c>
      <c r="D189" s="94" t="s">
        <v>407</v>
      </c>
      <c r="E189" t="s">
        <v>59</v>
      </c>
      <c r="F189" t="s">
        <v>558</v>
      </c>
      <c r="G189" s="50" t="s">
        <v>559</v>
      </c>
      <c r="H189" s="50">
        <v>2</v>
      </c>
      <c r="I189" s="100">
        <v>6.7391919697301583</v>
      </c>
      <c r="J189" s="52">
        <v>3834.68</v>
      </c>
      <c r="K189" s="67">
        <f t="shared" si="8"/>
        <v>491759.68528242409</v>
      </c>
      <c r="L189" s="95">
        <f>+VLOOKUP(E189,MARGEN!A:B,2,FALSE)</f>
        <v>0.09</v>
      </c>
      <c r="M189" s="112">
        <f t="shared" si="9"/>
        <v>44258.371675418166</v>
      </c>
      <c r="N189" s="113">
        <f t="shared" si="10"/>
        <v>1967.0387411296963</v>
      </c>
      <c r="O189" s="113">
        <f t="shared" si="11"/>
        <v>445534.27486587624</v>
      </c>
    </row>
    <row r="190" spans="1:15" x14ac:dyDescent="0.25">
      <c r="A190" s="13">
        <v>44455</v>
      </c>
      <c r="B190" s="97">
        <v>19029</v>
      </c>
      <c r="C190" t="s">
        <v>80</v>
      </c>
      <c r="D190" s="94" t="s">
        <v>407</v>
      </c>
      <c r="E190" t="s">
        <v>59</v>
      </c>
      <c r="F190" t="s">
        <v>558</v>
      </c>
      <c r="G190" s="50" t="s">
        <v>559</v>
      </c>
      <c r="H190" s="50">
        <v>2</v>
      </c>
      <c r="I190" s="100">
        <v>6.7391919697301583</v>
      </c>
      <c r="J190" s="52">
        <v>3834.68</v>
      </c>
      <c r="K190" s="67">
        <f t="shared" si="8"/>
        <v>491759.68528242409</v>
      </c>
      <c r="L190" s="95">
        <f>+VLOOKUP(E190,MARGEN!A:B,2,FALSE)</f>
        <v>0.09</v>
      </c>
      <c r="M190" s="112">
        <f t="shared" si="9"/>
        <v>44258.371675418166</v>
      </c>
      <c r="N190" s="113">
        <f t="shared" si="10"/>
        <v>1967.0387411296963</v>
      </c>
      <c r="O190" s="113">
        <f t="shared" si="11"/>
        <v>445534.27486587624</v>
      </c>
    </row>
    <row r="191" spans="1:15" x14ac:dyDescent="0.25">
      <c r="A191" s="13">
        <v>44456</v>
      </c>
      <c r="B191" s="97">
        <v>19029</v>
      </c>
      <c r="C191" t="s">
        <v>80</v>
      </c>
      <c r="D191" s="94" t="s">
        <v>407</v>
      </c>
      <c r="E191" t="s">
        <v>59</v>
      </c>
      <c r="F191" t="s">
        <v>558</v>
      </c>
      <c r="G191" s="50" t="s">
        <v>559</v>
      </c>
      <c r="H191" s="50">
        <v>2</v>
      </c>
      <c r="I191" s="100">
        <v>6.7391919697301583</v>
      </c>
      <c r="J191" s="52">
        <v>3834.68</v>
      </c>
      <c r="K191" s="67">
        <f t="shared" si="8"/>
        <v>491759.68528242409</v>
      </c>
      <c r="L191" s="95">
        <f>+VLOOKUP(E191,MARGEN!A:B,2,FALSE)</f>
        <v>0.09</v>
      </c>
      <c r="M191" s="112">
        <f t="shared" si="9"/>
        <v>44258.371675418166</v>
      </c>
      <c r="N191" s="113">
        <f t="shared" si="10"/>
        <v>1967.0387411296963</v>
      </c>
      <c r="O191" s="113">
        <f t="shared" si="11"/>
        <v>445534.27486587624</v>
      </c>
    </row>
    <row r="192" spans="1:15" x14ac:dyDescent="0.25">
      <c r="A192" s="13">
        <v>44457</v>
      </c>
      <c r="B192" s="97">
        <v>19029</v>
      </c>
      <c r="C192" t="s">
        <v>80</v>
      </c>
      <c r="D192" s="94" t="s">
        <v>407</v>
      </c>
      <c r="E192" t="s">
        <v>59</v>
      </c>
      <c r="F192" t="s">
        <v>558</v>
      </c>
      <c r="G192" s="50" t="s">
        <v>559</v>
      </c>
      <c r="H192" s="50">
        <v>2</v>
      </c>
      <c r="I192" s="100">
        <v>6.7391919697301583</v>
      </c>
      <c r="J192" s="52">
        <v>3834.68</v>
      </c>
      <c r="K192" s="67">
        <f t="shared" si="8"/>
        <v>491759.68528242409</v>
      </c>
      <c r="L192" s="95">
        <f>+VLOOKUP(E192,MARGEN!A:B,2,FALSE)</f>
        <v>0.09</v>
      </c>
      <c r="M192" s="112">
        <f t="shared" si="9"/>
        <v>44258.371675418166</v>
      </c>
      <c r="N192" s="113">
        <f t="shared" si="10"/>
        <v>1967.0387411296963</v>
      </c>
      <c r="O192" s="113">
        <f t="shared" si="11"/>
        <v>445534.27486587624</v>
      </c>
    </row>
    <row r="193" spans="1:15" x14ac:dyDescent="0.25">
      <c r="A193" s="43">
        <v>44458</v>
      </c>
      <c r="B193" s="51">
        <v>19031</v>
      </c>
      <c r="C193" s="66" t="s">
        <v>80</v>
      </c>
      <c r="D193" s="66" t="s">
        <v>407</v>
      </c>
      <c r="E193" t="s">
        <v>59</v>
      </c>
      <c r="F193" s="50" t="s">
        <v>573</v>
      </c>
      <c r="G193" s="50" t="s">
        <v>574</v>
      </c>
      <c r="H193" s="50">
        <v>2</v>
      </c>
      <c r="I193" s="100">
        <v>6.7391919697301583</v>
      </c>
      <c r="J193" s="52">
        <v>3834.68</v>
      </c>
      <c r="K193" s="67">
        <f t="shared" si="8"/>
        <v>491811.37057174905</v>
      </c>
      <c r="L193" s="95">
        <f>+VLOOKUP(E193,MARGEN!A:B,2,FALSE)</f>
        <v>0.09</v>
      </c>
      <c r="M193" s="112">
        <f t="shared" si="9"/>
        <v>44263.023351457414</v>
      </c>
      <c r="N193" s="113">
        <f t="shared" si="10"/>
        <v>1967.2454822869963</v>
      </c>
      <c r="O193" s="113">
        <f t="shared" si="11"/>
        <v>445581.1017380046</v>
      </c>
    </row>
    <row r="194" spans="1:15" x14ac:dyDescent="0.25">
      <c r="A194" s="13">
        <v>44459</v>
      </c>
      <c r="B194" s="97">
        <v>19031</v>
      </c>
      <c r="C194" t="s">
        <v>80</v>
      </c>
      <c r="D194" s="94" t="s">
        <v>407</v>
      </c>
      <c r="E194" t="s">
        <v>59</v>
      </c>
      <c r="F194" t="s">
        <v>573</v>
      </c>
      <c r="G194" s="50" t="s">
        <v>574</v>
      </c>
      <c r="H194" s="50">
        <v>2</v>
      </c>
      <c r="I194" s="100">
        <v>6.7391919697301583</v>
      </c>
      <c r="J194" s="52">
        <v>3834.68</v>
      </c>
      <c r="K194" s="67">
        <f t="shared" ref="K194:K257" si="12">+B194*I194*J194/1000</f>
        <v>491811.37057174905</v>
      </c>
      <c r="L194" s="95">
        <f>+VLOOKUP(E194,MARGEN!A:B,2,FALSE)</f>
        <v>0.09</v>
      </c>
      <c r="M194" s="112">
        <f t="shared" si="9"/>
        <v>44263.023351457414</v>
      </c>
      <c r="N194" s="113">
        <f t="shared" si="10"/>
        <v>1967.2454822869963</v>
      </c>
      <c r="O194" s="113">
        <f t="shared" si="11"/>
        <v>445581.1017380046</v>
      </c>
    </row>
    <row r="195" spans="1:15" x14ac:dyDescent="0.25">
      <c r="A195" s="13">
        <v>44460</v>
      </c>
      <c r="B195" s="97">
        <v>19031</v>
      </c>
      <c r="C195" t="s">
        <v>80</v>
      </c>
      <c r="D195" s="94" t="s">
        <v>407</v>
      </c>
      <c r="E195" t="s">
        <v>59</v>
      </c>
      <c r="F195" t="s">
        <v>573</v>
      </c>
      <c r="G195" s="50" t="s">
        <v>574</v>
      </c>
      <c r="H195" s="50">
        <v>2</v>
      </c>
      <c r="I195" s="100">
        <v>6.7391919697301583</v>
      </c>
      <c r="J195" s="52">
        <v>3834.68</v>
      </c>
      <c r="K195" s="67">
        <f t="shared" si="12"/>
        <v>491811.37057174905</v>
      </c>
      <c r="L195" s="95">
        <f>+VLOOKUP(E195,MARGEN!A:B,2,FALSE)</f>
        <v>0.09</v>
      </c>
      <c r="M195" s="112">
        <f t="shared" ref="M195:M258" si="13">+K195*L195</f>
        <v>44263.023351457414</v>
      </c>
      <c r="N195" s="113">
        <f t="shared" ref="N195:N258" si="14">+K195*4/1000</f>
        <v>1967.2454822869963</v>
      </c>
      <c r="O195" s="113">
        <f t="shared" ref="O195:O258" si="15">+K195-M195-N195</f>
        <v>445581.1017380046</v>
      </c>
    </row>
    <row r="196" spans="1:15" x14ac:dyDescent="0.25">
      <c r="A196" s="13">
        <v>44461</v>
      </c>
      <c r="B196" s="97">
        <v>19031</v>
      </c>
      <c r="C196" t="s">
        <v>80</v>
      </c>
      <c r="D196" t="s">
        <v>407</v>
      </c>
      <c r="E196" t="s">
        <v>59</v>
      </c>
      <c r="F196" t="s">
        <v>573</v>
      </c>
      <c r="G196" s="50" t="s">
        <v>574</v>
      </c>
      <c r="H196" s="50">
        <v>2</v>
      </c>
      <c r="I196" s="100">
        <v>6.7391919697301583</v>
      </c>
      <c r="J196" s="52">
        <v>3834.68</v>
      </c>
      <c r="K196" s="67">
        <f t="shared" si="12"/>
        <v>491811.37057174905</v>
      </c>
      <c r="L196" s="95">
        <f>+VLOOKUP(E196,MARGEN!A:B,2,FALSE)</f>
        <v>0.09</v>
      </c>
      <c r="M196" s="112">
        <f t="shared" si="13"/>
        <v>44263.023351457414</v>
      </c>
      <c r="N196" s="113">
        <f t="shared" si="14"/>
        <v>1967.2454822869963</v>
      </c>
      <c r="O196" s="113">
        <f t="shared" si="15"/>
        <v>445581.1017380046</v>
      </c>
    </row>
    <row r="197" spans="1:15" x14ac:dyDescent="0.25">
      <c r="A197" s="13">
        <v>44462</v>
      </c>
      <c r="B197" s="97">
        <v>19031</v>
      </c>
      <c r="C197" t="s">
        <v>80</v>
      </c>
      <c r="D197" t="s">
        <v>407</v>
      </c>
      <c r="E197" t="s">
        <v>59</v>
      </c>
      <c r="F197" t="s">
        <v>573</v>
      </c>
      <c r="G197" s="50" t="s">
        <v>574</v>
      </c>
      <c r="H197" s="50">
        <v>2</v>
      </c>
      <c r="I197" s="100">
        <v>6.7391919697301583</v>
      </c>
      <c r="J197" s="52">
        <v>3834.68</v>
      </c>
      <c r="K197" s="67">
        <f t="shared" si="12"/>
        <v>491811.37057174905</v>
      </c>
      <c r="L197" s="95">
        <f>+VLOOKUP(E197,MARGEN!A:B,2,FALSE)</f>
        <v>0.09</v>
      </c>
      <c r="M197" s="112">
        <f t="shared" si="13"/>
        <v>44263.023351457414</v>
      </c>
      <c r="N197" s="113">
        <f t="shared" si="14"/>
        <v>1967.2454822869963</v>
      </c>
      <c r="O197" s="113">
        <f t="shared" si="15"/>
        <v>445581.1017380046</v>
      </c>
    </row>
    <row r="198" spans="1:15" x14ac:dyDescent="0.25">
      <c r="A198" s="13">
        <v>44463</v>
      </c>
      <c r="B198" s="97">
        <v>19031</v>
      </c>
      <c r="C198" t="s">
        <v>80</v>
      </c>
      <c r="D198" t="s">
        <v>407</v>
      </c>
      <c r="E198" t="s">
        <v>59</v>
      </c>
      <c r="F198" t="s">
        <v>573</v>
      </c>
      <c r="G198" s="50" t="s">
        <v>574</v>
      </c>
      <c r="H198" s="50">
        <v>2</v>
      </c>
      <c r="I198" s="100">
        <v>6.7391919697301583</v>
      </c>
      <c r="J198" s="52">
        <v>3834.68</v>
      </c>
      <c r="K198" s="67">
        <f t="shared" si="12"/>
        <v>491811.37057174905</v>
      </c>
      <c r="L198" s="95">
        <f>+VLOOKUP(E198,MARGEN!A:B,2,FALSE)</f>
        <v>0.09</v>
      </c>
      <c r="M198" s="112">
        <f t="shared" si="13"/>
        <v>44263.023351457414</v>
      </c>
      <c r="N198" s="113">
        <f t="shared" si="14"/>
        <v>1967.2454822869963</v>
      </c>
      <c r="O198" s="113">
        <f t="shared" si="15"/>
        <v>445581.1017380046</v>
      </c>
    </row>
    <row r="199" spans="1:15" x14ac:dyDescent="0.25">
      <c r="A199" s="43">
        <v>44464</v>
      </c>
      <c r="B199" s="51">
        <v>19031</v>
      </c>
      <c r="C199" s="66" t="s">
        <v>80</v>
      </c>
      <c r="D199" s="66" t="s">
        <v>407</v>
      </c>
      <c r="E199" t="s">
        <v>59</v>
      </c>
      <c r="F199" s="50" t="s">
        <v>573</v>
      </c>
      <c r="G199" s="50" t="s">
        <v>574</v>
      </c>
      <c r="H199" s="50">
        <v>2</v>
      </c>
      <c r="I199" s="100">
        <v>6.7391919697301583</v>
      </c>
      <c r="J199" s="52">
        <v>3834.68</v>
      </c>
      <c r="K199" s="67">
        <f t="shared" si="12"/>
        <v>491811.37057174905</v>
      </c>
      <c r="L199" s="95">
        <f>+VLOOKUP(E199,MARGEN!A:B,2,FALSE)</f>
        <v>0.09</v>
      </c>
      <c r="M199" s="112">
        <f t="shared" si="13"/>
        <v>44263.023351457414</v>
      </c>
      <c r="N199" s="113">
        <f t="shared" si="14"/>
        <v>1967.2454822869963</v>
      </c>
      <c r="O199" s="113">
        <f t="shared" si="15"/>
        <v>445581.1017380046</v>
      </c>
    </row>
    <row r="200" spans="1:15" x14ac:dyDescent="0.25">
      <c r="A200" s="43">
        <v>44465</v>
      </c>
      <c r="B200" s="51">
        <v>19031</v>
      </c>
      <c r="C200" s="66" t="s">
        <v>80</v>
      </c>
      <c r="D200" s="66" t="s">
        <v>407</v>
      </c>
      <c r="E200" t="s">
        <v>59</v>
      </c>
      <c r="F200" s="50" t="s">
        <v>573</v>
      </c>
      <c r="G200" s="50" t="s">
        <v>574</v>
      </c>
      <c r="H200" s="50">
        <v>2</v>
      </c>
      <c r="I200" s="100">
        <v>6.7391919697301583</v>
      </c>
      <c r="J200" s="52">
        <v>3834.68</v>
      </c>
      <c r="K200" s="67">
        <f t="shared" si="12"/>
        <v>491811.37057174905</v>
      </c>
      <c r="L200" s="95">
        <f>+VLOOKUP(E200,MARGEN!A:B,2,FALSE)</f>
        <v>0.09</v>
      </c>
      <c r="M200" s="112">
        <f t="shared" si="13"/>
        <v>44263.023351457414</v>
      </c>
      <c r="N200" s="113">
        <f t="shared" si="14"/>
        <v>1967.2454822869963</v>
      </c>
      <c r="O200" s="113">
        <f t="shared" si="15"/>
        <v>445581.1017380046</v>
      </c>
    </row>
    <row r="201" spans="1:15" x14ac:dyDescent="0.25">
      <c r="A201" s="43">
        <v>44466</v>
      </c>
      <c r="B201" s="51">
        <v>19031</v>
      </c>
      <c r="C201" s="66" t="s">
        <v>80</v>
      </c>
      <c r="D201" s="66" t="s">
        <v>407</v>
      </c>
      <c r="E201" t="s">
        <v>59</v>
      </c>
      <c r="F201" s="50" t="s">
        <v>573</v>
      </c>
      <c r="G201" s="50" t="s">
        <v>574</v>
      </c>
      <c r="H201" s="50">
        <v>2</v>
      </c>
      <c r="I201" s="100">
        <v>6.7391919697301583</v>
      </c>
      <c r="J201" s="52">
        <v>3834.68</v>
      </c>
      <c r="K201" s="67">
        <f t="shared" si="12"/>
        <v>491811.37057174905</v>
      </c>
      <c r="L201" s="95">
        <f>+VLOOKUP(E201,MARGEN!A:B,2,FALSE)</f>
        <v>0.09</v>
      </c>
      <c r="M201" s="112">
        <f t="shared" si="13"/>
        <v>44263.023351457414</v>
      </c>
      <c r="N201" s="113">
        <f t="shared" si="14"/>
        <v>1967.2454822869963</v>
      </c>
      <c r="O201" s="113">
        <f t="shared" si="15"/>
        <v>445581.1017380046</v>
      </c>
    </row>
    <row r="202" spans="1:15" x14ac:dyDescent="0.25">
      <c r="A202" s="43">
        <v>44467</v>
      </c>
      <c r="B202" s="51">
        <v>19031</v>
      </c>
      <c r="C202" s="66" t="s">
        <v>80</v>
      </c>
      <c r="D202" s="66" t="s">
        <v>407</v>
      </c>
      <c r="E202" t="s">
        <v>59</v>
      </c>
      <c r="F202" s="50" t="s">
        <v>573</v>
      </c>
      <c r="G202" s="50" t="s">
        <v>574</v>
      </c>
      <c r="H202" s="50">
        <v>2</v>
      </c>
      <c r="I202" s="100">
        <v>6.7391919697301583</v>
      </c>
      <c r="J202" s="52">
        <v>3834.68</v>
      </c>
      <c r="K202" s="67">
        <f t="shared" si="12"/>
        <v>491811.37057174905</v>
      </c>
      <c r="L202" s="95">
        <f>+VLOOKUP(E202,MARGEN!A:B,2,FALSE)</f>
        <v>0.09</v>
      </c>
      <c r="M202" s="112">
        <f t="shared" si="13"/>
        <v>44263.023351457414</v>
      </c>
      <c r="N202" s="113">
        <f t="shared" si="14"/>
        <v>1967.2454822869963</v>
      </c>
      <c r="O202" s="113">
        <f t="shared" si="15"/>
        <v>445581.1017380046</v>
      </c>
    </row>
    <row r="203" spans="1:15" x14ac:dyDescent="0.25">
      <c r="A203" s="43">
        <v>44468</v>
      </c>
      <c r="B203" s="51">
        <v>19031</v>
      </c>
      <c r="C203" s="66" t="s">
        <v>80</v>
      </c>
      <c r="D203" s="66" t="s">
        <v>407</v>
      </c>
      <c r="E203" t="s">
        <v>59</v>
      </c>
      <c r="F203" s="50" t="s">
        <v>573</v>
      </c>
      <c r="G203" s="50" t="s">
        <v>574</v>
      </c>
      <c r="H203" s="50">
        <v>2</v>
      </c>
      <c r="I203" s="100">
        <v>6.7391919697301583</v>
      </c>
      <c r="J203" s="52">
        <v>3834.68</v>
      </c>
      <c r="K203" s="67">
        <f t="shared" si="12"/>
        <v>491811.37057174905</v>
      </c>
      <c r="L203" s="95">
        <f>+VLOOKUP(E203,MARGEN!A:B,2,FALSE)</f>
        <v>0.09</v>
      </c>
      <c r="M203" s="112">
        <f t="shared" si="13"/>
        <v>44263.023351457414</v>
      </c>
      <c r="N203" s="113">
        <f t="shared" si="14"/>
        <v>1967.2454822869963</v>
      </c>
      <c r="O203" s="113">
        <f t="shared" si="15"/>
        <v>445581.1017380046</v>
      </c>
    </row>
    <row r="204" spans="1:15" x14ac:dyDescent="0.25">
      <c r="A204" s="13">
        <v>44441</v>
      </c>
      <c r="B204" s="51">
        <v>16783</v>
      </c>
      <c r="C204" s="66" t="s">
        <v>247</v>
      </c>
      <c r="D204" s="66" t="s">
        <v>448</v>
      </c>
      <c r="E204" t="s">
        <v>252</v>
      </c>
      <c r="F204" s="50" t="s">
        <v>572</v>
      </c>
      <c r="G204" s="50" t="s">
        <v>243</v>
      </c>
      <c r="H204" s="50">
        <v>2</v>
      </c>
      <c r="I204" s="100">
        <v>6.7391919697301583</v>
      </c>
      <c r="J204" s="52">
        <v>3834.68</v>
      </c>
      <c r="K204" s="67">
        <f t="shared" si="12"/>
        <v>433717.10537048319</v>
      </c>
      <c r="L204" s="95">
        <f>+VLOOKUP(E204,MARGEN!A:B,2,FALSE)</f>
        <v>0.1</v>
      </c>
      <c r="M204" s="112">
        <f t="shared" si="13"/>
        <v>43371.710537048319</v>
      </c>
      <c r="N204" s="113">
        <f t="shared" si="14"/>
        <v>1734.8684214819327</v>
      </c>
      <c r="O204" s="113">
        <f t="shared" si="15"/>
        <v>388610.52641195292</v>
      </c>
    </row>
    <row r="205" spans="1:15" x14ac:dyDescent="0.25">
      <c r="A205" s="13">
        <v>44441</v>
      </c>
      <c r="B205" s="97">
        <v>9326</v>
      </c>
      <c r="C205" t="s">
        <v>247</v>
      </c>
      <c r="D205" s="94" t="s">
        <v>434</v>
      </c>
      <c r="E205" t="s">
        <v>252</v>
      </c>
      <c r="F205" t="s">
        <v>572</v>
      </c>
      <c r="G205" s="50" t="s">
        <v>243</v>
      </c>
      <c r="H205" s="50">
        <v>2</v>
      </c>
      <c r="I205" s="100">
        <v>6.7391919697301583</v>
      </c>
      <c r="J205" s="52">
        <v>3834.68</v>
      </c>
      <c r="K205" s="67">
        <f t="shared" si="12"/>
        <v>241008.50412233366</v>
      </c>
      <c r="L205" s="95">
        <f>+VLOOKUP(E205,MARGEN!A:B,2,FALSE)</f>
        <v>0.1</v>
      </c>
      <c r="M205" s="112">
        <f t="shared" si="13"/>
        <v>24100.850412233369</v>
      </c>
      <c r="N205" s="113">
        <f t="shared" si="14"/>
        <v>964.03401648933459</v>
      </c>
      <c r="O205" s="113">
        <f t="shared" si="15"/>
        <v>215943.61969361093</v>
      </c>
    </row>
    <row r="206" spans="1:15" x14ac:dyDescent="0.25">
      <c r="A206" s="13">
        <v>44441</v>
      </c>
      <c r="B206" s="97">
        <v>4795</v>
      </c>
      <c r="C206" t="s">
        <v>247</v>
      </c>
      <c r="D206" s="94" t="s">
        <v>433</v>
      </c>
      <c r="E206" t="s">
        <v>252</v>
      </c>
      <c r="F206" t="s">
        <v>572</v>
      </c>
      <c r="G206" s="50" t="s">
        <v>243</v>
      </c>
      <c r="H206" s="50">
        <v>2</v>
      </c>
      <c r="I206" s="100">
        <v>6.7391919697301583</v>
      </c>
      <c r="J206" s="52">
        <v>3834.68</v>
      </c>
      <c r="K206" s="67">
        <f t="shared" si="12"/>
        <v>123915.48115661483</v>
      </c>
      <c r="L206" s="95">
        <f>+VLOOKUP(E206,MARGEN!A:B,2,FALSE)</f>
        <v>0.1</v>
      </c>
      <c r="M206" s="112">
        <f t="shared" si="13"/>
        <v>12391.548115661484</v>
      </c>
      <c r="N206" s="113">
        <f t="shared" si="14"/>
        <v>495.66192462645932</v>
      </c>
      <c r="O206" s="113">
        <f t="shared" si="15"/>
        <v>111028.27111632688</v>
      </c>
    </row>
    <row r="207" spans="1:15" x14ac:dyDescent="0.25">
      <c r="A207" s="13">
        <v>44440</v>
      </c>
      <c r="B207" s="97">
        <v>16796</v>
      </c>
      <c r="C207" t="s">
        <v>247</v>
      </c>
      <c r="D207" s="94" t="s">
        <v>448</v>
      </c>
      <c r="E207" t="s">
        <v>252</v>
      </c>
      <c r="F207" t="s">
        <v>562</v>
      </c>
      <c r="G207" s="50" t="s">
        <v>559</v>
      </c>
      <c r="H207" s="50">
        <v>2</v>
      </c>
      <c r="I207" s="100">
        <v>6.7391919697301583</v>
      </c>
      <c r="J207" s="52">
        <v>3834.68</v>
      </c>
      <c r="K207" s="67">
        <f t="shared" si="12"/>
        <v>434053.05975109542</v>
      </c>
      <c r="L207" s="95">
        <f>+VLOOKUP(E207,MARGEN!A:B,2,FALSE)</f>
        <v>0.1</v>
      </c>
      <c r="M207" s="112">
        <f t="shared" si="13"/>
        <v>43405.305975109542</v>
      </c>
      <c r="N207" s="113">
        <f t="shared" si="14"/>
        <v>1736.2122390043817</v>
      </c>
      <c r="O207" s="113">
        <f t="shared" si="15"/>
        <v>388911.54153698153</v>
      </c>
    </row>
    <row r="208" spans="1:15" x14ac:dyDescent="0.25">
      <c r="A208" s="13">
        <v>44440</v>
      </c>
      <c r="B208" s="97">
        <v>9333</v>
      </c>
      <c r="C208" t="s">
        <v>247</v>
      </c>
      <c r="D208" s="94" t="s">
        <v>434</v>
      </c>
      <c r="E208" t="s">
        <v>252</v>
      </c>
      <c r="F208" t="s">
        <v>562</v>
      </c>
      <c r="G208" s="50" t="s">
        <v>559</v>
      </c>
      <c r="H208" s="50">
        <v>2</v>
      </c>
      <c r="I208" s="100">
        <v>6.7391919697301583</v>
      </c>
      <c r="J208" s="52">
        <v>3834.68</v>
      </c>
      <c r="K208" s="67">
        <f t="shared" si="12"/>
        <v>241189.40263497105</v>
      </c>
      <c r="L208" s="95">
        <f>+VLOOKUP(E208,MARGEN!A:B,2,FALSE)</f>
        <v>0.1</v>
      </c>
      <c r="M208" s="112">
        <f t="shared" si="13"/>
        <v>24118.940263497105</v>
      </c>
      <c r="N208" s="113">
        <f t="shared" si="14"/>
        <v>964.75761053988424</v>
      </c>
      <c r="O208" s="113">
        <f t="shared" si="15"/>
        <v>216105.70476093408</v>
      </c>
    </row>
    <row r="209" spans="1:15" x14ac:dyDescent="0.25">
      <c r="A209" s="13">
        <v>44440</v>
      </c>
      <c r="B209" s="97">
        <v>4798</v>
      </c>
      <c r="C209" t="s">
        <v>247</v>
      </c>
      <c r="D209" s="94" t="s">
        <v>433</v>
      </c>
      <c r="E209" t="s">
        <v>252</v>
      </c>
      <c r="F209" t="s">
        <v>562</v>
      </c>
      <c r="G209" s="50" t="s">
        <v>559</v>
      </c>
      <c r="H209" s="50">
        <v>2</v>
      </c>
      <c r="I209" s="100">
        <v>6.7391919697301583</v>
      </c>
      <c r="J209" s="52">
        <v>3834.68</v>
      </c>
      <c r="K209" s="67">
        <f t="shared" si="12"/>
        <v>123993.00909060227</v>
      </c>
      <c r="L209" s="95">
        <f>+VLOOKUP(E209,MARGEN!A:B,2,FALSE)</f>
        <v>0.1</v>
      </c>
      <c r="M209" s="112">
        <f t="shared" si="13"/>
        <v>12399.300909060228</v>
      </c>
      <c r="N209" s="113">
        <f t="shared" si="14"/>
        <v>495.97203636240909</v>
      </c>
      <c r="O209" s="113">
        <f t="shared" si="15"/>
        <v>111097.73614517963</v>
      </c>
    </row>
    <row r="210" spans="1:15" x14ac:dyDescent="0.25">
      <c r="A210" s="13">
        <v>44469</v>
      </c>
      <c r="B210" s="97">
        <v>16796</v>
      </c>
      <c r="C210" t="s">
        <v>247</v>
      </c>
      <c r="D210" s="94" t="s">
        <v>448</v>
      </c>
      <c r="E210" t="s">
        <v>252</v>
      </c>
      <c r="F210" t="s">
        <v>562</v>
      </c>
      <c r="G210" s="50" t="s">
        <v>559</v>
      </c>
      <c r="H210" s="50">
        <v>2</v>
      </c>
      <c r="I210" s="100">
        <v>6.7391919697301583</v>
      </c>
      <c r="J210" s="52">
        <v>3834.68</v>
      </c>
      <c r="K210" s="67">
        <f t="shared" si="12"/>
        <v>434053.05975109542</v>
      </c>
      <c r="L210" s="95">
        <f>+VLOOKUP(E210,MARGEN!A:B,2,FALSE)</f>
        <v>0.1</v>
      </c>
      <c r="M210" s="112">
        <f t="shared" si="13"/>
        <v>43405.305975109542</v>
      </c>
      <c r="N210" s="113">
        <f t="shared" si="14"/>
        <v>1736.2122390043817</v>
      </c>
      <c r="O210" s="113">
        <f t="shared" si="15"/>
        <v>388911.54153698153</v>
      </c>
    </row>
    <row r="211" spans="1:15" x14ac:dyDescent="0.25">
      <c r="A211" s="13">
        <v>44469</v>
      </c>
      <c r="B211" s="97">
        <v>10197</v>
      </c>
      <c r="C211" t="s">
        <v>247</v>
      </c>
      <c r="D211" s="94" t="s">
        <v>434</v>
      </c>
      <c r="E211" t="s">
        <v>252</v>
      </c>
      <c r="F211" t="s">
        <v>562</v>
      </c>
      <c r="G211" s="50" t="s">
        <v>559</v>
      </c>
      <c r="H211" s="50">
        <v>2</v>
      </c>
      <c r="I211" s="100">
        <v>6.7391919697301583</v>
      </c>
      <c r="J211" s="52">
        <v>3834.68</v>
      </c>
      <c r="K211" s="67">
        <f t="shared" si="12"/>
        <v>263517.44762335793</v>
      </c>
      <c r="L211" s="95">
        <f>+VLOOKUP(E211,MARGEN!A:B,2,FALSE)</f>
        <v>0.1</v>
      </c>
      <c r="M211" s="112">
        <f t="shared" si="13"/>
        <v>26351.744762335795</v>
      </c>
      <c r="N211" s="113">
        <f t="shared" si="14"/>
        <v>1054.0697904934318</v>
      </c>
      <c r="O211" s="113">
        <f t="shared" si="15"/>
        <v>236111.63307052871</v>
      </c>
    </row>
    <row r="212" spans="1:15" x14ac:dyDescent="0.25">
      <c r="A212" s="13">
        <v>44469</v>
      </c>
      <c r="B212" s="97">
        <v>4798</v>
      </c>
      <c r="C212" s="88" t="s">
        <v>247</v>
      </c>
      <c r="D212" t="s">
        <v>433</v>
      </c>
      <c r="E212" t="s">
        <v>252</v>
      </c>
      <c r="F212" t="s">
        <v>562</v>
      </c>
      <c r="G212" s="50" t="s">
        <v>559</v>
      </c>
      <c r="H212" s="50">
        <v>2</v>
      </c>
      <c r="I212" s="100">
        <v>6.7391919697301583</v>
      </c>
      <c r="J212" s="52">
        <v>3834.68</v>
      </c>
      <c r="K212" s="67">
        <f t="shared" si="12"/>
        <v>123993.00909060227</v>
      </c>
      <c r="L212" s="95">
        <f>+VLOOKUP(E212,MARGEN!A:B,2,FALSE)</f>
        <v>0.1</v>
      </c>
      <c r="M212" s="112">
        <f t="shared" si="13"/>
        <v>12399.300909060228</v>
      </c>
      <c r="N212" s="113">
        <f t="shared" si="14"/>
        <v>495.97203636240909</v>
      </c>
      <c r="O212" s="113">
        <f t="shared" si="15"/>
        <v>111097.73614517963</v>
      </c>
    </row>
    <row r="213" spans="1:15" x14ac:dyDescent="0.25">
      <c r="A213" s="13">
        <v>44458</v>
      </c>
      <c r="B213" s="97">
        <v>16796</v>
      </c>
      <c r="C213" t="s">
        <v>247</v>
      </c>
      <c r="D213" s="94" t="s">
        <v>448</v>
      </c>
      <c r="E213" t="s">
        <v>252</v>
      </c>
      <c r="F213" t="s">
        <v>562</v>
      </c>
      <c r="G213" s="50" t="s">
        <v>559</v>
      </c>
      <c r="H213" s="50">
        <v>2</v>
      </c>
      <c r="I213" s="100">
        <v>6.7391919697301583</v>
      </c>
      <c r="J213" s="52">
        <v>3834.68</v>
      </c>
      <c r="K213" s="67">
        <f t="shared" si="12"/>
        <v>434053.05975109542</v>
      </c>
      <c r="L213" s="95">
        <f>+VLOOKUP(E213,MARGEN!A:B,2,FALSE)</f>
        <v>0.1</v>
      </c>
      <c r="M213" s="112">
        <f t="shared" si="13"/>
        <v>43405.305975109542</v>
      </c>
      <c r="N213" s="113">
        <f t="shared" si="14"/>
        <v>1736.2122390043817</v>
      </c>
      <c r="O213" s="113">
        <f t="shared" si="15"/>
        <v>388911.54153698153</v>
      </c>
    </row>
    <row r="214" spans="1:15" x14ac:dyDescent="0.25">
      <c r="A214" s="13">
        <v>44458</v>
      </c>
      <c r="B214" s="97">
        <v>10197</v>
      </c>
      <c r="C214" t="s">
        <v>247</v>
      </c>
      <c r="D214" s="94" t="s">
        <v>434</v>
      </c>
      <c r="E214" t="s">
        <v>252</v>
      </c>
      <c r="F214" t="s">
        <v>562</v>
      </c>
      <c r="G214" s="50" t="s">
        <v>559</v>
      </c>
      <c r="H214" s="50">
        <v>2</v>
      </c>
      <c r="I214" s="100">
        <v>6.7391919697301583</v>
      </c>
      <c r="J214" s="52">
        <v>3834.68</v>
      </c>
      <c r="K214" s="67">
        <f t="shared" si="12"/>
        <v>263517.44762335793</v>
      </c>
      <c r="L214" s="95">
        <f>+VLOOKUP(E214,MARGEN!A:B,2,FALSE)</f>
        <v>0.1</v>
      </c>
      <c r="M214" s="112">
        <f t="shared" si="13"/>
        <v>26351.744762335795</v>
      </c>
      <c r="N214" s="113">
        <f t="shared" si="14"/>
        <v>1054.0697904934318</v>
      </c>
      <c r="O214" s="113">
        <f t="shared" si="15"/>
        <v>236111.63307052871</v>
      </c>
    </row>
    <row r="215" spans="1:15" x14ac:dyDescent="0.25">
      <c r="A215" s="13">
        <v>44458</v>
      </c>
      <c r="B215" s="97">
        <v>4798</v>
      </c>
      <c r="C215" t="s">
        <v>247</v>
      </c>
      <c r="D215" s="94" t="s">
        <v>433</v>
      </c>
      <c r="E215" t="s">
        <v>252</v>
      </c>
      <c r="F215" t="s">
        <v>562</v>
      </c>
      <c r="G215" s="50" t="s">
        <v>559</v>
      </c>
      <c r="H215" s="50">
        <v>2</v>
      </c>
      <c r="I215" s="100">
        <v>6.7391919697301583</v>
      </c>
      <c r="J215" s="52">
        <v>3834.68</v>
      </c>
      <c r="K215" s="67">
        <f t="shared" si="12"/>
        <v>123993.00909060227</v>
      </c>
      <c r="L215" s="95">
        <f>+VLOOKUP(E215,MARGEN!A:B,2,FALSE)</f>
        <v>0.1</v>
      </c>
      <c r="M215" s="112">
        <f t="shared" si="13"/>
        <v>12399.300909060228</v>
      </c>
      <c r="N215" s="113">
        <f t="shared" si="14"/>
        <v>495.97203636240909</v>
      </c>
      <c r="O215" s="113">
        <f t="shared" si="15"/>
        <v>111097.73614517963</v>
      </c>
    </row>
    <row r="216" spans="1:15" x14ac:dyDescent="0.25">
      <c r="A216" s="13">
        <v>44457</v>
      </c>
      <c r="B216" s="97">
        <v>16796</v>
      </c>
      <c r="C216" t="s">
        <v>247</v>
      </c>
      <c r="D216" s="94" t="s">
        <v>448</v>
      </c>
      <c r="E216" t="s">
        <v>252</v>
      </c>
      <c r="F216" t="s">
        <v>562</v>
      </c>
      <c r="G216" s="50" t="s">
        <v>559</v>
      </c>
      <c r="H216" s="50">
        <v>2</v>
      </c>
      <c r="I216" s="100">
        <v>6.7391919697301583</v>
      </c>
      <c r="J216" s="52">
        <v>3834.68</v>
      </c>
      <c r="K216" s="67">
        <f t="shared" si="12"/>
        <v>434053.05975109542</v>
      </c>
      <c r="L216" s="95">
        <f>+VLOOKUP(E216,MARGEN!A:B,2,FALSE)</f>
        <v>0.1</v>
      </c>
      <c r="M216" s="112">
        <f t="shared" si="13"/>
        <v>43405.305975109542</v>
      </c>
      <c r="N216" s="113">
        <f t="shared" si="14"/>
        <v>1736.2122390043817</v>
      </c>
      <c r="O216" s="113">
        <f t="shared" si="15"/>
        <v>388911.54153698153</v>
      </c>
    </row>
    <row r="217" spans="1:15" x14ac:dyDescent="0.25">
      <c r="A217" s="13">
        <v>44457</v>
      </c>
      <c r="B217" s="97">
        <v>10197</v>
      </c>
      <c r="C217" t="s">
        <v>247</v>
      </c>
      <c r="D217" s="94" t="s">
        <v>434</v>
      </c>
      <c r="E217" t="s">
        <v>252</v>
      </c>
      <c r="F217" t="s">
        <v>562</v>
      </c>
      <c r="G217" s="50" t="s">
        <v>559</v>
      </c>
      <c r="H217" s="50">
        <v>2</v>
      </c>
      <c r="I217" s="100">
        <v>6.7391919697301583</v>
      </c>
      <c r="J217" s="52">
        <v>3834.68</v>
      </c>
      <c r="K217" s="67">
        <f t="shared" si="12"/>
        <v>263517.44762335793</v>
      </c>
      <c r="L217" s="95">
        <f>+VLOOKUP(E217,MARGEN!A:B,2,FALSE)</f>
        <v>0.1</v>
      </c>
      <c r="M217" s="112">
        <f t="shared" si="13"/>
        <v>26351.744762335795</v>
      </c>
      <c r="N217" s="113">
        <f t="shared" si="14"/>
        <v>1054.0697904934318</v>
      </c>
      <c r="O217" s="113">
        <f t="shared" si="15"/>
        <v>236111.63307052871</v>
      </c>
    </row>
    <row r="218" spans="1:15" x14ac:dyDescent="0.25">
      <c r="A218" s="13">
        <v>44457</v>
      </c>
      <c r="B218" s="97">
        <v>4798</v>
      </c>
      <c r="C218" t="s">
        <v>247</v>
      </c>
      <c r="D218" s="94" t="s">
        <v>433</v>
      </c>
      <c r="E218" t="s">
        <v>252</v>
      </c>
      <c r="F218" t="s">
        <v>562</v>
      </c>
      <c r="G218" s="50" t="s">
        <v>559</v>
      </c>
      <c r="H218" s="50">
        <v>2</v>
      </c>
      <c r="I218" s="100">
        <v>6.7391919697301583</v>
      </c>
      <c r="J218" s="52">
        <v>3834.68</v>
      </c>
      <c r="K218" s="67">
        <f t="shared" si="12"/>
        <v>123993.00909060227</v>
      </c>
      <c r="L218" s="95">
        <f>+VLOOKUP(E218,MARGEN!A:B,2,FALSE)</f>
        <v>0.1</v>
      </c>
      <c r="M218" s="112">
        <f t="shared" si="13"/>
        <v>12399.300909060228</v>
      </c>
      <c r="N218" s="113">
        <f t="shared" si="14"/>
        <v>495.97203636240909</v>
      </c>
      <c r="O218" s="113">
        <f t="shared" si="15"/>
        <v>111097.73614517963</v>
      </c>
    </row>
    <row r="219" spans="1:15" x14ac:dyDescent="0.25">
      <c r="A219" s="13">
        <v>44459</v>
      </c>
      <c r="B219" s="97">
        <v>16797</v>
      </c>
      <c r="C219" t="s">
        <v>247</v>
      </c>
      <c r="D219" s="94" t="s">
        <v>448</v>
      </c>
      <c r="E219" t="s">
        <v>252</v>
      </c>
      <c r="F219" t="s">
        <v>558</v>
      </c>
      <c r="G219" s="50" t="s">
        <v>574</v>
      </c>
      <c r="H219" s="50">
        <v>2</v>
      </c>
      <c r="I219" s="100">
        <v>6.7391919697301583</v>
      </c>
      <c r="J219" s="52">
        <v>3834.68</v>
      </c>
      <c r="K219" s="67">
        <f t="shared" si="12"/>
        <v>434078.9023957579</v>
      </c>
      <c r="L219" s="95">
        <f>+VLOOKUP(E219,MARGEN!A:B,2,FALSE)</f>
        <v>0.1</v>
      </c>
      <c r="M219" s="112">
        <f t="shared" si="13"/>
        <v>43407.89023957579</v>
      </c>
      <c r="N219" s="113">
        <f t="shared" si="14"/>
        <v>1736.3156095830316</v>
      </c>
      <c r="O219" s="113">
        <f t="shared" si="15"/>
        <v>388934.69654659904</v>
      </c>
    </row>
    <row r="220" spans="1:15" x14ac:dyDescent="0.25">
      <c r="A220" s="13">
        <v>44459</v>
      </c>
      <c r="B220" s="97">
        <v>10198</v>
      </c>
      <c r="C220" t="s">
        <v>247</v>
      </c>
      <c r="D220" s="94" t="s">
        <v>434</v>
      </c>
      <c r="E220" t="s">
        <v>252</v>
      </c>
      <c r="F220" t="s">
        <v>558</v>
      </c>
      <c r="G220" s="50" t="s">
        <v>574</v>
      </c>
      <c r="H220" s="50">
        <v>2</v>
      </c>
      <c r="I220" s="100">
        <v>6.7391919697301583</v>
      </c>
      <c r="J220" s="52">
        <v>3834.68</v>
      </c>
      <c r="K220" s="67">
        <f t="shared" si="12"/>
        <v>263543.29026802047</v>
      </c>
      <c r="L220" s="95">
        <f>+VLOOKUP(E220,MARGEN!A:B,2,FALSE)</f>
        <v>0.1</v>
      </c>
      <c r="M220" s="112">
        <f t="shared" si="13"/>
        <v>26354.32902680205</v>
      </c>
      <c r="N220" s="113">
        <f t="shared" si="14"/>
        <v>1054.1731610720819</v>
      </c>
      <c r="O220" s="113">
        <f t="shared" si="15"/>
        <v>236134.78808014636</v>
      </c>
    </row>
    <row r="221" spans="1:15" x14ac:dyDescent="0.25">
      <c r="A221" s="13">
        <v>44459</v>
      </c>
      <c r="B221" s="97">
        <v>4799</v>
      </c>
      <c r="C221" t="s">
        <v>247</v>
      </c>
      <c r="D221" s="94" t="s">
        <v>433</v>
      </c>
      <c r="E221" t="s">
        <v>252</v>
      </c>
      <c r="F221" t="s">
        <v>558</v>
      </c>
      <c r="G221" s="50" t="s">
        <v>574</v>
      </c>
      <c r="H221" s="50">
        <v>2</v>
      </c>
      <c r="I221" s="100">
        <v>6.7391919697301583</v>
      </c>
      <c r="J221" s="52">
        <v>3834.68</v>
      </c>
      <c r="K221" s="67">
        <f t="shared" si="12"/>
        <v>124018.85173526476</v>
      </c>
      <c r="L221" s="95">
        <f>+VLOOKUP(E221,MARGEN!A:B,2,FALSE)</f>
        <v>0.1</v>
      </c>
      <c r="M221" s="112">
        <f t="shared" si="13"/>
        <v>12401.885173526476</v>
      </c>
      <c r="N221" s="113">
        <f t="shared" si="14"/>
        <v>496.07540694105904</v>
      </c>
      <c r="O221" s="113">
        <f t="shared" si="15"/>
        <v>111120.89115479722</v>
      </c>
    </row>
    <row r="222" spans="1:15" x14ac:dyDescent="0.25">
      <c r="A222" s="13">
        <v>44460</v>
      </c>
      <c r="B222" s="97">
        <v>16797</v>
      </c>
      <c r="C222" t="s">
        <v>247</v>
      </c>
      <c r="D222" t="s">
        <v>448</v>
      </c>
      <c r="E222" t="s">
        <v>252</v>
      </c>
      <c r="F222" t="s">
        <v>558</v>
      </c>
      <c r="G222" s="50" t="s">
        <v>574</v>
      </c>
      <c r="H222" s="50">
        <v>2</v>
      </c>
      <c r="I222" s="100">
        <v>6.7391919697301583</v>
      </c>
      <c r="J222" s="52">
        <v>3834.68</v>
      </c>
      <c r="K222" s="67">
        <f t="shared" si="12"/>
        <v>434078.9023957579</v>
      </c>
      <c r="L222" s="95">
        <f>+VLOOKUP(E222,MARGEN!A:B,2,FALSE)</f>
        <v>0.1</v>
      </c>
      <c r="M222" s="112">
        <f t="shared" si="13"/>
        <v>43407.89023957579</v>
      </c>
      <c r="N222" s="113">
        <f t="shared" si="14"/>
        <v>1736.3156095830316</v>
      </c>
      <c r="O222" s="113">
        <f t="shared" si="15"/>
        <v>388934.69654659904</v>
      </c>
    </row>
    <row r="223" spans="1:15" x14ac:dyDescent="0.25">
      <c r="A223" s="13">
        <v>44460</v>
      </c>
      <c r="B223" s="97">
        <v>10198</v>
      </c>
      <c r="C223" t="s">
        <v>247</v>
      </c>
      <c r="D223" t="s">
        <v>434</v>
      </c>
      <c r="E223" t="s">
        <v>252</v>
      </c>
      <c r="F223" t="s">
        <v>558</v>
      </c>
      <c r="G223" s="50" t="s">
        <v>574</v>
      </c>
      <c r="H223" s="50">
        <v>2</v>
      </c>
      <c r="I223" s="100">
        <v>6.7391919697301583</v>
      </c>
      <c r="J223" s="52">
        <v>3834.68</v>
      </c>
      <c r="K223" s="67">
        <f t="shared" si="12"/>
        <v>263543.29026802047</v>
      </c>
      <c r="L223" s="95">
        <f>+VLOOKUP(E223,MARGEN!A:B,2,FALSE)</f>
        <v>0.1</v>
      </c>
      <c r="M223" s="112">
        <f t="shared" si="13"/>
        <v>26354.32902680205</v>
      </c>
      <c r="N223" s="113">
        <f t="shared" si="14"/>
        <v>1054.1731610720819</v>
      </c>
      <c r="O223" s="113">
        <f t="shared" si="15"/>
        <v>236134.78808014636</v>
      </c>
    </row>
    <row r="224" spans="1:15" x14ac:dyDescent="0.25">
      <c r="A224" s="13">
        <v>44460</v>
      </c>
      <c r="B224" s="97">
        <v>4799</v>
      </c>
      <c r="C224" t="s">
        <v>247</v>
      </c>
      <c r="D224" t="s">
        <v>433</v>
      </c>
      <c r="E224" t="s">
        <v>252</v>
      </c>
      <c r="F224" t="s">
        <v>558</v>
      </c>
      <c r="G224" s="50" t="s">
        <v>574</v>
      </c>
      <c r="H224" s="50">
        <v>2</v>
      </c>
      <c r="I224" s="100">
        <v>6.7391919697301583</v>
      </c>
      <c r="J224" s="52">
        <v>3834.68</v>
      </c>
      <c r="K224" s="67">
        <f t="shared" si="12"/>
        <v>124018.85173526476</v>
      </c>
      <c r="L224" s="95">
        <f>+VLOOKUP(E224,MARGEN!A:B,2,FALSE)</f>
        <v>0.1</v>
      </c>
      <c r="M224" s="112">
        <f t="shared" si="13"/>
        <v>12401.885173526476</v>
      </c>
      <c r="N224" s="113">
        <f t="shared" si="14"/>
        <v>496.07540694105904</v>
      </c>
      <c r="O224" s="113">
        <f t="shared" si="15"/>
        <v>111120.89115479722</v>
      </c>
    </row>
    <row r="225" spans="1:15" x14ac:dyDescent="0.25">
      <c r="A225" s="13">
        <v>44461</v>
      </c>
      <c r="B225" s="97">
        <v>16797</v>
      </c>
      <c r="C225" t="s">
        <v>247</v>
      </c>
      <c r="D225" t="s">
        <v>448</v>
      </c>
      <c r="E225" t="s">
        <v>252</v>
      </c>
      <c r="F225" t="s">
        <v>566</v>
      </c>
      <c r="G225" s="50" t="s">
        <v>574</v>
      </c>
      <c r="H225" s="50">
        <v>2</v>
      </c>
      <c r="I225" s="100">
        <v>6.7391919697301583</v>
      </c>
      <c r="J225" s="52">
        <v>3834.68</v>
      </c>
      <c r="K225" s="67">
        <f t="shared" si="12"/>
        <v>434078.9023957579</v>
      </c>
      <c r="L225" s="95">
        <f>+VLOOKUP(E225,MARGEN!A:B,2,FALSE)</f>
        <v>0.1</v>
      </c>
      <c r="M225" s="112">
        <f t="shared" si="13"/>
        <v>43407.89023957579</v>
      </c>
      <c r="N225" s="113">
        <f t="shared" si="14"/>
        <v>1736.3156095830316</v>
      </c>
      <c r="O225" s="113">
        <f t="shared" si="15"/>
        <v>388934.69654659904</v>
      </c>
    </row>
    <row r="226" spans="1:15" x14ac:dyDescent="0.25">
      <c r="A226" s="13">
        <v>44461</v>
      </c>
      <c r="B226" s="97">
        <v>10198</v>
      </c>
      <c r="C226" t="s">
        <v>247</v>
      </c>
      <c r="D226" t="s">
        <v>434</v>
      </c>
      <c r="E226" t="s">
        <v>252</v>
      </c>
      <c r="F226" t="s">
        <v>566</v>
      </c>
      <c r="G226" s="50" t="s">
        <v>574</v>
      </c>
      <c r="H226" s="50">
        <v>2</v>
      </c>
      <c r="I226" s="100">
        <v>6.7391919697301583</v>
      </c>
      <c r="J226" s="52">
        <v>3834.68</v>
      </c>
      <c r="K226" s="67">
        <f t="shared" si="12"/>
        <v>263543.29026802047</v>
      </c>
      <c r="L226" s="95">
        <f>+VLOOKUP(E226,MARGEN!A:B,2,FALSE)</f>
        <v>0.1</v>
      </c>
      <c r="M226" s="112">
        <f t="shared" si="13"/>
        <v>26354.32902680205</v>
      </c>
      <c r="N226" s="113">
        <f t="shared" si="14"/>
        <v>1054.1731610720819</v>
      </c>
      <c r="O226" s="113">
        <f t="shared" si="15"/>
        <v>236134.78808014636</v>
      </c>
    </row>
    <row r="227" spans="1:15" x14ac:dyDescent="0.25">
      <c r="A227" s="13">
        <v>44461</v>
      </c>
      <c r="B227" s="97">
        <v>4799</v>
      </c>
      <c r="C227" t="s">
        <v>247</v>
      </c>
      <c r="D227" t="s">
        <v>433</v>
      </c>
      <c r="E227" t="s">
        <v>252</v>
      </c>
      <c r="F227" t="s">
        <v>566</v>
      </c>
      <c r="G227" s="50" t="s">
        <v>574</v>
      </c>
      <c r="H227" s="50">
        <v>2</v>
      </c>
      <c r="I227" s="100">
        <v>6.7391919697301583</v>
      </c>
      <c r="J227" s="52">
        <v>3834.68</v>
      </c>
      <c r="K227" s="67">
        <f t="shared" si="12"/>
        <v>124018.85173526476</v>
      </c>
      <c r="L227" s="95">
        <f>+VLOOKUP(E227,MARGEN!A:B,2,FALSE)</f>
        <v>0.1</v>
      </c>
      <c r="M227" s="112">
        <f t="shared" si="13"/>
        <v>12401.885173526476</v>
      </c>
      <c r="N227" s="113">
        <f t="shared" si="14"/>
        <v>496.07540694105904</v>
      </c>
      <c r="O227" s="113">
        <f t="shared" si="15"/>
        <v>111120.89115479722</v>
      </c>
    </row>
    <row r="228" spans="1:15" x14ac:dyDescent="0.25">
      <c r="A228" s="13">
        <v>44462</v>
      </c>
      <c r="B228" s="97">
        <v>16797</v>
      </c>
      <c r="C228" t="s">
        <v>247</v>
      </c>
      <c r="D228" t="s">
        <v>448</v>
      </c>
      <c r="E228" t="s">
        <v>252</v>
      </c>
      <c r="F228" t="s">
        <v>558</v>
      </c>
      <c r="G228" s="50" t="s">
        <v>574</v>
      </c>
      <c r="H228" s="50">
        <v>2</v>
      </c>
      <c r="I228" s="100">
        <v>6.7391919697301583</v>
      </c>
      <c r="J228" s="52">
        <v>3834.68</v>
      </c>
      <c r="K228" s="67">
        <f t="shared" si="12"/>
        <v>434078.9023957579</v>
      </c>
      <c r="L228" s="95">
        <f>+VLOOKUP(E228,MARGEN!A:B,2,FALSE)</f>
        <v>0.1</v>
      </c>
      <c r="M228" s="112">
        <f t="shared" si="13"/>
        <v>43407.89023957579</v>
      </c>
      <c r="N228" s="113">
        <f t="shared" si="14"/>
        <v>1736.3156095830316</v>
      </c>
      <c r="O228" s="113">
        <f t="shared" si="15"/>
        <v>388934.69654659904</v>
      </c>
    </row>
    <row r="229" spans="1:15" x14ac:dyDescent="0.25">
      <c r="A229" s="13">
        <v>44462</v>
      </c>
      <c r="B229" s="97">
        <v>10198</v>
      </c>
      <c r="C229" t="s">
        <v>247</v>
      </c>
      <c r="D229" t="s">
        <v>434</v>
      </c>
      <c r="E229" t="s">
        <v>252</v>
      </c>
      <c r="F229" t="s">
        <v>558</v>
      </c>
      <c r="G229" s="50" t="s">
        <v>574</v>
      </c>
      <c r="H229" s="50">
        <v>2</v>
      </c>
      <c r="I229" s="100">
        <v>6.7391919697301583</v>
      </c>
      <c r="J229" s="52">
        <v>3834.68</v>
      </c>
      <c r="K229" s="67">
        <f t="shared" si="12"/>
        <v>263543.29026802047</v>
      </c>
      <c r="L229" s="95">
        <f>+VLOOKUP(E229,MARGEN!A:B,2,FALSE)</f>
        <v>0.1</v>
      </c>
      <c r="M229" s="112">
        <f t="shared" si="13"/>
        <v>26354.32902680205</v>
      </c>
      <c r="N229" s="113">
        <f t="shared" si="14"/>
        <v>1054.1731610720819</v>
      </c>
      <c r="O229" s="113">
        <f t="shared" si="15"/>
        <v>236134.78808014636</v>
      </c>
    </row>
    <row r="230" spans="1:15" x14ac:dyDescent="0.25">
      <c r="A230" s="13">
        <v>44462</v>
      </c>
      <c r="B230" s="97">
        <v>4799</v>
      </c>
      <c r="C230" t="s">
        <v>247</v>
      </c>
      <c r="D230" t="s">
        <v>433</v>
      </c>
      <c r="E230" t="s">
        <v>252</v>
      </c>
      <c r="F230" t="s">
        <v>558</v>
      </c>
      <c r="G230" s="50" t="s">
        <v>574</v>
      </c>
      <c r="H230" s="50">
        <v>2</v>
      </c>
      <c r="I230" s="100">
        <v>6.7391919697301583</v>
      </c>
      <c r="J230" s="52">
        <v>3834.68</v>
      </c>
      <c r="K230" s="67">
        <f t="shared" si="12"/>
        <v>124018.85173526476</v>
      </c>
      <c r="L230" s="95">
        <f>+VLOOKUP(E230,MARGEN!A:B,2,FALSE)</f>
        <v>0.1</v>
      </c>
      <c r="M230" s="112">
        <f t="shared" si="13"/>
        <v>12401.885173526476</v>
      </c>
      <c r="N230" s="113">
        <f t="shared" si="14"/>
        <v>496.07540694105904</v>
      </c>
      <c r="O230" s="113">
        <f t="shared" si="15"/>
        <v>111120.89115479722</v>
      </c>
    </row>
    <row r="231" spans="1:15" x14ac:dyDescent="0.25">
      <c r="A231" s="13">
        <v>44463</v>
      </c>
      <c r="B231" s="97">
        <v>16797</v>
      </c>
      <c r="C231" t="s">
        <v>247</v>
      </c>
      <c r="D231" t="s">
        <v>448</v>
      </c>
      <c r="E231" t="s">
        <v>252</v>
      </c>
      <c r="F231" t="s">
        <v>558</v>
      </c>
      <c r="G231" s="50" t="s">
        <v>574</v>
      </c>
      <c r="H231" s="50">
        <v>2</v>
      </c>
      <c r="I231" s="100">
        <v>6.7391919697301583</v>
      </c>
      <c r="J231" s="52">
        <v>3834.68</v>
      </c>
      <c r="K231" s="67">
        <f t="shared" si="12"/>
        <v>434078.9023957579</v>
      </c>
      <c r="L231" s="95">
        <f>+VLOOKUP(E231,MARGEN!A:B,2,FALSE)</f>
        <v>0.1</v>
      </c>
      <c r="M231" s="112">
        <f t="shared" si="13"/>
        <v>43407.89023957579</v>
      </c>
      <c r="N231" s="113">
        <f t="shared" si="14"/>
        <v>1736.3156095830316</v>
      </c>
      <c r="O231" s="113">
        <f t="shared" si="15"/>
        <v>388934.69654659904</v>
      </c>
    </row>
    <row r="232" spans="1:15" x14ac:dyDescent="0.25">
      <c r="A232" s="13">
        <v>44463</v>
      </c>
      <c r="B232" s="97">
        <v>10198</v>
      </c>
      <c r="C232" t="s">
        <v>247</v>
      </c>
      <c r="D232" t="s">
        <v>434</v>
      </c>
      <c r="E232" t="s">
        <v>252</v>
      </c>
      <c r="F232" t="s">
        <v>558</v>
      </c>
      <c r="G232" s="50" t="s">
        <v>574</v>
      </c>
      <c r="H232" s="50">
        <v>2</v>
      </c>
      <c r="I232" s="100">
        <v>6.7391919697301583</v>
      </c>
      <c r="J232" s="52">
        <v>3834.68</v>
      </c>
      <c r="K232" s="67">
        <f t="shared" si="12"/>
        <v>263543.29026802047</v>
      </c>
      <c r="L232" s="95">
        <f>+VLOOKUP(E232,MARGEN!A:B,2,FALSE)</f>
        <v>0.1</v>
      </c>
      <c r="M232" s="112">
        <f t="shared" si="13"/>
        <v>26354.32902680205</v>
      </c>
      <c r="N232" s="113">
        <f t="shared" si="14"/>
        <v>1054.1731610720819</v>
      </c>
      <c r="O232" s="113">
        <f t="shared" si="15"/>
        <v>236134.78808014636</v>
      </c>
    </row>
    <row r="233" spans="1:15" x14ac:dyDescent="0.25">
      <c r="A233" s="13">
        <v>44463</v>
      </c>
      <c r="B233" s="97">
        <v>4799</v>
      </c>
      <c r="C233" t="s">
        <v>247</v>
      </c>
      <c r="D233" t="s">
        <v>433</v>
      </c>
      <c r="E233" t="s">
        <v>252</v>
      </c>
      <c r="F233" t="s">
        <v>558</v>
      </c>
      <c r="G233" s="50" t="s">
        <v>574</v>
      </c>
      <c r="H233" s="50">
        <v>2</v>
      </c>
      <c r="I233" s="100">
        <v>6.7391919697301583</v>
      </c>
      <c r="J233" s="52">
        <v>3834.68</v>
      </c>
      <c r="K233" s="67">
        <f t="shared" si="12"/>
        <v>124018.85173526476</v>
      </c>
      <c r="L233" s="95">
        <f>+VLOOKUP(E233,MARGEN!A:B,2,FALSE)</f>
        <v>0.1</v>
      </c>
      <c r="M233" s="112">
        <f t="shared" si="13"/>
        <v>12401.885173526476</v>
      </c>
      <c r="N233" s="113">
        <f t="shared" si="14"/>
        <v>496.07540694105904</v>
      </c>
      <c r="O233" s="113">
        <f t="shared" si="15"/>
        <v>111120.89115479722</v>
      </c>
    </row>
    <row r="234" spans="1:15" x14ac:dyDescent="0.25">
      <c r="A234" s="13">
        <v>44464</v>
      </c>
      <c r="B234" s="97">
        <v>16797</v>
      </c>
      <c r="C234" t="s">
        <v>247</v>
      </c>
      <c r="D234" t="s">
        <v>448</v>
      </c>
      <c r="E234" t="s">
        <v>252</v>
      </c>
      <c r="F234" t="s">
        <v>558</v>
      </c>
      <c r="G234" s="50" t="s">
        <v>574</v>
      </c>
      <c r="H234" s="50">
        <v>2</v>
      </c>
      <c r="I234" s="100">
        <v>6.7391919697301583</v>
      </c>
      <c r="J234" s="52">
        <v>3834.68</v>
      </c>
      <c r="K234" s="67">
        <f t="shared" si="12"/>
        <v>434078.9023957579</v>
      </c>
      <c r="L234" s="95">
        <f>+VLOOKUP(E234,MARGEN!A:B,2,FALSE)</f>
        <v>0.1</v>
      </c>
      <c r="M234" s="112">
        <f t="shared" si="13"/>
        <v>43407.89023957579</v>
      </c>
      <c r="N234" s="113">
        <f t="shared" si="14"/>
        <v>1736.3156095830316</v>
      </c>
      <c r="O234" s="113">
        <f t="shared" si="15"/>
        <v>388934.69654659904</v>
      </c>
    </row>
    <row r="235" spans="1:15" x14ac:dyDescent="0.25">
      <c r="A235" s="13">
        <v>44464</v>
      </c>
      <c r="B235" s="97">
        <v>10198</v>
      </c>
      <c r="C235" t="s">
        <v>247</v>
      </c>
      <c r="D235" t="s">
        <v>434</v>
      </c>
      <c r="E235" t="s">
        <v>252</v>
      </c>
      <c r="F235" t="s">
        <v>558</v>
      </c>
      <c r="G235" s="50" t="s">
        <v>574</v>
      </c>
      <c r="H235" s="50">
        <v>2</v>
      </c>
      <c r="I235" s="100">
        <v>6.7391919697301583</v>
      </c>
      <c r="J235" s="52">
        <v>3834.68</v>
      </c>
      <c r="K235" s="67">
        <f t="shared" si="12"/>
        <v>263543.29026802047</v>
      </c>
      <c r="L235" s="95">
        <f>+VLOOKUP(E235,MARGEN!A:B,2,FALSE)</f>
        <v>0.1</v>
      </c>
      <c r="M235" s="112">
        <f t="shared" si="13"/>
        <v>26354.32902680205</v>
      </c>
      <c r="N235" s="113">
        <f t="shared" si="14"/>
        <v>1054.1731610720819</v>
      </c>
      <c r="O235" s="113">
        <f t="shared" si="15"/>
        <v>236134.78808014636</v>
      </c>
    </row>
    <row r="236" spans="1:15" x14ac:dyDescent="0.25">
      <c r="A236" s="13">
        <v>44464</v>
      </c>
      <c r="B236" s="97">
        <v>4799</v>
      </c>
      <c r="C236" t="s">
        <v>247</v>
      </c>
      <c r="D236" t="s">
        <v>433</v>
      </c>
      <c r="E236" t="s">
        <v>252</v>
      </c>
      <c r="F236" t="s">
        <v>558</v>
      </c>
      <c r="G236" s="50" t="s">
        <v>574</v>
      </c>
      <c r="H236" s="50">
        <v>2</v>
      </c>
      <c r="I236" s="100">
        <v>6.7391919697301583</v>
      </c>
      <c r="J236" s="52">
        <v>3834.68</v>
      </c>
      <c r="K236" s="67">
        <f t="shared" si="12"/>
        <v>124018.85173526476</v>
      </c>
      <c r="L236" s="95">
        <f>+VLOOKUP(E236,MARGEN!A:B,2,FALSE)</f>
        <v>0.1</v>
      </c>
      <c r="M236" s="112">
        <f t="shared" si="13"/>
        <v>12401.885173526476</v>
      </c>
      <c r="N236" s="113">
        <f t="shared" si="14"/>
        <v>496.07540694105904</v>
      </c>
      <c r="O236" s="113">
        <f t="shared" si="15"/>
        <v>111120.89115479722</v>
      </c>
    </row>
    <row r="237" spans="1:15" x14ac:dyDescent="0.25">
      <c r="A237" s="43">
        <v>44465</v>
      </c>
      <c r="B237" s="51">
        <v>16797</v>
      </c>
      <c r="C237" s="66" t="s">
        <v>247</v>
      </c>
      <c r="D237" s="66" t="s">
        <v>448</v>
      </c>
      <c r="E237" t="s">
        <v>252</v>
      </c>
      <c r="F237" s="50" t="s">
        <v>566</v>
      </c>
      <c r="G237" s="50" t="s">
        <v>574</v>
      </c>
      <c r="H237" s="50">
        <v>2</v>
      </c>
      <c r="I237" s="100">
        <v>6.7391919697301583</v>
      </c>
      <c r="J237" s="52">
        <v>3834.68</v>
      </c>
      <c r="K237" s="67">
        <f t="shared" si="12"/>
        <v>434078.9023957579</v>
      </c>
      <c r="L237" s="95">
        <f>+VLOOKUP(E237,MARGEN!A:B,2,FALSE)</f>
        <v>0.1</v>
      </c>
      <c r="M237" s="112">
        <f t="shared" si="13"/>
        <v>43407.89023957579</v>
      </c>
      <c r="N237" s="113">
        <f t="shared" si="14"/>
        <v>1736.3156095830316</v>
      </c>
      <c r="O237" s="113">
        <f t="shared" si="15"/>
        <v>388934.69654659904</v>
      </c>
    </row>
    <row r="238" spans="1:15" x14ac:dyDescent="0.25">
      <c r="A238" s="43">
        <v>44465</v>
      </c>
      <c r="B238" s="51">
        <v>10198</v>
      </c>
      <c r="C238" s="66" t="s">
        <v>247</v>
      </c>
      <c r="D238" s="66" t="s">
        <v>434</v>
      </c>
      <c r="E238" t="s">
        <v>252</v>
      </c>
      <c r="F238" s="50" t="s">
        <v>566</v>
      </c>
      <c r="G238" s="50" t="s">
        <v>574</v>
      </c>
      <c r="H238" s="50">
        <v>2</v>
      </c>
      <c r="I238" s="100">
        <v>6.7391919697301583</v>
      </c>
      <c r="J238" s="52">
        <v>3834.68</v>
      </c>
      <c r="K238" s="67">
        <f t="shared" si="12"/>
        <v>263543.29026802047</v>
      </c>
      <c r="L238" s="95">
        <f>+VLOOKUP(E238,MARGEN!A:B,2,FALSE)</f>
        <v>0.1</v>
      </c>
      <c r="M238" s="112">
        <f t="shared" si="13"/>
        <v>26354.32902680205</v>
      </c>
      <c r="N238" s="113">
        <f t="shared" si="14"/>
        <v>1054.1731610720819</v>
      </c>
      <c r="O238" s="113">
        <f t="shared" si="15"/>
        <v>236134.78808014636</v>
      </c>
    </row>
    <row r="239" spans="1:15" x14ac:dyDescent="0.25">
      <c r="A239" s="43">
        <v>44465</v>
      </c>
      <c r="B239" s="51">
        <v>4799</v>
      </c>
      <c r="C239" s="66" t="s">
        <v>247</v>
      </c>
      <c r="D239" s="66" t="s">
        <v>433</v>
      </c>
      <c r="E239" t="s">
        <v>252</v>
      </c>
      <c r="F239" s="50" t="s">
        <v>566</v>
      </c>
      <c r="G239" s="50" t="s">
        <v>574</v>
      </c>
      <c r="H239" s="50">
        <v>2</v>
      </c>
      <c r="I239" s="100">
        <v>6.7391919697301583</v>
      </c>
      <c r="J239" s="52">
        <v>3834.68</v>
      </c>
      <c r="K239" s="67">
        <f t="shared" si="12"/>
        <v>124018.85173526476</v>
      </c>
      <c r="L239" s="95">
        <f>+VLOOKUP(E239,MARGEN!A:B,2,FALSE)</f>
        <v>0.1</v>
      </c>
      <c r="M239" s="112">
        <f t="shared" si="13"/>
        <v>12401.885173526476</v>
      </c>
      <c r="N239" s="113">
        <f t="shared" si="14"/>
        <v>496.07540694105904</v>
      </c>
      <c r="O239" s="113">
        <f t="shared" si="15"/>
        <v>111120.89115479722</v>
      </c>
    </row>
    <row r="240" spans="1:15" x14ac:dyDescent="0.25">
      <c r="A240" s="43">
        <v>44466</v>
      </c>
      <c r="B240" s="51">
        <v>16797</v>
      </c>
      <c r="C240" s="66" t="s">
        <v>247</v>
      </c>
      <c r="D240" s="66" t="s">
        <v>448</v>
      </c>
      <c r="E240" t="s">
        <v>252</v>
      </c>
      <c r="F240" s="50" t="s">
        <v>558</v>
      </c>
      <c r="G240" s="50" t="s">
        <v>574</v>
      </c>
      <c r="H240" s="50">
        <v>2</v>
      </c>
      <c r="I240" s="100">
        <v>6.7391919697301583</v>
      </c>
      <c r="J240" s="52">
        <v>3834.68</v>
      </c>
      <c r="K240" s="67">
        <f t="shared" si="12"/>
        <v>434078.9023957579</v>
      </c>
      <c r="L240" s="95">
        <f>+VLOOKUP(E240,MARGEN!A:B,2,FALSE)</f>
        <v>0.1</v>
      </c>
      <c r="M240" s="112">
        <f t="shared" si="13"/>
        <v>43407.89023957579</v>
      </c>
      <c r="N240" s="113">
        <f t="shared" si="14"/>
        <v>1736.3156095830316</v>
      </c>
      <c r="O240" s="113">
        <f t="shared" si="15"/>
        <v>388934.69654659904</v>
      </c>
    </row>
    <row r="241" spans="1:15" x14ac:dyDescent="0.25">
      <c r="A241" s="43">
        <v>44466</v>
      </c>
      <c r="B241" s="51">
        <v>10198</v>
      </c>
      <c r="C241" s="66" t="s">
        <v>247</v>
      </c>
      <c r="D241" s="66" t="s">
        <v>434</v>
      </c>
      <c r="E241" t="s">
        <v>252</v>
      </c>
      <c r="F241" s="50" t="s">
        <v>558</v>
      </c>
      <c r="G241" s="50" t="s">
        <v>574</v>
      </c>
      <c r="H241" s="50">
        <v>2</v>
      </c>
      <c r="I241" s="100">
        <v>6.7391919697301583</v>
      </c>
      <c r="J241" s="52">
        <v>3834.68</v>
      </c>
      <c r="K241" s="67">
        <f t="shared" si="12"/>
        <v>263543.29026802047</v>
      </c>
      <c r="L241" s="95">
        <f>+VLOOKUP(E241,MARGEN!A:B,2,FALSE)</f>
        <v>0.1</v>
      </c>
      <c r="M241" s="112">
        <f t="shared" si="13"/>
        <v>26354.32902680205</v>
      </c>
      <c r="N241" s="113">
        <f t="shared" si="14"/>
        <v>1054.1731610720819</v>
      </c>
      <c r="O241" s="113">
        <f t="shared" si="15"/>
        <v>236134.78808014636</v>
      </c>
    </row>
    <row r="242" spans="1:15" x14ac:dyDescent="0.25">
      <c r="A242" s="43">
        <v>44466</v>
      </c>
      <c r="B242" s="51">
        <v>4799</v>
      </c>
      <c r="C242" s="66" t="s">
        <v>247</v>
      </c>
      <c r="D242" s="66" t="s">
        <v>433</v>
      </c>
      <c r="E242" t="s">
        <v>252</v>
      </c>
      <c r="F242" s="50" t="s">
        <v>558</v>
      </c>
      <c r="G242" s="50" t="s">
        <v>574</v>
      </c>
      <c r="H242" s="50">
        <v>2</v>
      </c>
      <c r="I242" s="100">
        <v>6.7391919697301583</v>
      </c>
      <c r="J242" s="52">
        <v>3834.68</v>
      </c>
      <c r="K242" s="67">
        <f t="shared" si="12"/>
        <v>124018.85173526476</v>
      </c>
      <c r="L242" s="95">
        <f>+VLOOKUP(E242,MARGEN!A:B,2,FALSE)</f>
        <v>0.1</v>
      </c>
      <c r="M242" s="112">
        <f t="shared" si="13"/>
        <v>12401.885173526476</v>
      </c>
      <c r="N242" s="113">
        <f t="shared" si="14"/>
        <v>496.07540694105904</v>
      </c>
      <c r="O242" s="113">
        <f t="shared" si="15"/>
        <v>111120.89115479722</v>
      </c>
    </row>
    <row r="243" spans="1:15" x14ac:dyDescent="0.25">
      <c r="A243" s="43">
        <v>44467</v>
      </c>
      <c r="B243" s="51">
        <v>16797</v>
      </c>
      <c r="C243" s="66" t="s">
        <v>247</v>
      </c>
      <c r="D243" s="66" t="s">
        <v>448</v>
      </c>
      <c r="E243" t="s">
        <v>252</v>
      </c>
      <c r="F243" s="50" t="s">
        <v>566</v>
      </c>
      <c r="G243" s="50" t="s">
        <v>574</v>
      </c>
      <c r="H243" s="50">
        <v>2</v>
      </c>
      <c r="I243" s="100">
        <v>6.7391919697301583</v>
      </c>
      <c r="J243" s="52">
        <v>3834.68</v>
      </c>
      <c r="K243" s="67">
        <f t="shared" si="12"/>
        <v>434078.9023957579</v>
      </c>
      <c r="L243" s="95">
        <f>+VLOOKUP(E243,MARGEN!A:B,2,FALSE)</f>
        <v>0.1</v>
      </c>
      <c r="M243" s="112">
        <f t="shared" si="13"/>
        <v>43407.89023957579</v>
      </c>
      <c r="N243" s="113">
        <f t="shared" si="14"/>
        <v>1736.3156095830316</v>
      </c>
      <c r="O243" s="113">
        <f t="shared" si="15"/>
        <v>388934.69654659904</v>
      </c>
    </row>
    <row r="244" spans="1:15" x14ac:dyDescent="0.25">
      <c r="A244" s="43">
        <v>44467</v>
      </c>
      <c r="B244" s="51">
        <v>10198</v>
      </c>
      <c r="C244" s="66" t="s">
        <v>247</v>
      </c>
      <c r="D244" s="66" t="s">
        <v>434</v>
      </c>
      <c r="E244" t="s">
        <v>252</v>
      </c>
      <c r="F244" s="50" t="s">
        <v>566</v>
      </c>
      <c r="G244" s="50" t="s">
        <v>574</v>
      </c>
      <c r="H244" s="50">
        <v>2</v>
      </c>
      <c r="I244" s="100">
        <v>6.7391919697301583</v>
      </c>
      <c r="J244" s="52">
        <v>3834.68</v>
      </c>
      <c r="K244" s="67">
        <f t="shared" si="12"/>
        <v>263543.29026802047</v>
      </c>
      <c r="L244" s="95">
        <f>+VLOOKUP(E244,MARGEN!A:B,2,FALSE)</f>
        <v>0.1</v>
      </c>
      <c r="M244" s="112">
        <f t="shared" si="13"/>
        <v>26354.32902680205</v>
      </c>
      <c r="N244" s="113">
        <f t="shared" si="14"/>
        <v>1054.1731610720819</v>
      </c>
      <c r="O244" s="113">
        <f t="shared" si="15"/>
        <v>236134.78808014636</v>
      </c>
    </row>
    <row r="245" spans="1:15" x14ac:dyDescent="0.25">
      <c r="A245" s="43">
        <v>44467</v>
      </c>
      <c r="B245" s="51">
        <v>4799</v>
      </c>
      <c r="C245" s="66" t="s">
        <v>247</v>
      </c>
      <c r="D245" s="66" t="s">
        <v>433</v>
      </c>
      <c r="E245" t="s">
        <v>252</v>
      </c>
      <c r="F245" s="50" t="s">
        <v>566</v>
      </c>
      <c r="G245" s="50" t="s">
        <v>574</v>
      </c>
      <c r="H245" s="50">
        <v>2</v>
      </c>
      <c r="I245" s="100">
        <v>6.7391919697301583</v>
      </c>
      <c r="J245" s="52">
        <v>3834.68</v>
      </c>
      <c r="K245" s="67">
        <f t="shared" si="12"/>
        <v>124018.85173526476</v>
      </c>
      <c r="L245" s="95">
        <f>+VLOOKUP(E245,MARGEN!A:B,2,FALSE)</f>
        <v>0.1</v>
      </c>
      <c r="M245" s="112">
        <f t="shared" si="13"/>
        <v>12401.885173526476</v>
      </c>
      <c r="N245" s="113">
        <f t="shared" si="14"/>
        <v>496.07540694105904</v>
      </c>
      <c r="O245" s="113">
        <f t="shared" si="15"/>
        <v>111120.89115479722</v>
      </c>
    </row>
    <row r="246" spans="1:15" x14ac:dyDescent="0.25">
      <c r="A246" s="43">
        <v>44468</v>
      </c>
      <c r="B246" s="51">
        <v>16797</v>
      </c>
      <c r="C246" s="66" t="s">
        <v>247</v>
      </c>
      <c r="D246" s="66" t="s">
        <v>448</v>
      </c>
      <c r="E246" t="s">
        <v>252</v>
      </c>
      <c r="F246" s="50" t="s">
        <v>558</v>
      </c>
      <c r="G246" s="50" t="s">
        <v>574</v>
      </c>
      <c r="H246" s="50">
        <v>2</v>
      </c>
      <c r="I246" s="100">
        <v>6.7391919697301583</v>
      </c>
      <c r="J246" s="52">
        <v>3834.68</v>
      </c>
      <c r="K246" s="67">
        <f t="shared" si="12"/>
        <v>434078.9023957579</v>
      </c>
      <c r="L246" s="95">
        <f>+VLOOKUP(E246,MARGEN!A:B,2,FALSE)</f>
        <v>0.1</v>
      </c>
      <c r="M246" s="112">
        <f t="shared" si="13"/>
        <v>43407.89023957579</v>
      </c>
      <c r="N246" s="113">
        <f t="shared" si="14"/>
        <v>1736.3156095830316</v>
      </c>
      <c r="O246" s="113">
        <f t="shared" si="15"/>
        <v>388934.69654659904</v>
      </c>
    </row>
    <row r="247" spans="1:15" x14ac:dyDescent="0.25">
      <c r="A247" s="43">
        <v>44468</v>
      </c>
      <c r="B247" s="51">
        <v>10198</v>
      </c>
      <c r="C247" s="66" t="s">
        <v>247</v>
      </c>
      <c r="D247" s="66" t="s">
        <v>434</v>
      </c>
      <c r="E247" t="s">
        <v>252</v>
      </c>
      <c r="F247" s="50" t="s">
        <v>558</v>
      </c>
      <c r="G247" s="50" t="s">
        <v>574</v>
      </c>
      <c r="H247" s="50">
        <v>2</v>
      </c>
      <c r="I247" s="100">
        <v>6.7391919697301583</v>
      </c>
      <c r="J247" s="52">
        <v>3834.68</v>
      </c>
      <c r="K247" s="67">
        <f t="shared" si="12"/>
        <v>263543.29026802047</v>
      </c>
      <c r="L247" s="95">
        <f>+VLOOKUP(E247,MARGEN!A:B,2,FALSE)</f>
        <v>0.1</v>
      </c>
      <c r="M247" s="112">
        <f t="shared" si="13"/>
        <v>26354.32902680205</v>
      </c>
      <c r="N247" s="113">
        <f t="shared" si="14"/>
        <v>1054.1731610720819</v>
      </c>
      <c r="O247" s="113">
        <f t="shared" si="15"/>
        <v>236134.78808014636</v>
      </c>
    </row>
    <row r="248" spans="1:15" x14ac:dyDescent="0.25">
      <c r="A248" s="43">
        <v>44468</v>
      </c>
      <c r="B248" s="51">
        <v>4799</v>
      </c>
      <c r="C248" s="66" t="s">
        <v>247</v>
      </c>
      <c r="D248" s="66" t="s">
        <v>433</v>
      </c>
      <c r="E248" t="s">
        <v>252</v>
      </c>
      <c r="F248" s="50" t="s">
        <v>558</v>
      </c>
      <c r="G248" s="50" t="s">
        <v>574</v>
      </c>
      <c r="H248" s="50">
        <v>2</v>
      </c>
      <c r="I248" s="100">
        <v>6.7391919697301583</v>
      </c>
      <c r="J248" s="52">
        <v>3834.68</v>
      </c>
      <c r="K248" s="67">
        <f t="shared" si="12"/>
        <v>124018.85173526476</v>
      </c>
      <c r="L248" s="95">
        <f>+VLOOKUP(E248,MARGEN!A:B,2,FALSE)</f>
        <v>0.1</v>
      </c>
      <c r="M248" s="112">
        <f t="shared" si="13"/>
        <v>12401.885173526476</v>
      </c>
      <c r="N248" s="113">
        <f t="shared" si="14"/>
        <v>496.07540694105904</v>
      </c>
      <c r="O248" s="113">
        <f t="shared" si="15"/>
        <v>111120.89115479722</v>
      </c>
    </row>
    <row r="249" spans="1:15" x14ac:dyDescent="0.25">
      <c r="A249" s="13">
        <v>44441</v>
      </c>
      <c r="B249" s="97">
        <v>25247</v>
      </c>
      <c r="C249" t="s">
        <v>129</v>
      </c>
      <c r="D249" s="94" t="s">
        <v>378</v>
      </c>
      <c r="E249" t="s">
        <v>34</v>
      </c>
      <c r="F249" t="s">
        <v>572</v>
      </c>
      <c r="G249" s="50" t="s">
        <v>243</v>
      </c>
      <c r="H249" s="50">
        <v>2</v>
      </c>
      <c r="I249" s="100">
        <v>6.7391919697301583</v>
      </c>
      <c r="J249" s="52">
        <v>3834.68</v>
      </c>
      <c r="K249" s="67">
        <f t="shared" si="12"/>
        <v>652449.24979375477</v>
      </c>
      <c r="L249" s="95">
        <f>+VLOOKUP(E249,MARGEN!A:B,2,FALSE)</f>
        <v>0.1</v>
      </c>
      <c r="M249" s="112">
        <f t="shared" si="13"/>
        <v>65244.924979375479</v>
      </c>
      <c r="N249" s="113">
        <f t="shared" si="14"/>
        <v>2609.7969991750192</v>
      </c>
      <c r="O249" s="113">
        <f t="shared" si="15"/>
        <v>584594.52781520435</v>
      </c>
    </row>
    <row r="250" spans="1:15" x14ac:dyDescent="0.25">
      <c r="A250" s="13">
        <v>44442</v>
      </c>
      <c r="B250" s="97">
        <v>25268</v>
      </c>
      <c r="C250" t="s">
        <v>129</v>
      </c>
      <c r="D250" s="94" t="s">
        <v>378</v>
      </c>
      <c r="E250" t="s">
        <v>34</v>
      </c>
      <c r="F250" t="s">
        <v>557</v>
      </c>
      <c r="G250" s="50" t="s">
        <v>205</v>
      </c>
      <c r="H250" s="50">
        <v>2</v>
      </c>
      <c r="I250" s="100">
        <v>6.7391919697301583</v>
      </c>
      <c r="J250" s="52">
        <v>3834.68</v>
      </c>
      <c r="K250" s="67">
        <f t="shared" si="12"/>
        <v>652991.94533166708</v>
      </c>
      <c r="L250" s="95">
        <f>+VLOOKUP(E250,MARGEN!A:B,2,FALSE)</f>
        <v>0.1</v>
      </c>
      <c r="M250" s="112">
        <f t="shared" si="13"/>
        <v>65299.194533166708</v>
      </c>
      <c r="N250" s="113">
        <f t="shared" si="14"/>
        <v>2611.9677813266685</v>
      </c>
      <c r="O250" s="113">
        <f t="shared" si="15"/>
        <v>585080.78301717376</v>
      </c>
    </row>
    <row r="251" spans="1:15" x14ac:dyDescent="0.25">
      <c r="A251" s="13">
        <v>44453</v>
      </c>
      <c r="B251" s="97">
        <v>25267</v>
      </c>
      <c r="C251" t="s">
        <v>129</v>
      </c>
      <c r="D251" s="94" t="s">
        <v>378</v>
      </c>
      <c r="E251" t="s">
        <v>34</v>
      </c>
      <c r="F251" t="s">
        <v>551</v>
      </c>
      <c r="G251" s="50" t="s">
        <v>205</v>
      </c>
      <c r="H251" s="50">
        <v>2</v>
      </c>
      <c r="I251" s="100">
        <v>6.7391919697301583</v>
      </c>
      <c r="J251" s="52">
        <v>3834.68</v>
      </c>
      <c r="K251" s="67">
        <f t="shared" si="12"/>
        <v>652966.10268700449</v>
      </c>
      <c r="L251" s="95">
        <f>+VLOOKUP(E251,MARGEN!A:B,2,FALSE)</f>
        <v>0.1</v>
      </c>
      <c r="M251" s="112">
        <f t="shared" si="13"/>
        <v>65296.610268700453</v>
      </c>
      <c r="N251" s="113">
        <f t="shared" si="14"/>
        <v>2611.8644107480181</v>
      </c>
      <c r="O251" s="113">
        <f t="shared" si="15"/>
        <v>585057.62800755608</v>
      </c>
    </row>
    <row r="252" spans="1:15" x14ac:dyDescent="0.25">
      <c r="A252" s="13">
        <v>44454</v>
      </c>
      <c r="B252" s="97">
        <v>25268</v>
      </c>
      <c r="C252" t="s">
        <v>129</v>
      </c>
      <c r="D252" s="94" t="s">
        <v>378</v>
      </c>
      <c r="E252" t="s">
        <v>34</v>
      </c>
      <c r="F252" t="s">
        <v>558</v>
      </c>
      <c r="G252" s="50" t="s">
        <v>559</v>
      </c>
      <c r="H252" s="50">
        <v>2</v>
      </c>
      <c r="I252" s="100">
        <v>6.7391919697301583</v>
      </c>
      <c r="J252" s="52">
        <v>3834.68</v>
      </c>
      <c r="K252" s="67">
        <f t="shared" si="12"/>
        <v>652991.94533166708</v>
      </c>
      <c r="L252" s="95">
        <f>+VLOOKUP(E252,MARGEN!A:B,2,FALSE)</f>
        <v>0.1</v>
      </c>
      <c r="M252" s="112">
        <f t="shared" si="13"/>
        <v>65299.194533166708</v>
      </c>
      <c r="N252" s="113">
        <f t="shared" si="14"/>
        <v>2611.9677813266685</v>
      </c>
      <c r="O252" s="113">
        <f t="shared" si="15"/>
        <v>585080.78301717376</v>
      </c>
    </row>
    <row r="253" spans="1:15" x14ac:dyDescent="0.25">
      <c r="A253" s="13">
        <v>44455</v>
      </c>
      <c r="B253" s="97">
        <v>25268</v>
      </c>
      <c r="C253" t="s">
        <v>129</v>
      </c>
      <c r="D253" s="94" t="s">
        <v>378</v>
      </c>
      <c r="E253" t="s">
        <v>34</v>
      </c>
      <c r="F253" t="s">
        <v>558</v>
      </c>
      <c r="G253" s="50" t="s">
        <v>559</v>
      </c>
      <c r="H253" s="50">
        <v>2</v>
      </c>
      <c r="I253" s="100">
        <v>6.7391919697301583</v>
      </c>
      <c r="J253" s="52">
        <v>3834.68</v>
      </c>
      <c r="K253" s="67">
        <f t="shared" si="12"/>
        <v>652991.94533166708</v>
      </c>
      <c r="L253" s="95">
        <f>+VLOOKUP(E253,MARGEN!A:B,2,FALSE)</f>
        <v>0.1</v>
      </c>
      <c r="M253" s="112">
        <f t="shared" si="13"/>
        <v>65299.194533166708</v>
      </c>
      <c r="N253" s="113">
        <f t="shared" si="14"/>
        <v>2611.9677813266685</v>
      </c>
      <c r="O253" s="113">
        <f t="shared" si="15"/>
        <v>585080.78301717376</v>
      </c>
    </row>
    <row r="254" spans="1:15" x14ac:dyDescent="0.25">
      <c r="A254" s="13">
        <v>44456</v>
      </c>
      <c r="B254" s="97">
        <v>25266</v>
      </c>
      <c r="C254" t="s">
        <v>129</v>
      </c>
      <c r="D254" s="94" t="s">
        <v>378</v>
      </c>
      <c r="E254" t="s">
        <v>34</v>
      </c>
      <c r="F254" t="s">
        <v>562</v>
      </c>
      <c r="G254" s="50" t="s">
        <v>559</v>
      </c>
      <c r="H254" s="50">
        <v>2</v>
      </c>
      <c r="I254" s="100">
        <v>6.7391919697301583</v>
      </c>
      <c r="J254" s="52">
        <v>3834.68</v>
      </c>
      <c r="K254" s="67">
        <f t="shared" si="12"/>
        <v>652940.26004234212</v>
      </c>
      <c r="L254" s="95">
        <f>+VLOOKUP(E254,MARGEN!A:B,2,FALSE)</f>
        <v>0.1</v>
      </c>
      <c r="M254" s="112">
        <f t="shared" si="13"/>
        <v>65294.026004234212</v>
      </c>
      <c r="N254" s="113">
        <f t="shared" si="14"/>
        <v>2611.7610401693687</v>
      </c>
      <c r="O254" s="113">
        <f t="shared" si="15"/>
        <v>585034.47299793852</v>
      </c>
    </row>
    <row r="255" spans="1:15" x14ac:dyDescent="0.25">
      <c r="A255" s="13">
        <v>44457</v>
      </c>
      <c r="B255" s="97">
        <v>25266</v>
      </c>
      <c r="C255" t="s">
        <v>129</v>
      </c>
      <c r="D255" s="94" t="s">
        <v>378</v>
      </c>
      <c r="E255" t="s">
        <v>34</v>
      </c>
      <c r="F255" t="s">
        <v>562</v>
      </c>
      <c r="G255" s="50" t="s">
        <v>559</v>
      </c>
      <c r="H255" s="50">
        <v>2</v>
      </c>
      <c r="I255" s="100">
        <v>6.7391919697301583</v>
      </c>
      <c r="J255" s="52">
        <v>3834.68</v>
      </c>
      <c r="K255" s="67">
        <f t="shared" si="12"/>
        <v>652940.26004234212</v>
      </c>
      <c r="L255" s="95">
        <f>+VLOOKUP(E255,MARGEN!A:B,2,FALSE)</f>
        <v>0.1</v>
      </c>
      <c r="M255" s="112">
        <f t="shared" si="13"/>
        <v>65294.026004234212</v>
      </c>
      <c r="N255" s="113">
        <f t="shared" si="14"/>
        <v>2611.7610401693687</v>
      </c>
      <c r="O255" s="113">
        <f t="shared" si="15"/>
        <v>585034.47299793852</v>
      </c>
    </row>
    <row r="256" spans="1:15" x14ac:dyDescent="0.25">
      <c r="A256" s="13">
        <v>44458</v>
      </c>
      <c r="B256" s="97">
        <v>25266</v>
      </c>
      <c r="C256" t="s">
        <v>129</v>
      </c>
      <c r="D256" s="94" t="s">
        <v>378</v>
      </c>
      <c r="E256" t="s">
        <v>34</v>
      </c>
      <c r="F256" t="s">
        <v>562</v>
      </c>
      <c r="G256" s="50" t="s">
        <v>559</v>
      </c>
      <c r="H256" s="50">
        <v>2</v>
      </c>
      <c r="I256" s="100">
        <v>6.7391919697301583</v>
      </c>
      <c r="J256" s="52">
        <v>3834.68</v>
      </c>
      <c r="K256" s="67">
        <f t="shared" si="12"/>
        <v>652940.26004234212</v>
      </c>
      <c r="L256" s="95">
        <f>+VLOOKUP(E256,MARGEN!A:B,2,FALSE)</f>
        <v>0.1</v>
      </c>
      <c r="M256" s="112">
        <f t="shared" si="13"/>
        <v>65294.026004234212</v>
      </c>
      <c r="N256" s="113">
        <f t="shared" si="14"/>
        <v>2611.7610401693687</v>
      </c>
      <c r="O256" s="113">
        <f t="shared" si="15"/>
        <v>585034.47299793852</v>
      </c>
    </row>
    <row r="257" spans="1:15" x14ac:dyDescent="0.25">
      <c r="A257" s="13">
        <v>44459</v>
      </c>
      <c r="B257" s="97">
        <v>25271</v>
      </c>
      <c r="C257" t="s">
        <v>129</v>
      </c>
      <c r="D257" s="94" t="s">
        <v>378</v>
      </c>
      <c r="E257" t="s">
        <v>34</v>
      </c>
      <c r="F257" t="s">
        <v>573</v>
      </c>
      <c r="G257" s="50" t="s">
        <v>574</v>
      </c>
      <c r="H257" s="50">
        <v>2</v>
      </c>
      <c r="I257" s="100">
        <v>6.7391919697301583</v>
      </c>
      <c r="J257" s="52">
        <v>3834.68</v>
      </c>
      <c r="K257" s="67">
        <f t="shared" si="12"/>
        <v>653069.47326565441</v>
      </c>
      <c r="L257" s="95">
        <f>+VLOOKUP(E257,MARGEN!A:B,2,FALSE)</f>
        <v>0.1</v>
      </c>
      <c r="M257" s="112">
        <f t="shared" si="13"/>
        <v>65306.947326565445</v>
      </c>
      <c r="N257" s="113">
        <f t="shared" si="14"/>
        <v>2612.2778930626177</v>
      </c>
      <c r="O257" s="113">
        <f t="shared" si="15"/>
        <v>585150.24804602645</v>
      </c>
    </row>
    <row r="258" spans="1:15" x14ac:dyDescent="0.25">
      <c r="A258" s="13">
        <v>44460</v>
      </c>
      <c r="B258" s="97">
        <v>25271</v>
      </c>
      <c r="C258" t="s">
        <v>129</v>
      </c>
      <c r="D258" s="94" t="s">
        <v>378</v>
      </c>
      <c r="E258" t="s">
        <v>34</v>
      </c>
      <c r="F258" t="s">
        <v>573</v>
      </c>
      <c r="G258" s="50" t="s">
        <v>574</v>
      </c>
      <c r="H258" s="50">
        <v>2</v>
      </c>
      <c r="I258" s="100">
        <v>6.7391919697301583</v>
      </c>
      <c r="J258" s="52">
        <v>3834.68</v>
      </c>
      <c r="K258" s="67">
        <f t="shared" ref="K258:K328" si="16">+B258*I258*J258/1000</f>
        <v>653069.47326565441</v>
      </c>
      <c r="L258" s="95">
        <f>+VLOOKUP(E258,MARGEN!A:B,2,FALSE)</f>
        <v>0.1</v>
      </c>
      <c r="M258" s="112">
        <f t="shared" si="13"/>
        <v>65306.947326565445</v>
      </c>
      <c r="N258" s="113">
        <f t="shared" si="14"/>
        <v>2612.2778930626177</v>
      </c>
      <c r="O258" s="113">
        <f t="shared" si="15"/>
        <v>585150.24804602645</v>
      </c>
    </row>
    <row r="259" spans="1:15" x14ac:dyDescent="0.25">
      <c r="A259" s="13">
        <v>44461</v>
      </c>
      <c r="B259" s="97">
        <v>25268</v>
      </c>
      <c r="C259" t="s">
        <v>129</v>
      </c>
      <c r="D259" t="s">
        <v>378</v>
      </c>
      <c r="E259" t="s">
        <v>34</v>
      </c>
      <c r="F259" t="s">
        <v>558</v>
      </c>
      <c r="G259" s="50" t="s">
        <v>574</v>
      </c>
      <c r="H259" s="50">
        <v>2</v>
      </c>
      <c r="I259" s="100">
        <v>6.7391919697301583</v>
      </c>
      <c r="J259" s="52">
        <v>3834.68</v>
      </c>
      <c r="K259" s="67">
        <f t="shared" si="16"/>
        <v>652991.94533166708</v>
      </c>
      <c r="L259" s="95">
        <f>+VLOOKUP(E259,MARGEN!A:B,2,FALSE)</f>
        <v>0.1</v>
      </c>
      <c r="M259" s="112">
        <f t="shared" ref="M259:M322" si="17">+K259*L259</f>
        <v>65299.194533166708</v>
      </c>
      <c r="N259" s="113">
        <f t="shared" ref="N259:N322" si="18">+K259*4/1000</f>
        <v>2611.9677813266685</v>
      </c>
      <c r="O259" s="113">
        <f t="shared" ref="O259:O322" si="19">+K259-M259-N259</f>
        <v>585080.78301717376</v>
      </c>
    </row>
    <row r="260" spans="1:15" x14ac:dyDescent="0.25">
      <c r="A260" s="13">
        <v>44462</v>
      </c>
      <c r="B260" s="97">
        <v>25268</v>
      </c>
      <c r="C260" t="s">
        <v>129</v>
      </c>
      <c r="D260" t="s">
        <v>378</v>
      </c>
      <c r="E260" t="s">
        <v>34</v>
      </c>
      <c r="F260" t="s">
        <v>558</v>
      </c>
      <c r="G260" s="50" t="s">
        <v>574</v>
      </c>
      <c r="H260" s="50">
        <v>2</v>
      </c>
      <c r="I260" s="100">
        <v>6.7391919697301583</v>
      </c>
      <c r="J260" s="52">
        <v>3834.68</v>
      </c>
      <c r="K260" s="67">
        <f t="shared" si="16"/>
        <v>652991.94533166708</v>
      </c>
      <c r="L260" s="95">
        <f>+VLOOKUP(E260,MARGEN!A:B,2,FALSE)</f>
        <v>0.1</v>
      </c>
      <c r="M260" s="112">
        <f t="shared" si="17"/>
        <v>65299.194533166708</v>
      </c>
      <c r="N260" s="113">
        <f t="shared" si="18"/>
        <v>2611.9677813266685</v>
      </c>
      <c r="O260" s="113">
        <f t="shared" si="19"/>
        <v>585080.78301717376</v>
      </c>
    </row>
    <row r="261" spans="1:15" x14ac:dyDescent="0.25">
      <c r="A261" s="13">
        <v>44463</v>
      </c>
      <c r="B261" s="97">
        <v>25268</v>
      </c>
      <c r="C261" t="s">
        <v>129</v>
      </c>
      <c r="D261" t="s">
        <v>378</v>
      </c>
      <c r="E261" t="s">
        <v>34</v>
      </c>
      <c r="F261" t="s">
        <v>558</v>
      </c>
      <c r="G261" s="50" t="s">
        <v>574</v>
      </c>
      <c r="H261" s="50">
        <v>2</v>
      </c>
      <c r="I261" s="100">
        <v>6.7391919697301583</v>
      </c>
      <c r="J261" s="52">
        <v>3834.68</v>
      </c>
      <c r="K261" s="67">
        <f t="shared" si="16"/>
        <v>652991.94533166708</v>
      </c>
      <c r="L261" s="95">
        <f>+VLOOKUP(E261,MARGEN!A:B,2,FALSE)</f>
        <v>0.1</v>
      </c>
      <c r="M261" s="112">
        <f t="shared" si="17"/>
        <v>65299.194533166708</v>
      </c>
      <c r="N261" s="113">
        <f t="shared" si="18"/>
        <v>2611.9677813266685</v>
      </c>
      <c r="O261" s="113">
        <f t="shared" si="19"/>
        <v>585080.78301717376</v>
      </c>
    </row>
    <row r="262" spans="1:15" x14ac:dyDescent="0.25">
      <c r="A262" s="13">
        <v>44464</v>
      </c>
      <c r="B262" s="97">
        <v>25271</v>
      </c>
      <c r="C262" t="s">
        <v>129</v>
      </c>
      <c r="D262" t="s">
        <v>378</v>
      </c>
      <c r="E262" t="s">
        <v>34</v>
      </c>
      <c r="F262" t="s">
        <v>573</v>
      </c>
      <c r="G262" s="50" t="s">
        <v>574</v>
      </c>
      <c r="H262" s="50">
        <v>2</v>
      </c>
      <c r="I262" s="100">
        <v>6.7391919697301583</v>
      </c>
      <c r="J262" s="52">
        <v>3834.68</v>
      </c>
      <c r="K262" s="67">
        <f t="shared" si="16"/>
        <v>653069.47326565441</v>
      </c>
      <c r="L262" s="95">
        <f>+VLOOKUP(E262,MARGEN!A:B,2,FALSE)</f>
        <v>0.1</v>
      </c>
      <c r="M262" s="112">
        <f t="shared" si="17"/>
        <v>65306.947326565445</v>
      </c>
      <c r="N262" s="113">
        <f t="shared" si="18"/>
        <v>2612.2778930626177</v>
      </c>
      <c r="O262" s="113">
        <f t="shared" si="19"/>
        <v>585150.24804602645</v>
      </c>
    </row>
    <row r="263" spans="1:15" x14ac:dyDescent="0.25">
      <c r="A263" s="43">
        <v>44465</v>
      </c>
      <c r="B263" s="51">
        <v>25271</v>
      </c>
      <c r="C263" s="66" t="s">
        <v>129</v>
      </c>
      <c r="D263" s="66" t="s">
        <v>378</v>
      </c>
      <c r="E263" t="s">
        <v>34</v>
      </c>
      <c r="F263" s="50" t="s">
        <v>573</v>
      </c>
      <c r="G263" s="50" t="s">
        <v>574</v>
      </c>
      <c r="H263" s="50">
        <v>2</v>
      </c>
      <c r="I263" s="100">
        <v>6.7391919697301583</v>
      </c>
      <c r="J263" s="52">
        <v>3834.68</v>
      </c>
      <c r="K263" s="67">
        <f t="shared" si="16"/>
        <v>653069.47326565441</v>
      </c>
      <c r="L263" s="95">
        <f>+VLOOKUP(E263,MARGEN!A:B,2,FALSE)</f>
        <v>0.1</v>
      </c>
      <c r="M263" s="112">
        <f t="shared" si="17"/>
        <v>65306.947326565445</v>
      </c>
      <c r="N263" s="113">
        <f t="shared" si="18"/>
        <v>2612.2778930626177</v>
      </c>
      <c r="O263" s="113">
        <f t="shared" si="19"/>
        <v>585150.24804602645</v>
      </c>
    </row>
    <row r="264" spans="1:15" x14ac:dyDescent="0.25">
      <c r="A264" s="43">
        <v>44466</v>
      </c>
      <c r="B264" s="51">
        <v>25271</v>
      </c>
      <c r="C264" s="66" t="s">
        <v>129</v>
      </c>
      <c r="D264" s="66" t="s">
        <v>378</v>
      </c>
      <c r="E264" t="s">
        <v>34</v>
      </c>
      <c r="F264" s="50" t="s">
        <v>573</v>
      </c>
      <c r="G264" s="50" t="s">
        <v>574</v>
      </c>
      <c r="H264" s="50">
        <v>2</v>
      </c>
      <c r="I264" s="100">
        <v>6.7391919697301583</v>
      </c>
      <c r="J264" s="52">
        <v>3834.68</v>
      </c>
      <c r="K264" s="67">
        <f t="shared" si="16"/>
        <v>653069.47326565441</v>
      </c>
      <c r="L264" s="95">
        <f>+VLOOKUP(E264,MARGEN!A:B,2,FALSE)</f>
        <v>0.1</v>
      </c>
      <c r="M264" s="112">
        <f t="shared" si="17"/>
        <v>65306.947326565445</v>
      </c>
      <c r="N264" s="113">
        <f t="shared" si="18"/>
        <v>2612.2778930626177</v>
      </c>
      <c r="O264" s="113">
        <f t="shared" si="19"/>
        <v>585150.24804602645</v>
      </c>
    </row>
    <row r="265" spans="1:15" x14ac:dyDescent="0.25">
      <c r="A265" s="43">
        <v>44467</v>
      </c>
      <c r="B265" s="51">
        <v>25271</v>
      </c>
      <c r="C265" s="66" t="s">
        <v>129</v>
      </c>
      <c r="D265" s="66" t="s">
        <v>378</v>
      </c>
      <c r="E265" t="s">
        <v>34</v>
      </c>
      <c r="F265" s="50" t="s">
        <v>573</v>
      </c>
      <c r="G265" s="50" t="s">
        <v>574</v>
      </c>
      <c r="H265" s="50">
        <v>2</v>
      </c>
      <c r="I265" s="100">
        <v>6.7391919697301583</v>
      </c>
      <c r="J265" s="52">
        <v>3834.68</v>
      </c>
      <c r="K265" s="67">
        <f t="shared" si="16"/>
        <v>653069.47326565441</v>
      </c>
      <c r="L265" s="95">
        <f>+VLOOKUP(E265,MARGEN!A:B,2,FALSE)</f>
        <v>0.1</v>
      </c>
      <c r="M265" s="112">
        <f t="shared" si="17"/>
        <v>65306.947326565445</v>
      </c>
      <c r="N265" s="113">
        <f t="shared" si="18"/>
        <v>2612.2778930626177</v>
      </c>
      <c r="O265" s="113">
        <f t="shared" si="19"/>
        <v>585150.24804602645</v>
      </c>
    </row>
    <row r="266" spans="1:15" x14ac:dyDescent="0.25">
      <c r="A266" s="43">
        <v>44468</v>
      </c>
      <c r="B266" s="51">
        <v>25271</v>
      </c>
      <c r="C266" s="66" t="s">
        <v>129</v>
      </c>
      <c r="D266" s="66" t="s">
        <v>378</v>
      </c>
      <c r="E266" t="s">
        <v>34</v>
      </c>
      <c r="F266" s="50" t="s">
        <v>573</v>
      </c>
      <c r="G266" s="50" t="s">
        <v>574</v>
      </c>
      <c r="H266" s="50">
        <v>2</v>
      </c>
      <c r="I266" s="100">
        <v>6.7391919697301583</v>
      </c>
      <c r="J266" s="52">
        <v>3834.68</v>
      </c>
      <c r="K266" s="67">
        <f t="shared" si="16"/>
        <v>653069.47326565441</v>
      </c>
      <c r="L266" s="95">
        <f>+VLOOKUP(E266,MARGEN!A:B,2,FALSE)</f>
        <v>0.1</v>
      </c>
      <c r="M266" s="112">
        <f t="shared" si="17"/>
        <v>65306.947326565445</v>
      </c>
      <c r="N266" s="113">
        <f t="shared" si="18"/>
        <v>2612.2778930626177</v>
      </c>
      <c r="O266" s="113">
        <f t="shared" si="19"/>
        <v>585150.24804602645</v>
      </c>
    </row>
    <row r="267" spans="1:15" x14ac:dyDescent="0.25">
      <c r="A267" s="43">
        <v>44469</v>
      </c>
      <c r="B267" s="51">
        <v>25271</v>
      </c>
      <c r="C267" s="66" t="s">
        <v>129</v>
      </c>
      <c r="D267" s="66" t="s">
        <v>378</v>
      </c>
      <c r="E267" t="s">
        <v>34</v>
      </c>
      <c r="F267" s="50" t="s">
        <v>573</v>
      </c>
      <c r="G267" s="50" t="s">
        <v>574</v>
      </c>
      <c r="H267" s="50">
        <v>2</v>
      </c>
      <c r="I267" s="100">
        <v>6.7391919697301583</v>
      </c>
      <c r="J267" s="52">
        <v>3834.68</v>
      </c>
      <c r="K267" s="67">
        <f t="shared" si="16"/>
        <v>653069.47326565441</v>
      </c>
      <c r="L267" s="95">
        <f>+VLOOKUP(E267,MARGEN!A:B,2,FALSE)</f>
        <v>0.1</v>
      </c>
      <c r="M267" s="112">
        <f t="shared" si="17"/>
        <v>65306.947326565445</v>
      </c>
      <c r="N267" s="113">
        <f t="shared" si="18"/>
        <v>2612.2778930626177</v>
      </c>
      <c r="O267" s="113">
        <f t="shared" si="19"/>
        <v>585150.24804602645</v>
      </c>
    </row>
    <row r="268" spans="1:15" x14ac:dyDescent="0.25">
      <c r="A268" s="13">
        <v>44440</v>
      </c>
      <c r="B268" s="97">
        <v>6671</v>
      </c>
      <c r="C268" t="s">
        <v>233</v>
      </c>
      <c r="D268" s="94" t="s">
        <v>488</v>
      </c>
      <c r="E268" t="s">
        <v>502</v>
      </c>
      <c r="F268" t="s">
        <v>558</v>
      </c>
      <c r="G268" s="50" t="s">
        <v>559</v>
      </c>
      <c r="H268" s="50">
        <v>2</v>
      </c>
      <c r="I268" s="100">
        <v>6.7391919697301583</v>
      </c>
      <c r="J268" s="52">
        <v>3834.68</v>
      </c>
      <c r="K268" s="67">
        <f t="shared" si="16"/>
        <v>172396.28254343639</v>
      </c>
      <c r="L268" s="95">
        <f>+VLOOKUP(E268,MARGEN!A:B,2,FALSE)</f>
        <v>0.1</v>
      </c>
      <c r="M268" s="112">
        <f t="shared" si="17"/>
        <v>17239.628254343639</v>
      </c>
      <c r="N268" s="113">
        <f t="shared" si="18"/>
        <v>689.5851301737456</v>
      </c>
      <c r="O268" s="113">
        <f t="shared" si="19"/>
        <v>154467.06915891901</v>
      </c>
    </row>
    <row r="269" spans="1:15" x14ac:dyDescent="0.25">
      <c r="A269" s="13">
        <v>44441</v>
      </c>
      <c r="B269" s="97">
        <v>6671</v>
      </c>
      <c r="C269" t="s">
        <v>233</v>
      </c>
      <c r="D269" s="94" t="s">
        <v>488</v>
      </c>
      <c r="E269" t="s">
        <v>502</v>
      </c>
      <c r="F269" t="s">
        <v>557</v>
      </c>
      <c r="G269" s="50" t="s">
        <v>205</v>
      </c>
      <c r="H269" s="50">
        <v>2</v>
      </c>
      <c r="I269" s="100">
        <v>6.7391919697301583</v>
      </c>
      <c r="J269" s="52">
        <v>3834.68</v>
      </c>
      <c r="K269" s="67">
        <f t="shared" si="16"/>
        <v>172396.28254343639</v>
      </c>
      <c r="L269" s="95">
        <f>+VLOOKUP(E269,MARGEN!A:B,2,FALSE)</f>
        <v>0.1</v>
      </c>
      <c r="M269" s="112">
        <f t="shared" si="17"/>
        <v>17239.628254343639</v>
      </c>
      <c r="N269" s="113">
        <f t="shared" si="18"/>
        <v>689.5851301737456</v>
      </c>
      <c r="O269" s="113">
        <f t="shared" si="19"/>
        <v>154467.06915891901</v>
      </c>
    </row>
    <row r="270" spans="1:15" x14ac:dyDescent="0.25">
      <c r="A270" s="13">
        <v>44446</v>
      </c>
      <c r="B270" s="97">
        <v>6671</v>
      </c>
      <c r="C270" t="s">
        <v>233</v>
      </c>
      <c r="D270" s="94" t="s">
        <v>488</v>
      </c>
      <c r="E270" t="s">
        <v>502</v>
      </c>
      <c r="F270" t="s">
        <v>557</v>
      </c>
      <c r="G270" s="50" t="s">
        <v>205</v>
      </c>
      <c r="H270" s="50">
        <v>2</v>
      </c>
      <c r="I270" s="100">
        <v>6.7391919697301583</v>
      </c>
      <c r="J270" s="52">
        <v>3834.68</v>
      </c>
      <c r="K270" s="67">
        <f t="shared" si="16"/>
        <v>172396.28254343639</v>
      </c>
      <c r="L270" s="95">
        <f>+VLOOKUP(E270,MARGEN!A:B,2,FALSE)</f>
        <v>0.1</v>
      </c>
      <c r="M270" s="112">
        <f t="shared" si="17"/>
        <v>17239.628254343639</v>
      </c>
      <c r="N270" s="113">
        <f t="shared" si="18"/>
        <v>689.5851301737456</v>
      </c>
      <c r="O270" s="113">
        <f t="shared" si="19"/>
        <v>154467.06915891901</v>
      </c>
    </row>
    <row r="271" spans="1:15" x14ac:dyDescent="0.25">
      <c r="A271" s="13">
        <v>44447</v>
      </c>
      <c r="B271" s="97">
        <v>6671</v>
      </c>
      <c r="C271" t="s">
        <v>233</v>
      </c>
      <c r="D271" s="94" t="s">
        <v>488</v>
      </c>
      <c r="E271" t="s">
        <v>502</v>
      </c>
      <c r="F271" t="s">
        <v>558</v>
      </c>
      <c r="G271" s="50" t="s">
        <v>559</v>
      </c>
      <c r="H271" s="50">
        <v>2</v>
      </c>
      <c r="I271" s="100">
        <v>6.7391919697301583</v>
      </c>
      <c r="J271" s="52">
        <v>3834.68</v>
      </c>
      <c r="K271" s="67">
        <f t="shared" si="16"/>
        <v>172396.28254343639</v>
      </c>
      <c r="L271" s="95">
        <f>+VLOOKUP(E271,MARGEN!A:B,2,FALSE)</f>
        <v>0.1</v>
      </c>
      <c r="M271" s="112">
        <f t="shared" si="17"/>
        <v>17239.628254343639</v>
      </c>
      <c r="N271" s="113">
        <f t="shared" si="18"/>
        <v>689.5851301737456</v>
      </c>
      <c r="O271" s="113">
        <f t="shared" si="19"/>
        <v>154467.06915891901</v>
      </c>
    </row>
    <row r="272" spans="1:15" x14ac:dyDescent="0.25">
      <c r="A272" s="13">
        <v>44461</v>
      </c>
      <c r="B272" s="97">
        <v>6671</v>
      </c>
      <c r="C272" t="s">
        <v>233</v>
      </c>
      <c r="D272" t="s">
        <v>488</v>
      </c>
      <c r="E272" t="s">
        <v>502</v>
      </c>
      <c r="F272" t="s">
        <v>558</v>
      </c>
      <c r="G272" s="50" t="s">
        <v>574</v>
      </c>
      <c r="H272" s="50">
        <v>2</v>
      </c>
      <c r="I272" s="100">
        <v>6.7391919697301583</v>
      </c>
      <c r="J272" s="52">
        <v>3834.68</v>
      </c>
      <c r="K272" s="67">
        <f t="shared" si="16"/>
        <v>172396.28254343639</v>
      </c>
      <c r="L272" s="95">
        <f>+VLOOKUP(E272,MARGEN!A:B,2,FALSE)</f>
        <v>0.1</v>
      </c>
      <c r="M272" s="112">
        <f t="shared" si="17"/>
        <v>17239.628254343639</v>
      </c>
      <c r="N272" s="113">
        <f t="shared" si="18"/>
        <v>689.5851301737456</v>
      </c>
      <c r="O272" s="113">
        <f t="shared" si="19"/>
        <v>154467.06915891901</v>
      </c>
    </row>
    <row r="273" spans="1:15" x14ac:dyDescent="0.25">
      <c r="A273" s="13">
        <v>44462</v>
      </c>
      <c r="B273" s="97">
        <v>6671</v>
      </c>
      <c r="C273" t="s">
        <v>233</v>
      </c>
      <c r="D273" s="94" t="s">
        <v>488</v>
      </c>
      <c r="E273" t="s">
        <v>502</v>
      </c>
      <c r="F273" t="s">
        <v>558</v>
      </c>
      <c r="G273" s="50" t="s">
        <v>559</v>
      </c>
      <c r="H273" s="50">
        <v>2</v>
      </c>
      <c r="I273" s="100">
        <v>6.7391919697301583</v>
      </c>
      <c r="J273" s="52">
        <v>3834.68</v>
      </c>
      <c r="K273" s="67">
        <f t="shared" si="16"/>
        <v>172396.28254343639</v>
      </c>
      <c r="L273" s="95">
        <f>+VLOOKUP(E273,MARGEN!A:B,2,FALSE)</f>
        <v>0.1</v>
      </c>
      <c r="M273" s="112">
        <f t="shared" si="17"/>
        <v>17239.628254343639</v>
      </c>
      <c r="N273" s="113">
        <f t="shared" si="18"/>
        <v>689.5851301737456</v>
      </c>
      <c r="O273" s="113">
        <f t="shared" si="19"/>
        <v>154467.06915891901</v>
      </c>
    </row>
    <row r="274" spans="1:15" x14ac:dyDescent="0.25">
      <c r="A274" s="13">
        <v>44463</v>
      </c>
      <c r="B274" s="97">
        <v>6670</v>
      </c>
      <c r="C274" t="s">
        <v>233</v>
      </c>
      <c r="D274" t="s">
        <v>488</v>
      </c>
      <c r="E274" t="s">
        <v>502</v>
      </c>
      <c r="F274" t="s">
        <v>562</v>
      </c>
      <c r="G274" s="50" t="s">
        <v>574</v>
      </c>
      <c r="H274" s="50">
        <v>2</v>
      </c>
      <c r="I274" s="100">
        <v>6.7391919697301583</v>
      </c>
      <c r="J274" s="52">
        <v>3834.68</v>
      </c>
      <c r="K274" s="67">
        <f t="shared" si="16"/>
        <v>172370.43989877388</v>
      </c>
      <c r="L274" s="95">
        <f>+VLOOKUP(E274,MARGEN!A:B,2,FALSE)</f>
        <v>0.1</v>
      </c>
      <c r="M274" s="112">
        <f t="shared" si="17"/>
        <v>17237.043989877388</v>
      </c>
      <c r="N274" s="113">
        <f t="shared" si="18"/>
        <v>689.48175959509558</v>
      </c>
      <c r="O274" s="113">
        <f t="shared" si="19"/>
        <v>154443.91414930139</v>
      </c>
    </row>
    <row r="275" spans="1:15" x14ac:dyDescent="0.25">
      <c r="A275" s="13">
        <v>44440</v>
      </c>
      <c r="B275" s="51">
        <v>29995</v>
      </c>
      <c r="C275" s="66" t="s">
        <v>100</v>
      </c>
      <c r="D275" s="66" t="s">
        <v>372</v>
      </c>
      <c r="E275" t="s">
        <v>42</v>
      </c>
      <c r="F275" s="50" t="s">
        <v>557</v>
      </c>
      <c r="G275" s="50" t="s">
        <v>205</v>
      </c>
      <c r="H275" s="50">
        <v>1</v>
      </c>
      <c r="I275" s="100">
        <v>9</v>
      </c>
      <c r="J275" s="52">
        <v>3834.68</v>
      </c>
      <c r="K275" s="67">
        <f t="shared" si="16"/>
        <v>1035191.0394</v>
      </c>
      <c r="L275" s="95">
        <f>+VLOOKUP(E275,MARGEN!A:B,2,FALSE)</f>
        <v>0.1</v>
      </c>
      <c r="M275" s="112">
        <f t="shared" si="17"/>
        <v>103519.10394</v>
      </c>
      <c r="N275" s="113">
        <f t="shared" si="18"/>
        <v>4140.7641575999996</v>
      </c>
      <c r="O275" s="113">
        <f t="shared" si="19"/>
        <v>927531.17130240006</v>
      </c>
    </row>
    <row r="276" spans="1:15" x14ac:dyDescent="0.25">
      <c r="A276" s="13">
        <v>44441</v>
      </c>
      <c r="B276" s="97">
        <v>29970</v>
      </c>
      <c r="C276" t="s">
        <v>100</v>
      </c>
      <c r="D276" s="94" t="s">
        <v>372</v>
      </c>
      <c r="E276" t="s">
        <v>42</v>
      </c>
      <c r="F276" t="s">
        <v>572</v>
      </c>
      <c r="G276" s="50" t="s">
        <v>243</v>
      </c>
      <c r="H276" s="50">
        <v>1</v>
      </c>
      <c r="I276" s="100">
        <v>9</v>
      </c>
      <c r="J276" s="52">
        <v>3834.68</v>
      </c>
      <c r="K276" s="67">
        <f t="shared" si="16"/>
        <v>1034328.2363999999</v>
      </c>
      <c r="L276" s="95">
        <f>+VLOOKUP(E276,MARGEN!A:B,2,FALSE)</f>
        <v>0.1</v>
      </c>
      <c r="M276" s="112">
        <f t="shared" si="17"/>
        <v>103432.82364</v>
      </c>
      <c r="N276" s="113">
        <f t="shared" si="18"/>
        <v>4137.3129455999997</v>
      </c>
      <c r="O276" s="113">
        <f t="shared" si="19"/>
        <v>926758.09981439996</v>
      </c>
    </row>
    <row r="277" spans="1:15" x14ac:dyDescent="0.25">
      <c r="A277" s="13">
        <v>44454</v>
      </c>
      <c r="B277" s="97">
        <v>29994</v>
      </c>
      <c r="C277" t="s">
        <v>100</v>
      </c>
      <c r="D277" s="94" t="s">
        <v>372</v>
      </c>
      <c r="E277" t="s">
        <v>42</v>
      </c>
      <c r="F277" t="s">
        <v>551</v>
      </c>
      <c r="G277" s="50" t="s">
        <v>205</v>
      </c>
      <c r="H277" s="50">
        <v>1</v>
      </c>
      <c r="I277" s="100">
        <v>9</v>
      </c>
      <c r="J277" s="52">
        <v>3834.68</v>
      </c>
      <c r="K277" s="67">
        <f t="shared" si="16"/>
        <v>1035156.5272799999</v>
      </c>
      <c r="L277" s="95">
        <f>+VLOOKUP(E277,MARGEN!A:B,2,FALSE)</f>
        <v>0.1</v>
      </c>
      <c r="M277" s="112">
        <f t="shared" si="17"/>
        <v>103515.652728</v>
      </c>
      <c r="N277" s="113">
        <f t="shared" si="18"/>
        <v>4140.6261091199995</v>
      </c>
      <c r="O277" s="113">
        <f t="shared" si="19"/>
        <v>927500.24844287999</v>
      </c>
    </row>
    <row r="278" spans="1:15" x14ac:dyDescent="0.25">
      <c r="A278" s="13">
        <v>44455</v>
      </c>
      <c r="B278" s="97">
        <v>29996</v>
      </c>
      <c r="C278" t="s">
        <v>100</v>
      </c>
      <c r="D278" s="94" t="s">
        <v>372</v>
      </c>
      <c r="E278" t="s">
        <v>42</v>
      </c>
      <c r="F278" t="s">
        <v>558</v>
      </c>
      <c r="G278" s="50" t="s">
        <v>559</v>
      </c>
      <c r="H278" s="50">
        <v>1</v>
      </c>
      <c r="I278" s="100">
        <v>9</v>
      </c>
      <c r="J278" s="52">
        <v>3834.68</v>
      </c>
      <c r="K278" s="67">
        <f t="shared" si="16"/>
        <v>1035225.55152</v>
      </c>
      <c r="L278" s="95">
        <f>+VLOOKUP(E278,MARGEN!A:B,2,FALSE)</f>
        <v>0.1</v>
      </c>
      <c r="M278" s="112">
        <f t="shared" si="17"/>
        <v>103522.555152</v>
      </c>
      <c r="N278" s="113">
        <f t="shared" si="18"/>
        <v>4140.9022060799998</v>
      </c>
      <c r="O278" s="113">
        <f t="shared" si="19"/>
        <v>927562.0941619199</v>
      </c>
    </row>
    <row r="279" spans="1:15" x14ac:dyDescent="0.25">
      <c r="A279" s="13">
        <v>44456</v>
      </c>
      <c r="B279" s="97">
        <v>29996</v>
      </c>
      <c r="C279" t="s">
        <v>100</v>
      </c>
      <c r="D279" s="94" t="s">
        <v>372</v>
      </c>
      <c r="E279" t="s">
        <v>42</v>
      </c>
      <c r="F279" t="s">
        <v>558</v>
      </c>
      <c r="G279" s="50" t="s">
        <v>559</v>
      </c>
      <c r="H279" s="50">
        <v>1</v>
      </c>
      <c r="I279" s="100">
        <v>9</v>
      </c>
      <c r="J279" s="52">
        <v>3834.68</v>
      </c>
      <c r="K279" s="67">
        <f t="shared" si="16"/>
        <v>1035225.55152</v>
      </c>
      <c r="L279" s="95">
        <f>+VLOOKUP(E279,MARGEN!A:B,2,FALSE)</f>
        <v>0.1</v>
      </c>
      <c r="M279" s="112">
        <f t="shared" si="17"/>
        <v>103522.555152</v>
      </c>
      <c r="N279" s="113">
        <f t="shared" si="18"/>
        <v>4140.9022060799998</v>
      </c>
      <c r="O279" s="113">
        <f t="shared" si="19"/>
        <v>927562.0941619199</v>
      </c>
    </row>
    <row r="280" spans="1:15" x14ac:dyDescent="0.25">
      <c r="A280" s="13">
        <v>44459</v>
      </c>
      <c r="B280" s="97">
        <v>29999</v>
      </c>
      <c r="C280" t="s">
        <v>100</v>
      </c>
      <c r="D280" s="94" t="s">
        <v>372</v>
      </c>
      <c r="E280" t="s">
        <v>42</v>
      </c>
      <c r="F280" t="s">
        <v>573</v>
      </c>
      <c r="G280" s="50" t="s">
        <v>574</v>
      </c>
      <c r="H280" s="50">
        <v>1</v>
      </c>
      <c r="I280" s="100">
        <v>9</v>
      </c>
      <c r="J280" s="52">
        <v>3834.68</v>
      </c>
      <c r="K280" s="67">
        <f t="shared" si="16"/>
        <v>1035329.08788</v>
      </c>
      <c r="L280" s="95">
        <f>+VLOOKUP(E280,MARGEN!A:B,2,FALSE)</f>
        <v>0.1</v>
      </c>
      <c r="M280" s="112">
        <f t="shared" si="17"/>
        <v>103532.908788</v>
      </c>
      <c r="N280" s="113">
        <f t="shared" si="18"/>
        <v>4141.3163515200004</v>
      </c>
      <c r="O280" s="113">
        <f t="shared" si="19"/>
        <v>927654.86274047999</v>
      </c>
    </row>
    <row r="281" spans="1:15" x14ac:dyDescent="0.25">
      <c r="A281" s="13">
        <v>44460</v>
      </c>
      <c r="B281" s="97">
        <v>29999</v>
      </c>
      <c r="C281" t="s">
        <v>100</v>
      </c>
      <c r="D281" s="94" t="s">
        <v>372</v>
      </c>
      <c r="E281" t="s">
        <v>42</v>
      </c>
      <c r="F281" t="s">
        <v>573</v>
      </c>
      <c r="G281" s="50" t="s">
        <v>574</v>
      </c>
      <c r="H281" s="50">
        <v>1</v>
      </c>
      <c r="I281" s="100">
        <v>9</v>
      </c>
      <c r="J281" s="52">
        <v>3834.68</v>
      </c>
      <c r="K281" s="67">
        <f t="shared" si="16"/>
        <v>1035329.08788</v>
      </c>
      <c r="L281" s="95">
        <f>+VLOOKUP(E281,MARGEN!A:B,2,FALSE)</f>
        <v>0.1</v>
      </c>
      <c r="M281" s="112">
        <f t="shared" si="17"/>
        <v>103532.908788</v>
      </c>
      <c r="N281" s="113">
        <f t="shared" si="18"/>
        <v>4141.3163515200004</v>
      </c>
      <c r="O281" s="113">
        <f t="shared" si="19"/>
        <v>927654.86274047999</v>
      </c>
    </row>
    <row r="282" spans="1:15" x14ac:dyDescent="0.25">
      <c r="A282" s="13">
        <v>44461</v>
      </c>
      <c r="B282" s="97">
        <v>29999</v>
      </c>
      <c r="C282" t="s">
        <v>100</v>
      </c>
      <c r="D282" t="s">
        <v>372</v>
      </c>
      <c r="E282" t="s">
        <v>42</v>
      </c>
      <c r="F282" t="s">
        <v>573</v>
      </c>
      <c r="G282" s="50" t="s">
        <v>574</v>
      </c>
      <c r="H282" s="50">
        <v>1</v>
      </c>
      <c r="I282" s="100">
        <v>9</v>
      </c>
      <c r="J282" s="52">
        <v>3834.68</v>
      </c>
      <c r="K282" s="67">
        <f t="shared" si="16"/>
        <v>1035329.08788</v>
      </c>
      <c r="L282" s="95">
        <f>+VLOOKUP(E282,MARGEN!A:B,2,FALSE)</f>
        <v>0.1</v>
      </c>
      <c r="M282" s="112">
        <f t="shared" si="17"/>
        <v>103532.908788</v>
      </c>
      <c r="N282" s="113">
        <f t="shared" si="18"/>
        <v>4141.3163515200004</v>
      </c>
      <c r="O282" s="113">
        <f t="shared" si="19"/>
        <v>927654.86274047999</v>
      </c>
    </row>
    <row r="283" spans="1:15" x14ac:dyDescent="0.25">
      <c r="A283" s="13">
        <v>44462</v>
      </c>
      <c r="B283" s="97">
        <v>29999</v>
      </c>
      <c r="C283" t="s">
        <v>100</v>
      </c>
      <c r="D283" t="s">
        <v>372</v>
      </c>
      <c r="E283" t="s">
        <v>42</v>
      </c>
      <c r="F283" t="s">
        <v>573</v>
      </c>
      <c r="G283" s="50" t="s">
        <v>574</v>
      </c>
      <c r="H283" s="50">
        <v>1</v>
      </c>
      <c r="I283" s="100">
        <v>9</v>
      </c>
      <c r="J283" s="52">
        <v>3834.68</v>
      </c>
      <c r="K283" s="67">
        <f t="shared" si="16"/>
        <v>1035329.08788</v>
      </c>
      <c r="L283" s="95">
        <f>+VLOOKUP(E283,MARGEN!A:B,2,FALSE)</f>
        <v>0.1</v>
      </c>
      <c r="M283" s="112">
        <f t="shared" si="17"/>
        <v>103532.908788</v>
      </c>
      <c r="N283" s="113">
        <f t="shared" si="18"/>
        <v>4141.3163515200004</v>
      </c>
      <c r="O283" s="113">
        <f t="shared" si="19"/>
        <v>927654.86274047999</v>
      </c>
    </row>
    <row r="284" spans="1:15" x14ac:dyDescent="0.25">
      <c r="A284" s="13">
        <v>44463</v>
      </c>
      <c r="B284" s="97">
        <v>29999</v>
      </c>
      <c r="C284" t="s">
        <v>100</v>
      </c>
      <c r="D284" t="s">
        <v>372</v>
      </c>
      <c r="E284" t="s">
        <v>42</v>
      </c>
      <c r="F284" t="s">
        <v>573</v>
      </c>
      <c r="G284" s="50" t="s">
        <v>574</v>
      </c>
      <c r="H284" s="50">
        <v>1</v>
      </c>
      <c r="I284" s="100">
        <v>9</v>
      </c>
      <c r="J284" s="52">
        <v>3834.68</v>
      </c>
      <c r="K284" s="67">
        <f t="shared" si="16"/>
        <v>1035329.08788</v>
      </c>
      <c r="L284" s="95">
        <f>+VLOOKUP(E284,MARGEN!A:B,2,FALSE)</f>
        <v>0.1</v>
      </c>
      <c r="M284" s="112">
        <f t="shared" si="17"/>
        <v>103532.908788</v>
      </c>
      <c r="N284" s="113">
        <f t="shared" si="18"/>
        <v>4141.3163515200004</v>
      </c>
      <c r="O284" s="113">
        <f t="shared" si="19"/>
        <v>927654.86274047999</v>
      </c>
    </row>
    <row r="285" spans="1:15" x14ac:dyDescent="0.25">
      <c r="A285" s="13">
        <v>44464</v>
      </c>
      <c r="B285" s="97">
        <v>29999</v>
      </c>
      <c r="C285" t="s">
        <v>100</v>
      </c>
      <c r="D285" t="s">
        <v>372</v>
      </c>
      <c r="E285" t="s">
        <v>42</v>
      </c>
      <c r="F285" t="s">
        <v>573</v>
      </c>
      <c r="G285" s="50" t="s">
        <v>574</v>
      </c>
      <c r="H285" s="50">
        <v>1</v>
      </c>
      <c r="I285" s="100">
        <v>9</v>
      </c>
      <c r="J285" s="52">
        <v>3834.68</v>
      </c>
      <c r="K285" s="67">
        <f t="shared" si="16"/>
        <v>1035329.08788</v>
      </c>
      <c r="L285" s="95">
        <f>+VLOOKUP(E285,MARGEN!A:B,2,FALSE)</f>
        <v>0.1</v>
      </c>
      <c r="M285" s="112">
        <f t="shared" si="17"/>
        <v>103532.908788</v>
      </c>
      <c r="N285" s="113">
        <f t="shared" si="18"/>
        <v>4141.3163515200004</v>
      </c>
      <c r="O285" s="113">
        <f t="shared" si="19"/>
        <v>927654.86274047999</v>
      </c>
    </row>
    <row r="286" spans="1:15" x14ac:dyDescent="0.25">
      <c r="A286" s="43">
        <v>44465</v>
      </c>
      <c r="B286" s="51">
        <v>29999</v>
      </c>
      <c r="C286" s="66" t="s">
        <v>100</v>
      </c>
      <c r="D286" s="66" t="s">
        <v>372</v>
      </c>
      <c r="E286" t="s">
        <v>42</v>
      </c>
      <c r="F286" s="50" t="s">
        <v>573</v>
      </c>
      <c r="G286" s="50" t="s">
        <v>574</v>
      </c>
      <c r="H286" s="50">
        <v>1</v>
      </c>
      <c r="I286" s="100">
        <v>9</v>
      </c>
      <c r="J286" s="52">
        <v>3834.68</v>
      </c>
      <c r="K286" s="67">
        <f t="shared" si="16"/>
        <v>1035329.08788</v>
      </c>
      <c r="L286" s="95">
        <f>+VLOOKUP(E286,MARGEN!A:B,2,FALSE)</f>
        <v>0.1</v>
      </c>
      <c r="M286" s="112">
        <f t="shared" si="17"/>
        <v>103532.908788</v>
      </c>
      <c r="N286" s="113">
        <f t="shared" si="18"/>
        <v>4141.3163515200004</v>
      </c>
      <c r="O286" s="113">
        <f t="shared" si="19"/>
        <v>927654.86274047999</v>
      </c>
    </row>
    <row r="287" spans="1:15" x14ac:dyDescent="0.25">
      <c r="A287" s="43">
        <v>44466</v>
      </c>
      <c r="B287" s="51">
        <v>29999</v>
      </c>
      <c r="C287" s="66" t="s">
        <v>100</v>
      </c>
      <c r="D287" s="66" t="s">
        <v>372</v>
      </c>
      <c r="E287" t="s">
        <v>42</v>
      </c>
      <c r="F287" s="50" t="s">
        <v>573</v>
      </c>
      <c r="G287" s="50" t="s">
        <v>574</v>
      </c>
      <c r="H287" s="50">
        <v>1</v>
      </c>
      <c r="I287" s="100">
        <v>9</v>
      </c>
      <c r="J287" s="52">
        <v>3834.68</v>
      </c>
      <c r="K287" s="67">
        <f t="shared" si="16"/>
        <v>1035329.08788</v>
      </c>
      <c r="L287" s="95">
        <f>+VLOOKUP(E287,MARGEN!A:B,2,FALSE)</f>
        <v>0.1</v>
      </c>
      <c r="M287" s="112">
        <f t="shared" si="17"/>
        <v>103532.908788</v>
      </c>
      <c r="N287" s="113">
        <f t="shared" si="18"/>
        <v>4141.3163515200004</v>
      </c>
      <c r="O287" s="113">
        <f t="shared" si="19"/>
        <v>927654.86274047999</v>
      </c>
    </row>
    <row r="288" spans="1:15" x14ac:dyDescent="0.25">
      <c r="A288" s="43">
        <v>44467</v>
      </c>
      <c r="B288" s="51">
        <v>29999</v>
      </c>
      <c r="C288" s="66" t="s">
        <v>100</v>
      </c>
      <c r="D288" s="66" t="s">
        <v>372</v>
      </c>
      <c r="E288" t="s">
        <v>42</v>
      </c>
      <c r="F288" s="50" t="s">
        <v>573</v>
      </c>
      <c r="G288" s="50" t="s">
        <v>574</v>
      </c>
      <c r="H288" s="50">
        <v>1</v>
      </c>
      <c r="I288" s="100">
        <v>9</v>
      </c>
      <c r="J288" s="52">
        <v>3834.68</v>
      </c>
      <c r="K288" s="67">
        <f t="shared" si="16"/>
        <v>1035329.08788</v>
      </c>
      <c r="L288" s="95">
        <f>+VLOOKUP(E288,MARGEN!A:B,2,FALSE)</f>
        <v>0.1</v>
      </c>
      <c r="M288" s="112">
        <f t="shared" si="17"/>
        <v>103532.908788</v>
      </c>
      <c r="N288" s="113">
        <f t="shared" si="18"/>
        <v>4141.3163515200004</v>
      </c>
      <c r="O288" s="113">
        <f t="shared" si="19"/>
        <v>927654.86274047999</v>
      </c>
    </row>
    <row r="289" spans="1:15" x14ac:dyDescent="0.25">
      <c r="A289" s="43">
        <v>44468</v>
      </c>
      <c r="B289" s="51">
        <v>29999</v>
      </c>
      <c r="C289" s="66" t="s">
        <v>100</v>
      </c>
      <c r="D289" s="66" t="s">
        <v>372</v>
      </c>
      <c r="E289" t="s">
        <v>42</v>
      </c>
      <c r="F289" s="50" t="s">
        <v>573</v>
      </c>
      <c r="G289" s="50" t="s">
        <v>574</v>
      </c>
      <c r="H289" s="50">
        <v>1</v>
      </c>
      <c r="I289" s="100">
        <v>9</v>
      </c>
      <c r="J289" s="52">
        <v>3834.68</v>
      </c>
      <c r="K289" s="67">
        <f t="shared" si="16"/>
        <v>1035329.08788</v>
      </c>
      <c r="L289" s="95">
        <f>+VLOOKUP(E289,MARGEN!A:B,2,FALSE)</f>
        <v>0.1</v>
      </c>
      <c r="M289" s="112">
        <f t="shared" si="17"/>
        <v>103532.908788</v>
      </c>
      <c r="N289" s="113">
        <f t="shared" si="18"/>
        <v>4141.3163515200004</v>
      </c>
      <c r="O289" s="113">
        <f t="shared" si="19"/>
        <v>927654.86274047999</v>
      </c>
    </row>
    <row r="290" spans="1:15" x14ac:dyDescent="0.25">
      <c r="A290" s="43">
        <v>44469</v>
      </c>
      <c r="B290" s="51">
        <v>29999</v>
      </c>
      <c r="C290" s="66" t="s">
        <v>100</v>
      </c>
      <c r="D290" s="66" t="s">
        <v>372</v>
      </c>
      <c r="E290" t="s">
        <v>42</v>
      </c>
      <c r="F290" s="50" t="s">
        <v>573</v>
      </c>
      <c r="G290" s="50" t="s">
        <v>574</v>
      </c>
      <c r="H290" s="50">
        <v>1</v>
      </c>
      <c r="I290" s="100">
        <v>9</v>
      </c>
      <c r="J290" s="52">
        <v>3834.68</v>
      </c>
      <c r="K290" s="67">
        <f t="shared" si="16"/>
        <v>1035329.08788</v>
      </c>
      <c r="L290" s="95">
        <f>+VLOOKUP(E290,MARGEN!A:B,2,FALSE)</f>
        <v>0.1</v>
      </c>
      <c r="M290" s="112">
        <f t="shared" si="17"/>
        <v>103532.908788</v>
      </c>
      <c r="N290" s="113">
        <f t="shared" si="18"/>
        <v>4141.3163515200004</v>
      </c>
      <c r="O290" s="113">
        <f t="shared" si="19"/>
        <v>927654.86274047999</v>
      </c>
    </row>
    <row r="291" spans="1:15" x14ac:dyDescent="0.25">
      <c r="A291" s="43">
        <v>44440</v>
      </c>
      <c r="B291" s="97">
        <v>23517</v>
      </c>
      <c r="C291" t="s">
        <v>160</v>
      </c>
      <c r="D291" s="94" t="s">
        <v>369</v>
      </c>
      <c r="E291" t="s">
        <v>161</v>
      </c>
      <c r="H291" s="50">
        <v>3</v>
      </c>
      <c r="I291" s="100">
        <v>6.1</v>
      </c>
      <c r="J291" s="52">
        <v>3834.68</v>
      </c>
      <c r="K291" s="67">
        <f t="shared" ref="K291:K297" si="20">+B291*I291*J291/1000</f>
        <v>550099.03431599983</v>
      </c>
      <c r="L291" s="95">
        <f>+VLOOKUP(E291,MARGEN!A:B,2,FALSE)</f>
        <v>0.1</v>
      </c>
      <c r="M291" s="112">
        <f t="shared" si="17"/>
        <v>55009.903431599989</v>
      </c>
      <c r="N291" s="113">
        <f t="shared" si="18"/>
        <v>2200.3961372639992</v>
      </c>
      <c r="O291" s="113">
        <f t="shared" si="19"/>
        <v>492888.7347471359</v>
      </c>
    </row>
    <row r="292" spans="1:15" x14ac:dyDescent="0.25">
      <c r="A292" s="43">
        <v>44441</v>
      </c>
      <c r="B292" s="97">
        <v>23420</v>
      </c>
      <c r="C292" t="s">
        <v>160</v>
      </c>
      <c r="D292" s="94" t="s">
        <v>369</v>
      </c>
      <c r="E292" t="s">
        <v>161</v>
      </c>
      <c r="H292" s="50">
        <v>3</v>
      </c>
      <c r="I292" s="100">
        <v>6.1</v>
      </c>
      <c r="J292" s="52">
        <v>3834.68</v>
      </c>
      <c r="K292" s="67">
        <f t="shared" si="20"/>
        <v>547830.05415999994</v>
      </c>
      <c r="L292" s="95">
        <f>+VLOOKUP(E292,MARGEN!A:B,2,FALSE)</f>
        <v>0.1</v>
      </c>
      <c r="M292" s="112">
        <f t="shared" si="17"/>
        <v>54783.005416</v>
      </c>
      <c r="N292" s="113">
        <f t="shared" si="18"/>
        <v>2191.3202166399997</v>
      </c>
      <c r="O292" s="113">
        <f t="shared" si="19"/>
        <v>490855.7285273599</v>
      </c>
    </row>
    <row r="293" spans="1:15" x14ac:dyDescent="0.25">
      <c r="A293" s="43">
        <v>44442</v>
      </c>
      <c r="B293" s="97">
        <v>23445</v>
      </c>
      <c r="C293" t="s">
        <v>160</v>
      </c>
      <c r="D293" s="94" t="s">
        <v>369</v>
      </c>
      <c r="E293" t="s">
        <v>161</v>
      </c>
      <c r="H293" s="50">
        <v>3</v>
      </c>
      <c r="I293" s="100">
        <v>6.1</v>
      </c>
      <c r="J293" s="52">
        <v>3834.68</v>
      </c>
      <c r="K293" s="67">
        <f t="shared" si="20"/>
        <v>548414.84285999998</v>
      </c>
      <c r="L293" s="95">
        <f>+VLOOKUP(E293,MARGEN!A:B,2,FALSE)</f>
        <v>0.1</v>
      </c>
      <c r="M293" s="112">
        <f t="shared" si="17"/>
        <v>54841.484285999999</v>
      </c>
      <c r="N293" s="113">
        <f t="shared" si="18"/>
        <v>2193.6593714400001</v>
      </c>
      <c r="O293" s="113">
        <f t="shared" si="19"/>
        <v>491379.69920255995</v>
      </c>
    </row>
    <row r="294" spans="1:15" x14ac:dyDescent="0.25">
      <c r="A294" s="43">
        <v>44443</v>
      </c>
      <c r="B294" s="97">
        <v>23209</v>
      </c>
      <c r="C294" t="s">
        <v>160</v>
      </c>
      <c r="D294" s="94" t="s">
        <v>369</v>
      </c>
      <c r="E294" t="s">
        <v>161</v>
      </c>
      <c r="H294" s="50">
        <v>3</v>
      </c>
      <c r="I294" s="100">
        <v>6.1</v>
      </c>
      <c r="J294" s="52">
        <v>3834.68</v>
      </c>
      <c r="K294" s="67">
        <f t="shared" si="20"/>
        <v>542894.43753199989</v>
      </c>
      <c r="L294" s="95">
        <f>+VLOOKUP(E294,MARGEN!A:B,2,FALSE)</f>
        <v>0.1</v>
      </c>
      <c r="M294" s="112">
        <f t="shared" si="17"/>
        <v>54289.443753199994</v>
      </c>
      <c r="N294" s="113">
        <f t="shared" si="18"/>
        <v>2171.5777501279995</v>
      </c>
      <c r="O294" s="113">
        <f t="shared" si="19"/>
        <v>486433.4160286719</v>
      </c>
    </row>
    <row r="295" spans="1:15" x14ac:dyDescent="0.25">
      <c r="A295" s="43">
        <v>44444</v>
      </c>
      <c r="B295" s="97">
        <v>23372</v>
      </c>
      <c r="C295" t="s">
        <v>160</v>
      </c>
      <c r="D295" s="94" t="s">
        <v>369</v>
      </c>
      <c r="E295" t="s">
        <v>161</v>
      </c>
      <c r="H295" s="50">
        <v>3</v>
      </c>
      <c r="I295" s="100">
        <v>6.1</v>
      </c>
      <c r="J295" s="52">
        <v>3834.68</v>
      </c>
      <c r="K295" s="67">
        <f t="shared" si="20"/>
        <v>546707.25985599996</v>
      </c>
      <c r="L295" s="95">
        <f>+VLOOKUP(E295,MARGEN!A:B,2,FALSE)</f>
        <v>0.1</v>
      </c>
      <c r="M295" s="112">
        <f t="shared" si="17"/>
        <v>54670.725985600002</v>
      </c>
      <c r="N295" s="113">
        <f t="shared" si="18"/>
        <v>2186.8290394239998</v>
      </c>
      <c r="O295" s="113">
        <f t="shared" si="19"/>
        <v>489849.70483097591</v>
      </c>
    </row>
    <row r="296" spans="1:15" x14ac:dyDescent="0.25">
      <c r="A296" s="43">
        <v>44445</v>
      </c>
      <c r="B296" s="97">
        <v>23252</v>
      </c>
      <c r="C296" t="s">
        <v>160</v>
      </c>
      <c r="D296" s="94" t="s">
        <v>369</v>
      </c>
      <c r="E296" t="s">
        <v>161</v>
      </c>
      <c r="H296" s="50">
        <v>3</v>
      </c>
      <c r="I296" s="100">
        <v>6.1</v>
      </c>
      <c r="J296" s="52">
        <v>3834.68</v>
      </c>
      <c r="K296" s="67">
        <f t="shared" si="20"/>
        <v>543900.27409600001</v>
      </c>
      <c r="L296" s="95">
        <f>+VLOOKUP(E296,MARGEN!A:B,2,FALSE)</f>
        <v>0.1</v>
      </c>
      <c r="M296" s="112">
        <f t="shared" si="17"/>
        <v>54390.027409600007</v>
      </c>
      <c r="N296" s="113">
        <f t="shared" si="18"/>
        <v>2175.6010963839999</v>
      </c>
      <c r="O296" s="113">
        <f t="shared" si="19"/>
        <v>487334.64559001604</v>
      </c>
    </row>
    <row r="297" spans="1:15" x14ac:dyDescent="0.25">
      <c r="A297" s="43">
        <v>44446</v>
      </c>
      <c r="B297" s="97">
        <v>23228</v>
      </c>
      <c r="C297" t="s">
        <v>160</v>
      </c>
      <c r="D297" s="94" t="s">
        <v>369</v>
      </c>
      <c r="E297" t="s">
        <v>161</v>
      </c>
      <c r="H297" s="50">
        <v>3</v>
      </c>
      <c r="I297" s="100">
        <v>6.1</v>
      </c>
      <c r="J297" s="52">
        <v>3834.68</v>
      </c>
      <c r="K297" s="67">
        <f t="shared" si="20"/>
        <v>543338.8769439999</v>
      </c>
      <c r="L297" s="95">
        <f>+VLOOKUP(E297,MARGEN!A:B,2,FALSE)</f>
        <v>0.1</v>
      </c>
      <c r="M297" s="112">
        <f t="shared" si="17"/>
        <v>54333.887694399993</v>
      </c>
      <c r="N297" s="113">
        <f t="shared" si="18"/>
        <v>2173.3555077759997</v>
      </c>
      <c r="O297" s="113">
        <f t="shared" si="19"/>
        <v>486831.6337418239</v>
      </c>
    </row>
    <row r="298" spans="1:15" x14ac:dyDescent="0.25">
      <c r="A298" s="13">
        <v>44447</v>
      </c>
      <c r="B298" s="97">
        <v>23209</v>
      </c>
      <c r="C298" t="s">
        <v>160</v>
      </c>
      <c r="D298" s="94" t="s">
        <v>369</v>
      </c>
      <c r="E298" t="s">
        <v>161</v>
      </c>
      <c r="F298" t="s">
        <v>572</v>
      </c>
      <c r="G298" s="50" t="s">
        <v>243</v>
      </c>
      <c r="H298" s="50">
        <v>2</v>
      </c>
      <c r="I298" s="100">
        <v>6.7391919697301583</v>
      </c>
      <c r="J298" s="52">
        <v>3834.68</v>
      </c>
      <c r="K298" s="67">
        <f t="shared" si="16"/>
        <v>599781.93997161079</v>
      </c>
      <c r="L298" s="95">
        <f>+VLOOKUP(E298,MARGEN!A:B,2,FALSE)</f>
        <v>0.1</v>
      </c>
      <c r="M298" s="112">
        <f t="shared" si="17"/>
        <v>59978.193997161085</v>
      </c>
      <c r="N298" s="113">
        <f t="shared" si="18"/>
        <v>2399.1277598864431</v>
      </c>
      <c r="O298" s="113">
        <f t="shared" si="19"/>
        <v>537404.61821456323</v>
      </c>
    </row>
    <row r="299" spans="1:15" x14ac:dyDescent="0.25">
      <c r="A299" s="13">
        <v>44448</v>
      </c>
      <c r="B299" s="97">
        <v>23372</v>
      </c>
      <c r="C299" t="s">
        <v>160</v>
      </c>
      <c r="D299" s="94" t="s">
        <v>369</v>
      </c>
      <c r="E299" t="s">
        <v>161</v>
      </c>
      <c r="F299" t="s">
        <v>566</v>
      </c>
      <c r="G299" s="50" t="s">
        <v>559</v>
      </c>
      <c r="H299" s="50">
        <v>2</v>
      </c>
      <c r="I299" s="100">
        <v>6.7391919697301583</v>
      </c>
      <c r="J299" s="52">
        <v>3834.68</v>
      </c>
      <c r="K299" s="67">
        <f t="shared" si="16"/>
        <v>603994.2910515957</v>
      </c>
      <c r="L299" s="95">
        <f>+VLOOKUP(E299,MARGEN!A:B,2,FALSE)</f>
        <v>0.1</v>
      </c>
      <c r="M299" s="112">
        <f t="shared" si="17"/>
        <v>60399.429105159572</v>
      </c>
      <c r="N299" s="113">
        <f t="shared" si="18"/>
        <v>2415.9771642063829</v>
      </c>
      <c r="O299" s="113">
        <f t="shared" si="19"/>
        <v>541178.88478222978</v>
      </c>
    </row>
    <row r="300" spans="1:15" x14ac:dyDescent="0.25">
      <c r="A300" s="13">
        <v>44449</v>
      </c>
      <c r="B300" s="97">
        <v>23252</v>
      </c>
      <c r="C300" t="s">
        <v>160</v>
      </c>
      <c r="D300" s="94" t="s">
        <v>369</v>
      </c>
      <c r="E300" t="s">
        <v>161</v>
      </c>
      <c r="F300" t="s">
        <v>566</v>
      </c>
      <c r="G300" s="50" t="s">
        <v>559</v>
      </c>
      <c r="H300" s="50">
        <v>2</v>
      </c>
      <c r="I300" s="100">
        <v>6.7391919697301583</v>
      </c>
      <c r="J300" s="52">
        <v>3834.68</v>
      </c>
      <c r="K300" s="67">
        <f t="shared" si="16"/>
        <v>600893.17369209754</v>
      </c>
      <c r="L300" s="95">
        <f>+VLOOKUP(E300,MARGEN!A:B,2,FALSE)</f>
        <v>0.1</v>
      </c>
      <c r="M300" s="112">
        <f t="shared" si="17"/>
        <v>60089.317369209755</v>
      </c>
      <c r="N300" s="113">
        <f t="shared" si="18"/>
        <v>2403.5726947683902</v>
      </c>
      <c r="O300" s="113">
        <f t="shared" si="19"/>
        <v>538400.28362811939</v>
      </c>
    </row>
    <row r="301" spans="1:15" x14ac:dyDescent="0.25">
      <c r="A301" s="13">
        <v>44450</v>
      </c>
      <c r="B301" s="97">
        <v>23228</v>
      </c>
      <c r="C301" t="s">
        <v>160</v>
      </c>
      <c r="D301" s="94" t="s">
        <v>369</v>
      </c>
      <c r="E301" t="s">
        <v>161</v>
      </c>
      <c r="F301" t="s">
        <v>566</v>
      </c>
      <c r="G301" s="50" t="s">
        <v>559</v>
      </c>
      <c r="H301" s="50">
        <v>2</v>
      </c>
      <c r="I301" s="100">
        <v>6.7391919697301583</v>
      </c>
      <c r="J301" s="52">
        <v>3834.68</v>
      </c>
      <c r="K301" s="67">
        <f t="shared" si="16"/>
        <v>600272.9502201979</v>
      </c>
      <c r="L301" s="95">
        <f>+VLOOKUP(E301,MARGEN!A:B,2,FALSE)</f>
        <v>0.1</v>
      </c>
      <c r="M301" s="112">
        <f t="shared" si="17"/>
        <v>60027.295022019796</v>
      </c>
      <c r="N301" s="113">
        <f t="shared" si="18"/>
        <v>2401.0918008807917</v>
      </c>
      <c r="O301" s="113">
        <f t="shared" si="19"/>
        <v>537844.5633972974</v>
      </c>
    </row>
    <row r="302" spans="1:15" x14ac:dyDescent="0.25">
      <c r="A302" s="13">
        <v>44451</v>
      </c>
      <c r="B302" s="97">
        <v>23514</v>
      </c>
      <c r="C302" t="s">
        <v>160</v>
      </c>
      <c r="D302" s="94" t="s">
        <v>369</v>
      </c>
      <c r="E302" t="s">
        <v>161</v>
      </c>
      <c r="F302" t="s">
        <v>562</v>
      </c>
      <c r="G302" s="50" t="s">
        <v>559</v>
      </c>
      <c r="H302" s="50">
        <v>2</v>
      </c>
      <c r="I302" s="100">
        <v>6.7391919697301583</v>
      </c>
      <c r="J302" s="52">
        <v>3834.68</v>
      </c>
      <c r="K302" s="67">
        <f t="shared" si="16"/>
        <v>607663.94659366854</v>
      </c>
      <c r="L302" s="95">
        <f>+VLOOKUP(E302,MARGEN!A:B,2,FALSE)</f>
        <v>0.1</v>
      </c>
      <c r="M302" s="112">
        <f t="shared" si="17"/>
        <v>60766.394659366859</v>
      </c>
      <c r="N302" s="113">
        <f t="shared" si="18"/>
        <v>2430.6557863746743</v>
      </c>
      <c r="O302" s="113">
        <f t="shared" si="19"/>
        <v>544466.89614792704</v>
      </c>
    </row>
    <row r="303" spans="1:15" x14ac:dyDescent="0.25">
      <c r="A303" s="13">
        <v>44452</v>
      </c>
      <c r="B303" s="97">
        <v>23421</v>
      </c>
      <c r="C303" t="s">
        <v>160</v>
      </c>
      <c r="D303" s="94" t="s">
        <v>369</v>
      </c>
      <c r="E303" t="s">
        <v>161</v>
      </c>
      <c r="F303" t="s">
        <v>558</v>
      </c>
      <c r="G303" s="50" t="s">
        <v>559</v>
      </c>
      <c r="H303" s="50">
        <v>2</v>
      </c>
      <c r="I303" s="100">
        <v>6.7391919697301583</v>
      </c>
      <c r="J303" s="52">
        <v>3834.68</v>
      </c>
      <c r="K303" s="67">
        <f t="shared" si="16"/>
        <v>605260.58064005745</v>
      </c>
      <c r="L303" s="95">
        <f>+VLOOKUP(E303,MARGEN!A:B,2,FALSE)</f>
        <v>0.1</v>
      </c>
      <c r="M303" s="112">
        <f t="shared" si="17"/>
        <v>60526.058064005745</v>
      </c>
      <c r="N303" s="113">
        <f t="shared" si="18"/>
        <v>2421.0423225602299</v>
      </c>
      <c r="O303" s="113">
        <f t="shared" si="19"/>
        <v>542313.48025349155</v>
      </c>
    </row>
    <row r="304" spans="1:15" x14ac:dyDescent="0.25">
      <c r="A304" s="13">
        <v>44453</v>
      </c>
      <c r="B304" s="97">
        <v>23445</v>
      </c>
      <c r="C304" t="s">
        <v>160</v>
      </c>
      <c r="D304" s="94" t="s">
        <v>369</v>
      </c>
      <c r="E304" t="s">
        <v>161</v>
      </c>
      <c r="F304" t="s">
        <v>558</v>
      </c>
      <c r="G304" s="50" t="s">
        <v>559</v>
      </c>
      <c r="H304" s="50">
        <v>2</v>
      </c>
      <c r="I304" s="100">
        <v>6.7391919697301583</v>
      </c>
      <c r="J304" s="52">
        <v>3834.68</v>
      </c>
      <c r="K304" s="67">
        <f t="shared" si="16"/>
        <v>605880.80411195708</v>
      </c>
      <c r="L304" s="95">
        <f>+VLOOKUP(E304,MARGEN!A:B,2,FALSE)</f>
        <v>0.1</v>
      </c>
      <c r="M304" s="112">
        <f t="shared" si="17"/>
        <v>60588.080411195711</v>
      </c>
      <c r="N304" s="113">
        <f t="shared" si="18"/>
        <v>2423.5232164478284</v>
      </c>
      <c r="O304" s="113">
        <f t="shared" si="19"/>
        <v>542869.20048431354</v>
      </c>
    </row>
    <row r="305" spans="1:15" x14ac:dyDescent="0.25">
      <c r="A305" s="13">
        <v>44454</v>
      </c>
      <c r="B305" s="97">
        <v>23229</v>
      </c>
      <c r="C305" t="s">
        <v>160</v>
      </c>
      <c r="D305" s="94" t="s">
        <v>369</v>
      </c>
      <c r="E305" t="s">
        <v>161</v>
      </c>
      <c r="F305" t="s">
        <v>558</v>
      </c>
      <c r="G305" s="50" t="s">
        <v>559</v>
      </c>
      <c r="H305" s="50">
        <v>2</v>
      </c>
      <c r="I305" s="100">
        <v>6.7391919697301583</v>
      </c>
      <c r="J305" s="52">
        <v>3834.68</v>
      </c>
      <c r="K305" s="67">
        <f t="shared" si="16"/>
        <v>600298.79286486038</v>
      </c>
      <c r="L305" s="95">
        <f>+VLOOKUP(E305,MARGEN!A:B,2,FALSE)</f>
        <v>0.1</v>
      </c>
      <c r="M305" s="112">
        <f t="shared" si="17"/>
        <v>60029.879286486044</v>
      </c>
      <c r="N305" s="113">
        <f t="shared" si="18"/>
        <v>2401.1951714594416</v>
      </c>
      <c r="O305" s="113">
        <f t="shared" si="19"/>
        <v>537867.71840691485</v>
      </c>
    </row>
    <row r="306" spans="1:15" x14ac:dyDescent="0.25">
      <c r="A306" s="13">
        <v>44455</v>
      </c>
      <c r="B306" s="97">
        <v>23373</v>
      </c>
      <c r="C306" t="s">
        <v>160</v>
      </c>
      <c r="D306" s="94" t="s">
        <v>369</v>
      </c>
      <c r="E306" t="s">
        <v>161</v>
      </c>
      <c r="F306" t="s">
        <v>558</v>
      </c>
      <c r="G306" s="50" t="s">
        <v>559</v>
      </c>
      <c r="H306" s="50">
        <v>2</v>
      </c>
      <c r="I306" s="100">
        <v>6.7391919697301583</v>
      </c>
      <c r="J306" s="52">
        <v>3834.68</v>
      </c>
      <c r="K306" s="67">
        <f t="shared" si="16"/>
        <v>604020.13369625818</v>
      </c>
      <c r="L306" s="95">
        <f>+VLOOKUP(E306,MARGEN!A:B,2,FALSE)</f>
        <v>0.1</v>
      </c>
      <c r="M306" s="112">
        <f t="shared" si="17"/>
        <v>60402.01336962582</v>
      </c>
      <c r="N306" s="113">
        <f t="shared" si="18"/>
        <v>2416.0805347850328</v>
      </c>
      <c r="O306" s="113">
        <f t="shared" si="19"/>
        <v>541202.03979184735</v>
      </c>
    </row>
    <row r="307" spans="1:15" x14ac:dyDescent="0.25">
      <c r="A307" s="13">
        <v>44456</v>
      </c>
      <c r="B307" s="97">
        <v>23419</v>
      </c>
      <c r="C307" t="s">
        <v>160</v>
      </c>
      <c r="D307" s="94" t="s">
        <v>369</v>
      </c>
      <c r="E307" t="s">
        <v>161</v>
      </c>
      <c r="F307" t="s">
        <v>551</v>
      </c>
      <c r="G307" s="50" t="s">
        <v>205</v>
      </c>
      <c r="H307" s="50">
        <v>2</v>
      </c>
      <c r="I307" s="100">
        <v>6.7391919697301583</v>
      </c>
      <c r="J307" s="52">
        <v>3834.68</v>
      </c>
      <c r="K307" s="67">
        <f t="shared" si="16"/>
        <v>605208.89535073261</v>
      </c>
      <c r="L307" s="95">
        <f>+VLOOKUP(E307,MARGEN!A:B,2,FALSE)</f>
        <v>0.1</v>
      </c>
      <c r="M307" s="112">
        <f t="shared" si="17"/>
        <v>60520.889535073264</v>
      </c>
      <c r="N307" s="113">
        <f t="shared" si="18"/>
        <v>2420.8355814029305</v>
      </c>
      <c r="O307" s="113">
        <f t="shared" si="19"/>
        <v>542267.17023425642</v>
      </c>
    </row>
    <row r="308" spans="1:15" x14ac:dyDescent="0.25">
      <c r="A308" s="13">
        <v>44457</v>
      </c>
      <c r="B308" s="97">
        <v>23443</v>
      </c>
      <c r="C308" t="s">
        <v>160</v>
      </c>
      <c r="D308" s="94" t="s">
        <v>369</v>
      </c>
      <c r="E308" t="s">
        <v>161</v>
      </c>
      <c r="F308" t="s">
        <v>551</v>
      </c>
      <c r="G308" s="50" t="s">
        <v>205</v>
      </c>
      <c r="H308" s="50">
        <v>2</v>
      </c>
      <c r="I308" s="100">
        <v>6.7391919697301583</v>
      </c>
      <c r="J308" s="52">
        <v>3834.68</v>
      </c>
      <c r="K308" s="67">
        <f t="shared" si="16"/>
        <v>605829.11882263224</v>
      </c>
      <c r="L308" s="95">
        <f>+VLOOKUP(E308,MARGEN!A:B,2,FALSE)</f>
        <v>0.1</v>
      </c>
      <c r="M308" s="112">
        <f t="shared" si="17"/>
        <v>60582.91188226323</v>
      </c>
      <c r="N308" s="113">
        <f t="shared" si="18"/>
        <v>2423.3164752905291</v>
      </c>
      <c r="O308" s="113">
        <f t="shared" si="19"/>
        <v>542822.89046507841</v>
      </c>
    </row>
    <row r="309" spans="1:15" x14ac:dyDescent="0.25">
      <c r="A309" s="13">
        <v>44461</v>
      </c>
      <c r="B309" s="97">
        <v>23229</v>
      </c>
      <c r="C309" t="s">
        <v>160</v>
      </c>
      <c r="D309" s="94" t="s">
        <v>369</v>
      </c>
      <c r="E309" t="s">
        <v>161</v>
      </c>
      <c r="F309" t="s">
        <v>558</v>
      </c>
      <c r="G309" s="50" t="s">
        <v>559</v>
      </c>
      <c r="H309" s="50">
        <v>2</v>
      </c>
      <c r="I309" s="100">
        <v>6.7391919697301583</v>
      </c>
      <c r="J309" s="52">
        <v>3834.68</v>
      </c>
      <c r="K309" s="67">
        <f t="shared" si="16"/>
        <v>600298.79286486038</v>
      </c>
      <c r="L309" s="95">
        <f>+VLOOKUP(E309,MARGEN!A:B,2,FALSE)</f>
        <v>0.1</v>
      </c>
      <c r="M309" s="112">
        <f t="shared" si="17"/>
        <v>60029.879286486044</v>
      </c>
      <c r="N309" s="113">
        <f t="shared" si="18"/>
        <v>2401.1951714594416</v>
      </c>
      <c r="O309" s="113">
        <f t="shared" si="19"/>
        <v>537867.71840691485</v>
      </c>
    </row>
    <row r="310" spans="1:15" x14ac:dyDescent="0.25">
      <c r="A310" s="13">
        <v>44462</v>
      </c>
      <c r="B310" s="97">
        <v>23373</v>
      </c>
      <c r="C310" t="s">
        <v>160</v>
      </c>
      <c r="D310" s="94" t="s">
        <v>369</v>
      </c>
      <c r="E310" t="s">
        <v>161</v>
      </c>
      <c r="F310" t="s">
        <v>558</v>
      </c>
      <c r="G310" s="50" t="s">
        <v>559</v>
      </c>
      <c r="H310" s="50">
        <v>2</v>
      </c>
      <c r="I310" s="100">
        <v>6.7391919697301583</v>
      </c>
      <c r="J310" s="52">
        <v>3834.68</v>
      </c>
      <c r="K310" s="67">
        <f t="shared" si="16"/>
        <v>604020.13369625818</v>
      </c>
      <c r="L310" s="95">
        <f>+VLOOKUP(E310,MARGEN!A:B,2,FALSE)</f>
        <v>0.1</v>
      </c>
      <c r="M310" s="112">
        <f t="shared" si="17"/>
        <v>60402.01336962582</v>
      </c>
      <c r="N310" s="113">
        <f t="shared" si="18"/>
        <v>2416.0805347850328</v>
      </c>
      <c r="O310" s="113">
        <f t="shared" si="19"/>
        <v>541202.03979184735</v>
      </c>
    </row>
    <row r="311" spans="1:15" x14ac:dyDescent="0.25">
      <c r="A311" s="13">
        <v>44463</v>
      </c>
      <c r="B311" s="97">
        <v>23517</v>
      </c>
      <c r="C311" t="s">
        <v>160</v>
      </c>
      <c r="D311" s="94" t="s">
        <v>369</v>
      </c>
      <c r="E311" t="s">
        <v>161</v>
      </c>
      <c r="F311" t="s">
        <v>558</v>
      </c>
      <c r="G311" s="50" t="s">
        <v>574</v>
      </c>
      <c r="H311" s="50">
        <v>2</v>
      </c>
      <c r="I311" s="100">
        <v>6.7391919697301583</v>
      </c>
      <c r="J311" s="52">
        <v>3834.68</v>
      </c>
      <c r="K311" s="67">
        <f t="shared" si="16"/>
        <v>607741.47452765598</v>
      </c>
      <c r="L311" s="95">
        <f>+VLOOKUP(E311,MARGEN!A:B,2,FALSE)</f>
        <v>0.1</v>
      </c>
      <c r="M311" s="112">
        <f t="shared" si="17"/>
        <v>60774.147452765603</v>
      </c>
      <c r="N311" s="113">
        <f t="shared" si="18"/>
        <v>2430.965898110624</v>
      </c>
      <c r="O311" s="113">
        <f t="shared" si="19"/>
        <v>544536.36117677973</v>
      </c>
    </row>
    <row r="312" spans="1:15" x14ac:dyDescent="0.25">
      <c r="A312" s="13">
        <v>44464</v>
      </c>
      <c r="B312" s="97">
        <v>23420</v>
      </c>
      <c r="C312" t="s">
        <v>160</v>
      </c>
      <c r="D312" t="s">
        <v>369</v>
      </c>
      <c r="E312" t="s">
        <v>161</v>
      </c>
      <c r="F312" t="s">
        <v>566</v>
      </c>
      <c r="G312" s="50" t="s">
        <v>574</v>
      </c>
      <c r="H312" s="50">
        <v>2</v>
      </c>
      <c r="I312" s="100">
        <v>6.7391919697301583</v>
      </c>
      <c r="J312" s="52">
        <v>3834.68</v>
      </c>
      <c r="K312" s="67">
        <f t="shared" si="16"/>
        <v>605234.73799539509</v>
      </c>
      <c r="L312" s="95">
        <f>+VLOOKUP(E312,MARGEN!A:B,2,FALSE)</f>
        <v>0.1</v>
      </c>
      <c r="M312" s="112">
        <f t="shared" si="17"/>
        <v>60523.473799539512</v>
      </c>
      <c r="N312" s="113">
        <f t="shared" si="18"/>
        <v>2420.9389519815804</v>
      </c>
      <c r="O312" s="113">
        <f t="shared" si="19"/>
        <v>542290.32524387399</v>
      </c>
    </row>
    <row r="313" spans="1:15" x14ac:dyDescent="0.25">
      <c r="A313" s="13">
        <v>44465</v>
      </c>
      <c r="B313" s="97">
        <v>23445</v>
      </c>
      <c r="C313" t="s">
        <v>160</v>
      </c>
      <c r="D313" t="s">
        <v>369</v>
      </c>
      <c r="E313" t="s">
        <v>161</v>
      </c>
      <c r="F313" t="s">
        <v>558</v>
      </c>
      <c r="G313" s="50" t="s">
        <v>574</v>
      </c>
      <c r="H313" s="50">
        <v>2</v>
      </c>
      <c r="I313" s="100">
        <v>6.7391919697301583</v>
      </c>
      <c r="J313" s="52">
        <v>3834.68</v>
      </c>
      <c r="K313" s="67">
        <f t="shared" si="16"/>
        <v>605880.80411195708</v>
      </c>
      <c r="L313" s="95">
        <f>+VLOOKUP(E313,MARGEN!A:B,2,FALSE)</f>
        <v>0.1</v>
      </c>
      <c r="M313" s="112">
        <f t="shared" si="17"/>
        <v>60588.080411195711</v>
      </c>
      <c r="N313" s="113">
        <f t="shared" si="18"/>
        <v>2423.5232164478284</v>
      </c>
      <c r="O313" s="113">
        <f t="shared" si="19"/>
        <v>542869.20048431354</v>
      </c>
    </row>
    <row r="314" spans="1:15" x14ac:dyDescent="0.25">
      <c r="A314" s="13">
        <v>44440</v>
      </c>
      <c r="B314" s="97">
        <v>4559</v>
      </c>
      <c r="C314" t="s">
        <v>225</v>
      </c>
      <c r="D314" s="94" t="s">
        <v>422</v>
      </c>
      <c r="E314" t="s">
        <v>230</v>
      </c>
      <c r="F314" t="s">
        <v>558</v>
      </c>
      <c r="G314" s="50" t="s">
        <v>559</v>
      </c>
      <c r="H314" s="50">
        <v>2</v>
      </c>
      <c r="I314" s="100">
        <v>6.7391919697301583</v>
      </c>
      <c r="J314" s="52">
        <v>3834.68</v>
      </c>
      <c r="K314" s="67">
        <f t="shared" si="16"/>
        <v>117816.61701626838</v>
      </c>
      <c r="L314" s="95">
        <f>+VLOOKUP(E314,MARGEN!A:B,2,FALSE)</f>
        <v>0.1</v>
      </c>
      <c r="M314" s="112">
        <f t="shared" si="17"/>
        <v>11781.661701626839</v>
      </c>
      <c r="N314" s="113">
        <f t="shared" si="18"/>
        <v>471.26646806507352</v>
      </c>
      <c r="O314" s="113">
        <f t="shared" si="19"/>
        <v>105563.68884657646</v>
      </c>
    </row>
    <row r="315" spans="1:15" x14ac:dyDescent="0.25">
      <c r="A315" s="13">
        <v>44441</v>
      </c>
      <c r="B315" s="97">
        <v>4559</v>
      </c>
      <c r="C315" t="s">
        <v>225</v>
      </c>
      <c r="D315" s="94" t="s">
        <v>422</v>
      </c>
      <c r="E315" t="s">
        <v>230</v>
      </c>
      <c r="F315" t="s">
        <v>558</v>
      </c>
      <c r="G315" s="50" t="s">
        <v>559</v>
      </c>
      <c r="H315" s="50">
        <v>2</v>
      </c>
      <c r="I315" s="100">
        <v>6.7391919697301583</v>
      </c>
      <c r="J315" s="52">
        <v>3834.68</v>
      </c>
      <c r="K315" s="67">
        <f t="shared" si="16"/>
        <v>117816.61701626838</v>
      </c>
      <c r="L315" s="95">
        <f>+VLOOKUP(E315,MARGEN!A:B,2,FALSE)</f>
        <v>0.1</v>
      </c>
      <c r="M315" s="112">
        <f t="shared" si="17"/>
        <v>11781.661701626839</v>
      </c>
      <c r="N315" s="113">
        <f t="shared" si="18"/>
        <v>471.26646806507352</v>
      </c>
      <c r="O315" s="113">
        <f t="shared" si="19"/>
        <v>105563.68884657646</v>
      </c>
    </row>
    <row r="316" spans="1:15" x14ac:dyDescent="0.25">
      <c r="A316" s="13">
        <v>44442</v>
      </c>
      <c r="B316" s="97">
        <v>4559</v>
      </c>
      <c r="C316" t="s">
        <v>225</v>
      </c>
      <c r="D316" s="94" t="s">
        <v>422</v>
      </c>
      <c r="E316" t="s">
        <v>230</v>
      </c>
      <c r="F316" t="s">
        <v>558</v>
      </c>
      <c r="G316" s="50" t="s">
        <v>559</v>
      </c>
      <c r="H316" s="50">
        <v>2</v>
      </c>
      <c r="I316" s="100">
        <v>6.7391919697301583</v>
      </c>
      <c r="J316" s="52">
        <v>3834.68</v>
      </c>
      <c r="K316" s="67">
        <f t="shared" si="16"/>
        <v>117816.61701626838</v>
      </c>
      <c r="L316" s="95">
        <f>+VLOOKUP(E316,MARGEN!A:B,2,FALSE)</f>
        <v>0.1</v>
      </c>
      <c r="M316" s="112">
        <f t="shared" si="17"/>
        <v>11781.661701626839</v>
      </c>
      <c r="N316" s="113">
        <f t="shared" si="18"/>
        <v>471.26646806507352</v>
      </c>
      <c r="O316" s="113">
        <f t="shared" si="19"/>
        <v>105563.68884657646</v>
      </c>
    </row>
    <row r="317" spans="1:15" x14ac:dyDescent="0.25">
      <c r="A317" s="13">
        <v>44447</v>
      </c>
      <c r="B317" s="97">
        <v>4559</v>
      </c>
      <c r="C317" t="s">
        <v>225</v>
      </c>
      <c r="D317" s="94" t="s">
        <v>422</v>
      </c>
      <c r="E317" t="s">
        <v>230</v>
      </c>
      <c r="F317" t="s">
        <v>566</v>
      </c>
      <c r="G317" s="50" t="s">
        <v>559</v>
      </c>
      <c r="H317" s="50">
        <v>2</v>
      </c>
      <c r="I317" s="100">
        <v>6.7391919697301583</v>
      </c>
      <c r="J317" s="52">
        <v>3834.68</v>
      </c>
      <c r="K317" s="67">
        <f t="shared" si="16"/>
        <v>117816.61701626838</v>
      </c>
      <c r="L317" s="95">
        <f>+VLOOKUP(E317,MARGEN!A:B,2,FALSE)</f>
        <v>0.1</v>
      </c>
      <c r="M317" s="112">
        <f t="shared" si="17"/>
        <v>11781.661701626839</v>
      </c>
      <c r="N317" s="113">
        <f t="shared" si="18"/>
        <v>471.26646806507352</v>
      </c>
      <c r="O317" s="113">
        <f t="shared" si="19"/>
        <v>105563.68884657646</v>
      </c>
    </row>
    <row r="318" spans="1:15" x14ac:dyDescent="0.25">
      <c r="A318" s="13">
        <v>44448</v>
      </c>
      <c r="B318" s="51">
        <v>4559</v>
      </c>
      <c r="C318" s="66" t="s">
        <v>225</v>
      </c>
      <c r="D318" s="66" t="s">
        <v>422</v>
      </c>
      <c r="E318" t="s">
        <v>230</v>
      </c>
      <c r="F318" s="50" t="s">
        <v>566</v>
      </c>
      <c r="G318" s="50" t="s">
        <v>559</v>
      </c>
      <c r="H318" s="50">
        <v>2</v>
      </c>
      <c r="I318" s="100">
        <v>6.7391919697301583</v>
      </c>
      <c r="J318" s="52">
        <v>3834.68</v>
      </c>
      <c r="K318" s="67">
        <f t="shared" si="16"/>
        <v>117816.61701626838</v>
      </c>
      <c r="L318" s="95">
        <f>+VLOOKUP(E318,MARGEN!A:B,2,FALSE)</f>
        <v>0.1</v>
      </c>
      <c r="M318" s="112">
        <f t="shared" si="17"/>
        <v>11781.661701626839</v>
      </c>
      <c r="N318" s="113">
        <f t="shared" si="18"/>
        <v>471.26646806507352</v>
      </c>
      <c r="O318" s="113">
        <f t="shared" si="19"/>
        <v>105563.68884657646</v>
      </c>
    </row>
    <row r="319" spans="1:15" x14ac:dyDescent="0.25">
      <c r="A319" s="13">
        <v>44449</v>
      </c>
      <c r="B319" s="97">
        <v>4559</v>
      </c>
      <c r="C319" t="s">
        <v>225</v>
      </c>
      <c r="D319" s="94" t="s">
        <v>422</v>
      </c>
      <c r="E319" t="s">
        <v>230</v>
      </c>
      <c r="F319" t="s">
        <v>566</v>
      </c>
      <c r="G319" s="50" t="s">
        <v>559</v>
      </c>
      <c r="H319" s="50">
        <v>2</v>
      </c>
      <c r="I319" s="100">
        <v>6.7391919697301583</v>
      </c>
      <c r="J319" s="52">
        <v>3834.68</v>
      </c>
      <c r="K319" s="67">
        <f t="shared" si="16"/>
        <v>117816.61701626838</v>
      </c>
      <c r="L319" s="95">
        <f>+VLOOKUP(E319,MARGEN!A:B,2,FALSE)</f>
        <v>0.1</v>
      </c>
      <c r="M319" s="112">
        <f t="shared" si="17"/>
        <v>11781.661701626839</v>
      </c>
      <c r="N319" s="113">
        <f t="shared" si="18"/>
        <v>471.26646806507352</v>
      </c>
      <c r="O319" s="113">
        <f t="shared" si="19"/>
        <v>105563.68884657646</v>
      </c>
    </row>
    <row r="320" spans="1:15" x14ac:dyDescent="0.25">
      <c r="A320" s="13">
        <v>44450</v>
      </c>
      <c r="B320" s="97">
        <v>4559</v>
      </c>
      <c r="C320" t="s">
        <v>225</v>
      </c>
      <c r="D320" s="94" t="s">
        <v>422</v>
      </c>
      <c r="E320" t="s">
        <v>230</v>
      </c>
      <c r="F320" t="s">
        <v>566</v>
      </c>
      <c r="G320" s="50" t="s">
        <v>559</v>
      </c>
      <c r="H320" s="50">
        <v>2</v>
      </c>
      <c r="I320" s="100">
        <v>6.7391919697301583</v>
      </c>
      <c r="J320" s="52">
        <v>3834.68</v>
      </c>
      <c r="K320" s="67">
        <f t="shared" si="16"/>
        <v>117816.61701626838</v>
      </c>
      <c r="L320" s="95">
        <f>+VLOOKUP(E320,MARGEN!A:B,2,FALSE)</f>
        <v>0.1</v>
      </c>
      <c r="M320" s="112">
        <f t="shared" si="17"/>
        <v>11781.661701626839</v>
      </c>
      <c r="N320" s="113">
        <f t="shared" si="18"/>
        <v>471.26646806507352</v>
      </c>
      <c r="O320" s="113">
        <f t="shared" si="19"/>
        <v>105563.68884657646</v>
      </c>
    </row>
    <row r="321" spans="1:15" x14ac:dyDescent="0.25">
      <c r="A321" s="13">
        <v>44451</v>
      </c>
      <c r="B321" s="97">
        <v>4559</v>
      </c>
      <c r="C321" t="s">
        <v>225</v>
      </c>
      <c r="D321" s="94" t="s">
        <v>422</v>
      </c>
      <c r="E321" t="s">
        <v>230</v>
      </c>
      <c r="F321" t="s">
        <v>558</v>
      </c>
      <c r="G321" s="50" t="s">
        <v>559</v>
      </c>
      <c r="H321" s="50">
        <v>2</v>
      </c>
      <c r="I321" s="100">
        <v>6.7391919697301583</v>
      </c>
      <c r="J321" s="52">
        <v>3834.68</v>
      </c>
      <c r="K321" s="67">
        <f t="shared" si="16"/>
        <v>117816.61701626838</v>
      </c>
      <c r="L321" s="95">
        <f>+VLOOKUP(E321,MARGEN!A:B,2,FALSE)</f>
        <v>0.1</v>
      </c>
      <c r="M321" s="112">
        <f t="shared" si="17"/>
        <v>11781.661701626839</v>
      </c>
      <c r="N321" s="113">
        <f t="shared" si="18"/>
        <v>471.26646806507352</v>
      </c>
      <c r="O321" s="113">
        <f t="shared" si="19"/>
        <v>105563.68884657646</v>
      </c>
    </row>
    <row r="322" spans="1:15" x14ac:dyDescent="0.25">
      <c r="A322" s="13">
        <v>44452</v>
      </c>
      <c r="B322" s="97">
        <v>4559</v>
      </c>
      <c r="C322" t="s">
        <v>225</v>
      </c>
      <c r="D322" s="94" t="s">
        <v>422</v>
      </c>
      <c r="E322" t="s">
        <v>230</v>
      </c>
      <c r="F322" t="s">
        <v>558</v>
      </c>
      <c r="G322" s="50" t="s">
        <v>559</v>
      </c>
      <c r="H322" s="50">
        <v>2</v>
      </c>
      <c r="I322" s="100">
        <v>6.7391919697301583</v>
      </c>
      <c r="J322" s="52">
        <v>3834.68</v>
      </c>
      <c r="K322" s="67">
        <f t="shared" si="16"/>
        <v>117816.61701626838</v>
      </c>
      <c r="L322" s="95">
        <f>+VLOOKUP(E322,MARGEN!A:B,2,FALSE)</f>
        <v>0.1</v>
      </c>
      <c r="M322" s="112">
        <f t="shared" si="17"/>
        <v>11781.661701626839</v>
      </c>
      <c r="N322" s="113">
        <f t="shared" si="18"/>
        <v>471.26646806507352</v>
      </c>
      <c r="O322" s="113">
        <f t="shared" si="19"/>
        <v>105563.68884657646</v>
      </c>
    </row>
    <row r="323" spans="1:15" x14ac:dyDescent="0.25">
      <c r="A323" s="13">
        <v>44453</v>
      </c>
      <c r="B323" s="97">
        <v>4559</v>
      </c>
      <c r="C323" s="88" t="s">
        <v>225</v>
      </c>
      <c r="D323" t="s">
        <v>422</v>
      </c>
      <c r="E323" t="s">
        <v>230</v>
      </c>
      <c r="F323" t="s">
        <v>566</v>
      </c>
      <c r="G323" s="50" t="s">
        <v>559</v>
      </c>
      <c r="H323" s="50">
        <v>2</v>
      </c>
      <c r="I323" s="100">
        <v>6.7391919697301583</v>
      </c>
      <c r="J323" s="52">
        <v>3834.68</v>
      </c>
      <c r="K323" s="67">
        <f t="shared" si="16"/>
        <v>117816.61701626838</v>
      </c>
      <c r="L323" s="95">
        <f>+VLOOKUP(E323,MARGEN!A:B,2,FALSE)</f>
        <v>0.1</v>
      </c>
      <c r="M323" s="112">
        <f t="shared" ref="M323:M386" si="21">+K323*L323</f>
        <v>11781.661701626839</v>
      </c>
      <c r="N323" s="113">
        <f t="shared" ref="N323:N386" si="22">+K323*4/1000</f>
        <v>471.26646806507352</v>
      </c>
      <c r="O323" s="113">
        <f t="shared" ref="O323:O386" si="23">+K323-M323-N323</f>
        <v>105563.68884657646</v>
      </c>
    </row>
    <row r="324" spans="1:15" x14ac:dyDescent="0.25">
      <c r="A324" s="13">
        <v>44454</v>
      </c>
      <c r="B324" s="97">
        <v>4559</v>
      </c>
      <c r="C324" t="s">
        <v>225</v>
      </c>
      <c r="D324" s="94" t="s">
        <v>422</v>
      </c>
      <c r="E324" t="s">
        <v>230</v>
      </c>
      <c r="F324" t="s">
        <v>551</v>
      </c>
      <c r="G324" s="50" t="s">
        <v>205</v>
      </c>
      <c r="H324" s="50">
        <v>2</v>
      </c>
      <c r="I324" s="100">
        <v>6.7391919697301583</v>
      </c>
      <c r="J324" s="52">
        <v>3834.68</v>
      </c>
      <c r="K324" s="67">
        <f t="shared" si="16"/>
        <v>117816.61701626838</v>
      </c>
      <c r="L324" s="95">
        <f>+VLOOKUP(E324,MARGEN!A:B,2,FALSE)</f>
        <v>0.1</v>
      </c>
      <c r="M324" s="112">
        <f t="shared" si="21"/>
        <v>11781.661701626839</v>
      </c>
      <c r="N324" s="113">
        <f t="shared" si="22"/>
        <v>471.26646806507352</v>
      </c>
      <c r="O324" s="113">
        <f t="shared" si="23"/>
        <v>105563.68884657646</v>
      </c>
    </row>
    <row r="325" spans="1:15" x14ac:dyDescent="0.25">
      <c r="A325" s="13">
        <v>44455</v>
      </c>
      <c r="B325" s="97">
        <v>4559</v>
      </c>
      <c r="C325" t="s">
        <v>225</v>
      </c>
      <c r="D325" s="94" t="s">
        <v>422</v>
      </c>
      <c r="E325" t="s">
        <v>230</v>
      </c>
      <c r="F325" t="s">
        <v>566</v>
      </c>
      <c r="G325" s="50" t="s">
        <v>559</v>
      </c>
      <c r="H325" s="50">
        <v>2</v>
      </c>
      <c r="I325" s="100">
        <v>6.7391919697301583</v>
      </c>
      <c r="J325" s="52">
        <v>3834.68</v>
      </c>
      <c r="K325" s="67">
        <f t="shared" si="16"/>
        <v>117816.61701626838</v>
      </c>
      <c r="L325" s="95">
        <f>+VLOOKUP(E325,MARGEN!A:B,2,FALSE)</f>
        <v>0.1</v>
      </c>
      <c r="M325" s="112">
        <f t="shared" si="21"/>
        <v>11781.661701626839</v>
      </c>
      <c r="N325" s="113">
        <f t="shared" si="22"/>
        <v>471.26646806507352</v>
      </c>
      <c r="O325" s="113">
        <f t="shared" si="23"/>
        <v>105563.68884657646</v>
      </c>
    </row>
    <row r="326" spans="1:15" x14ac:dyDescent="0.25">
      <c r="A326" s="13">
        <v>44456</v>
      </c>
      <c r="B326" s="97">
        <v>4559</v>
      </c>
      <c r="C326" t="s">
        <v>225</v>
      </c>
      <c r="D326" s="94" t="s">
        <v>422</v>
      </c>
      <c r="E326" t="s">
        <v>230</v>
      </c>
      <c r="F326" t="s">
        <v>566</v>
      </c>
      <c r="G326" s="50" t="s">
        <v>559</v>
      </c>
      <c r="H326" s="50">
        <v>2</v>
      </c>
      <c r="I326" s="100">
        <v>6.7391919697301583</v>
      </c>
      <c r="J326" s="52">
        <v>3834.68</v>
      </c>
      <c r="K326" s="67">
        <f t="shared" si="16"/>
        <v>117816.61701626838</v>
      </c>
      <c r="L326" s="95">
        <f>+VLOOKUP(E326,MARGEN!A:B,2,FALSE)</f>
        <v>0.1</v>
      </c>
      <c r="M326" s="112">
        <f t="shared" si="21"/>
        <v>11781.661701626839</v>
      </c>
      <c r="N326" s="113">
        <f t="shared" si="22"/>
        <v>471.26646806507352</v>
      </c>
      <c r="O326" s="113">
        <f t="shared" si="23"/>
        <v>105563.68884657646</v>
      </c>
    </row>
    <row r="327" spans="1:15" x14ac:dyDescent="0.25">
      <c r="A327" s="13">
        <v>44457</v>
      </c>
      <c r="B327" s="97">
        <v>4559</v>
      </c>
      <c r="C327" t="s">
        <v>225</v>
      </c>
      <c r="D327" s="94" t="s">
        <v>422</v>
      </c>
      <c r="E327" t="s">
        <v>230</v>
      </c>
      <c r="F327" t="s">
        <v>566</v>
      </c>
      <c r="G327" s="50" t="s">
        <v>559</v>
      </c>
      <c r="H327" s="50">
        <v>2</v>
      </c>
      <c r="I327" s="100">
        <v>6.7391919697301583</v>
      </c>
      <c r="J327" s="52">
        <v>3834.68</v>
      </c>
      <c r="K327" s="67">
        <f t="shared" si="16"/>
        <v>117816.61701626838</v>
      </c>
      <c r="L327" s="95">
        <f>+VLOOKUP(E327,MARGEN!A:B,2,FALSE)</f>
        <v>0.1</v>
      </c>
      <c r="M327" s="112">
        <f t="shared" si="21"/>
        <v>11781.661701626839</v>
      </c>
      <c r="N327" s="113">
        <f t="shared" si="22"/>
        <v>471.26646806507352</v>
      </c>
      <c r="O327" s="113">
        <f t="shared" si="23"/>
        <v>105563.68884657646</v>
      </c>
    </row>
    <row r="328" spans="1:15" x14ac:dyDescent="0.25">
      <c r="A328" s="13">
        <v>44461</v>
      </c>
      <c r="B328" s="97">
        <v>4558</v>
      </c>
      <c r="C328" t="s">
        <v>225</v>
      </c>
      <c r="D328" t="s">
        <v>422</v>
      </c>
      <c r="E328" t="s">
        <v>230</v>
      </c>
      <c r="F328" t="s">
        <v>562</v>
      </c>
      <c r="G328" s="50" t="s">
        <v>574</v>
      </c>
      <c r="H328" s="50">
        <v>2</v>
      </c>
      <c r="I328" s="100">
        <v>6.7391919697301583</v>
      </c>
      <c r="J328" s="52">
        <v>3834.68</v>
      </c>
      <c r="K328" s="67">
        <f t="shared" si="16"/>
        <v>117790.7743716059</v>
      </c>
      <c r="L328" s="95">
        <f>+VLOOKUP(E328,MARGEN!A:B,2,FALSE)</f>
        <v>0.1</v>
      </c>
      <c r="M328" s="112">
        <f t="shared" si="21"/>
        <v>11779.077437160591</v>
      </c>
      <c r="N328" s="113">
        <f t="shared" si="22"/>
        <v>471.16309748642362</v>
      </c>
      <c r="O328" s="113">
        <f t="shared" si="23"/>
        <v>105540.53383695889</v>
      </c>
    </row>
    <row r="329" spans="1:15" x14ac:dyDescent="0.25">
      <c r="A329" s="13">
        <v>44462</v>
      </c>
      <c r="B329" s="97">
        <v>4559</v>
      </c>
      <c r="C329" t="s">
        <v>225</v>
      </c>
      <c r="D329" t="s">
        <v>422</v>
      </c>
      <c r="E329" t="s">
        <v>230</v>
      </c>
      <c r="F329" t="s">
        <v>558</v>
      </c>
      <c r="G329" s="50" t="s">
        <v>574</v>
      </c>
      <c r="H329" s="50">
        <v>2</v>
      </c>
      <c r="I329" s="100">
        <v>6.7391919697301583</v>
      </c>
      <c r="J329" s="52">
        <v>3834.68</v>
      </c>
      <c r="K329" s="67">
        <f t="shared" ref="K329:K392" si="24">+B329*I329*J329/1000</f>
        <v>117816.61701626838</v>
      </c>
      <c r="L329" s="95">
        <f>+VLOOKUP(E329,MARGEN!A:B,2,FALSE)</f>
        <v>0.1</v>
      </c>
      <c r="M329" s="112">
        <f t="shared" si="21"/>
        <v>11781.661701626839</v>
      </c>
      <c r="N329" s="113">
        <f t="shared" si="22"/>
        <v>471.26646806507352</v>
      </c>
      <c r="O329" s="113">
        <f t="shared" si="23"/>
        <v>105563.68884657646</v>
      </c>
    </row>
    <row r="330" spans="1:15" x14ac:dyDescent="0.25">
      <c r="A330" s="13">
        <v>44463</v>
      </c>
      <c r="B330" s="97">
        <v>4559</v>
      </c>
      <c r="C330" t="s">
        <v>225</v>
      </c>
      <c r="D330" t="s">
        <v>422</v>
      </c>
      <c r="E330" t="s">
        <v>230</v>
      </c>
      <c r="F330" t="s">
        <v>558</v>
      </c>
      <c r="G330" s="50" t="s">
        <v>574</v>
      </c>
      <c r="H330" s="50">
        <v>2</v>
      </c>
      <c r="I330" s="100">
        <v>6.7391919697301583</v>
      </c>
      <c r="J330" s="52">
        <v>3834.68</v>
      </c>
      <c r="K330" s="67">
        <f t="shared" si="24"/>
        <v>117816.61701626838</v>
      </c>
      <c r="L330" s="95">
        <f>+VLOOKUP(E330,MARGEN!A:B,2,FALSE)</f>
        <v>0.1</v>
      </c>
      <c r="M330" s="112">
        <f t="shared" si="21"/>
        <v>11781.661701626839</v>
      </c>
      <c r="N330" s="113">
        <f t="shared" si="22"/>
        <v>471.26646806507352</v>
      </c>
      <c r="O330" s="113">
        <f t="shared" si="23"/>
        <v>105563.68884657646</v>
      </c>
    </row>
    <row r="331" spans="1:15" x14ac:dyDescent="0.25">
      <c r="A331" s="13">
        <v>44464</v>
      </c>
      <c r="B331" s="97">
        <v>4559</v>
      </c>
      <c r="C331" t="s">
        <v>225</v>
      </c>
      <c r="D331" t="s">
        <v>422</v>
      </c>
      <c r="E331" t="s">
        <v>230</v>
      </c>
      <c r="F331" t="s">
        <v>558</v>
      </c>
      <c r="G331" s="50" t="s">
        <v>574</v>
      </c>
      <c r="H331" s="50">
        <v>2</v>
      </c>
      <c r="I331" s="100">
        <v>6.7391919697301583</v>
      </c>
      <c r="J331" s="52">
        <v>3834.68</v>
      </c>
      <c r="K331" s="67">
        <f t="shared" si="24"/>
        <v>117816.61701626838</v>
      </c>
      <c r="L331" s="95">
        <f>+VLOOKUP(E331,MARGEN!A:B,2,FALSE)</f>
        <v>0.1</v>
      </c>
      <c r="M331" s="112">
        <f t="shared" si="21"/>
        <v>11781.661701626839</v>
      </c>
      <c r="N331" s="113">
        <f t="shared" si="22"/>
        <v>471.26646806507352</v>
      </c>
      <c r="O331" s="113">
        <f t="shared" si="23"/>
        <v>105563.68884657646</v>
      </c>
    </row>
    <row r="332" spans="1:15" x14ac:dyDescent="0.25">
      <c r="A332" s="13">
        <v>44465</v>
      </c>
      <c r="B332" s="97">
        <v>4558</v>
      </c>
      <c r="C332" t="s">
        <v>225</v>
      </c>
      <c r="D332" t="s">
        <v>422</v>
      </c>
      <c r="E332" t="s">
        <v>230</v>
      </c>
      <c r="F332" t="s">
        <v>562</v>
      </c>
      <c r="G332" s="50" t="s">
        <v>574</v>
      </c>
      <c r="H332" s="50">
        <v>2</v>
      </c>
      <c r="I332" s="100">
        <v>6.7391919697301583</v>
      </c>
      <c r="J332" s="52">
        <v>3834.68</v>
      </c>
      <c r="K332" s="67">
        <f t="shared" si="24"/>
        <v>117790.7743716059</v>
      </c>
      <c r="L332" s="95">
        <f>+VLOOKUP(E332,MARGEN!A:B,2,FALSE)</f>
        <v>0.1</v>
      </c>
      <c r="M332" s="112">
        <f t="shared" si="21"/>
        <v>11779.077437160591</v>
      </c>
      <c r="N332" s="113">
        <f t="shared" si="22"/>
        <v>471.16309748642362</v>
      </c>
      <c r="O332" s="113">
        <f t="shared" si="23"/>
        <v>105540.53383695889</v>
      </c>
    </row>
    <row r="333" spans="1:15" x14ac:dyDescent="0.25">
      <c r="A333" s="13">
        <v>44466</v>
      </c>
      <c r="B333" s="97">
        <v>4559</v>
      </c>
      <c r="C333" t="s">
        <v>225</v>
      </c>
      <c r="D333" s="94" t="s">
        <v>422</v>
      </c>
      <c r="E333" t="s">
        <v>230</v>
      </c>
      <c r="F333" t="s">
        <v>573</v>
      </c>
      <c r="G333" s="50" t="s">
        <v>574</v>
      </c>
      <c r="H333" s="50">
        <v>2</v>
      </c>
      <c r="I333" s="100">
        <v>6.7391919697301583</v>
      </c>
      <c r="J333" s="52">
        <v>3834.68</v>
      </c>
      <c r="K333" s="67">
        <f t="shared" si="24"/>
        <v>117816.61701626838</v>
      </c>
      <c r="L333" s="95">
        <f>+VLOOKUP(E333,MARGEN!A:B,2,FALSE)</f>
        <v>0.1</v>
      </c>
      <c r="M333" s="112">
        <f t="shared" si="21"/>
        <v>11781.661701626839</v>
      </c>
      <c r="N333" s="113">
        <f t="shared" si="22"/>
        <v>471.26646806507352</v>
      </c>
      <c r="O333" s="113">
        <f t="shared" si="23"/>
        <v>105563.68884657646</v>
      </c>
    </row>
    <row r="334" spans="1:15" x14ac:dyDescent="0.25">
      <c r="A334" s="13">
        <v>44461</v>
      </c>
      <c r="B334" s="97">
        <v>40934</v>
      </c>
      <c r="C334" s="88" t="s">
        <v>96</v>
      </c>
      <c r="D334" t="s">
        <v>460</v>
      </c>
      <c r="E334" t="s">
        <v>70</v>
      </c>
      <c r="F334" t="s">
        <v>562</v>
      </c>
      <c r="G334" s="50" t="s">
        <v>574</v>
      </c>
      <c r="H334" s="50">
        <v>2</v>
      </c>
      <c r="I334" s="100">
        <v>6.7391919697301583</v>
      </c>
      <c r="J334" s="52">
        <v>3834.68</v>
      </c>
      <c r="K334" s="67">
        <f t="shared" si="24"/>
        <v>1057842.8166141545</v>
      </c>
      <c r="L334" s="95">
        <f>+VLOOKUP(E334,MARGEN!A:B,2,FALSE)</f>
        <v>0.1</v>
      </c>
      <c r="M334" s="112">
        <f t="shared" si="21"/>
        <v>105784.28166141546</v>
      </c>
      <c r="N334" s="113">
        <f t="shared" si="22"/>
        <v>4231.3712664566183</v>
      </c>
      <c r="O334" s="113">
        <f t="shared" si="23"/>
        <v>947827.16368628235</v>
      </c>
    </row>
    <row r="335" spans="1:15" x14ac:dyDescent="0.25">
      <c r="A335" s="13">
        <v>44452</v>
      </c>
      <c r="B335" s="97">
        <v>19028</v>
      </c>
      <c r="C335" t="s">
        <v>213</v>
      </c>
      <c r="D335" s="94" t="s">
        <v>475</v>
      </c>
      <c r="E335" t="s">
        <v>54</v>
      </c>
      <c r="F335" t="s">
        <v>551</v>
      </c>
      <c r="G335" s="50" t="s">
        <v>205</v>
      </c>
      <c r="H335" s="50">
        <v>2</v>
      </c>
      <c r="I335" s="100">
        <v>6.7391919697301583</v>
      </c>
      <c r="J335" s="52">
        <v>3834.68</v>
      </c>
      <c r="K335" s="67">
        <f t="shared" si="24"/>
        <v>491733.84263776161</v>
      </c>
      <c r="L335" s="95">
        <f>+VLOOKUP(E335,MARGEN!A:B,2,FALSE)</f>
        <v>0.1</v>
      </c>
      <c r="M335" s="112">
        <f t="shared" si="21"/>
        <v>49173.384263776163</v>
      </c>
      <c r="N335" s="113">
        <f t="shared" si="22"/>
        <v>1966.9353705510464</v>
      </c>
      <c r="O335" s="113">
        <f t="shared" si="23"/>
        <v>440593.52300343435</v>
      </c>
    </row>
    <row r="336" spans="1:15" x14ac:dyDescent="0.25">
      <c r="A336" s="13">
        <v>44453</v>
      </c>
      <c r="B336" s="51">
        <v>19100</v>
      </c>
      <c r="C336" s="66" t="s">
        <v>213</v>
      </c>
      <c r="D336" s="66" t="s">
        <v>475</v>
      </c>
      <c r="E336" t="s">
        <v>54</v>
      </c>
      <c r="F336" s="50" t="s">
        <v>551</v>
      </c>
      <c r="G336" s="50" t="s">
        <v>205</v>
      </c>
      <c r="H336" s="50">
        <v>2</v>
      </c>
      <c r="I336" s="100">
        <v>6.7391919697301583</v>
      </c>
      <c r="J336" s="52">
        <v>3834.68</v>
      </c>
      <c r="K336" s="67">
        <f t="shared" si="24"/>
        <v>493594.51305346045</v>
      </c>
      <c r="L336" s="95">
        <f>+VLOOKUP(E336,MARGEN!A:B,2,FALSE)</f>
        <v>0.1</v>
      </c>
      <c r="M336" s="112">
        <f t="shared" si="21"/>
        <v>49359.451305346047</v>
      </c>
      <c r="N336" s="113">
        <f t="shared" si="22"/>
        <v>1974.3780522138418</v>
      </c>
      <c r="O336" s="113">
        <f t="shared" si="23"/>
        <v>442260.68369590054</v>
      </c>
    </row>
    <row r="337" spans="1:15" x14ac:dyDescent="0.25">
      <c r="A337" s="13">
        <v>44454</v>
      </c>
      <c r="B337" s="97">
        <v>19100</v>
      </c>
      <c r="C337" t="s">
        <v>213</v>
      </c>
      <c r="D337" s="94" t="s">
        <v>475</v>
      </c>
      <c r="E337" t="s">
        <v>54</v>
      </c>
      <c r="F337" t="s">
        <v>551</v>
      </c>
      <c r="G337" s="50" t="s">
        <v>205</v>
      </c>
      <c r="H337" s="50">
        <v>2</v>
      </c>
      <c r="I337" s="100">
        <v>6.7391919697301583</v>
      </c>
      <c r="J337" s="52">
        <v>3834.68</v>
      </c>
      <c r="K337" s="67">
        <f t="shared" si="24"/>
        <v>493594.51305346045</v>
      </c>
      <c r="L337" s="95">
        <f>+VLOOKUP(E337,MARGEN!A:B,2,FALSE)</f>
        <v>0.1</v>
      </c>
      <c r="M337" s="112">
        <f t="shared" si="21"/>
        <v>49359.451305346047</v>
      </c>
      <c r="N337" s="113">
        <f t="shared" si="22"/>
        <v>1974.3780522138418</v>
      </c>
      <c r="O337" s="113">
        <f t="shared" si="23"/>
        <v>442260.68369590054</v>
      </c>
    </row>
    <row r="338" spans="1:15" x14ac:dyDescent="0.25">
      <c r="A338" s="13">
        <v>44455</v>
      </c>
      <c r="B338" s="97">
        <v>19100</v>
      </c>
      <c r="C338" t="s">
        <v>213</v>
      </c>
      <c r="D338" s="94" t="s">
        <v>475</v>
      </c>
      <c r="E338" t="s">
        <v>54</v>
      </c>
      <c r="F338" t="s">
        <v>551</v>
      </c>
      <c r="G338" s="50" t="s">
        <v>205</v>
      </c>
      <c r="H338" s="50">
        <v>2</v>
      </c>
      <c r="I338" s="100">
        <v>6.7391919697301583</v>
      </c>
      <c r="J338" s="52">
        <v>3834.68</v>
      </c>
      <c r="K338" s="67">
        <f t="shared" si="24"/>
        <v>493594.51305346045</v>
      </c>
      <c r="L338" s="95">
        <f>+VLOOKUP(E338,MARGEN!A:B,2,FALSE)</f>
        <v>0.1</v>
      </c>
      <c r="M338" s="112">
        <f t="shared" si="21"/>
        <v>49359.451305346047</v>
      </c>
      <c r="N338" s="113">
        <f t="shared" si="22"/>
        <v>1974.3780522138418</v>
      </c>
      <c r="O338" s="113">
        <f t="shared" si="23"/>
        <v>442260.68369590054</v>
      </c>
    </row>
    <row r="339" spans="1:15" x14ac:dyDescent="0.25">
      <c r="A339" s="13">
        <v>44456</v>
      </c>
      <c r="B339" s="97">
        <v>19100</v>
      </c>
      <c r="C339" t="s">
        <v>213</v>
      </c>
      <c r="D339" s="94" t="s">
        <v>475</v>
      </c>
      <c r="E339" t="s">
        <v>54</v>
      </c>
      <c r="F339" t="s">
        <v>551</v>
      </c>
      <c r="G339" s="50" t="s">
        <v>205</v>
      </c>
      <c r="H339" s="50">
        <v>2</v>
      </c>
      <c r="I339" s="100">
        <v>6.7391919697301583</v>
      </c>
      <c r="J339" s="52">
        <v>3834.68</v>
      </c>
      <c r="K339" s="67">
        <f t="shared" si="24"/>
        <v>493594.51305346045</v>
      </c>
      <c r="L339" s="95">
        <f>+VLOOKUP(E339,MARGEN!A:B,2,FALSE)</f>
        <v>0.1</v>
      </c>
      <c r="M339" s="112">
        <f t="shared" si="21"/>
        <v>49359.451305346047</v>
      </c>
      <c r="N339" s="113">
        <f t="shared" si="22"/>
        <v>1974.3780522138418</v>
      </c>
      <c r="O339" s="113">
        <f t="shared" si="23"/>
        <v>442260.68369590054</v>
      </c>
    </row>
    <row r="340" spans="1:15" x14ac:dyDescent="0.25">
      <c r="A340" s="13">
        <v>44457</v>
      </c>
      <c r="B340" s="97">
        <v>19099</v>
      </c>
      <c r="C340" t="s">
        <v>213</v>
      </c>
      <c r="D340" s="94" t="s">
        <v>475</v>
      </c>
      <c r="E340" t="s">
        <v>54</v>
      </c>
      <c r="F340" t="s">
        <v>562</v>
      </c>
      <c r="G340" s="50" t="s">
        <v>559</v>
      </c>
      <c r="H340" s="50">
        <v>2</v>
      </c>
      <c r="I340" s="100">
        <v>6.7391919697301583</v>
      </c>
      <c r="J340" s="52">
        <v>3834.68</v>
      </c>
      <c r="K340" s="67">
        <f t="shared" si="24"/>
        <v>493568.67040879803</v>
      </c>
      <c r="L340" s="95">
        <f>+VLOOKUP(E340,MARGEN!A:B,2,FALSE)</f>
        <v>0.1</v>
      </c>
      <c r="M340" s="112">
        <f t="shared" si="21"/>
        <v>49356.867040879806</v>
      </c>
      <c r="N340" s="113">
        <f t="shared" si="22"/>
        <v>1974.2746816351921</v>
      </c>
      <c r="O340" s="113">
        <f t="shared" si="23"/>
        <v>442237.52868628304</v>
      </c>
    </row>
    <row r="341" spans="1:15" x14ac:dyDescent="0.25">
      <c r="A341" s="13">
        <v>44458</v>
      </c>
      <c r="B341" s="97">
        <v>19099</v>
      </c>
      <c r="C341" t="s">
        <v>213</v>
      </c>
      <c r="D341" s="94" t="s">
        <v>475</v>
      </c>
      <c r="E341" t="s">
        <v>54</v>
      </c>
      <c r="F341" t="s">
        <v>562</v>
      </c>
      <c r="G341" s="50" t="s">
        <v>559</v>
      </c>
      <c r="H341" s="50">
        <v>2</v>
      </c>
      <c r="I341" s="100">
        <v>6.7391919697301583</v>
      </c>
      <c r="J341" s="52">
        <v>3834.68</v>
      </c>
      <c r="K341" s="67">
        <f t="shared" si="24"/>
        <v>493568.67040879803</v>
      </c>
      <c r="L341" s="95">
        <f>+VLOOKUP(E341,MARGEN!A:B,2,FALSE)</f>
        <v>0.1</v>
      </c>
      <c r="M341" s="112">
        <f t="shared" si="21"/>
        <v>49356.867040879806</v>
      </c>
      <c r="N341" s="113">
        <f t="shared" si="22"/>
        <v>1974.2746816351921</v>
      </c>
      <c r="O341" s="113">
        <f t="shared" si="23"/>
        <v>442237.52868628304</v>
      </c>
    </row>
    <row r="342" spans="1:15" x14ac:dyDescent="0.25">
      <c r="A342" s="13">
        <v>44459</v>
      </c>
      <c r="B342" s="97">
        <v>19031</v>
      </c>
      <c r="C342" t="s">
        <v>213</v>
      </c>
      <c r="D342" s="94" t="s">
        <v>475</v>
      </c>
      <c r="E342" t="s">
        <v>54</v>
      </c>
      <c r="F342" t="s">
        <v>573</v>
      </c>
      <c r="G342" s="50" t="s">
        <v>574</v>
      </c>
      <c r="H342" s="50">
        <v>2</v>
      </c>
      <c r="I342" s="100">
        <v>6.7391919697301583</v>
      </c>
      <c r="J342" s="52">
        <v>3834.68</v>
      </c>
      <c r="K342" s="67">
        <f t="shared" si="24"/>
        <v>491811.37057174905</v>
      </c>
      <c r="L342" s="95">
        <f>+VLOOKUP(E342,MARGEN!A:B,2,FALSE)</f>
        <v>0.1</v>
      </c>
      <c r="M342" s="112">
        <f t="shared" si="21"/>
        <v>49181.137057174907</v>
      </c>
      <c r="N342" s="113">
        <f t="shared" si="22"/>
        <v>1967.2454822869963</v>
      </c>
      <c r="O342" s="113">
        <f t="shared" si="23"/>
        <v>440662.9880322871</v>
      </c>
    </row>
    <row r="343" spans="1:15" x14ac:dyDescent="0.25">
      <c r="A343" s="13">
        <v>44460</v>
      </c>
      <c r="B343" s="97">
        <v>19103</v>
      </c>
      <c r="C343" t="s">
        <v>213</v>
      </c>
      <c r="D343" t="s">
        <v>475</v>
      </c>
      <c r="E343" t="s">
        <v>54</v>
      </c>
      <c r="F343" t="s">
        <v>573</v>
      </c>
      <c r="G343" s="50" t="s">
        <v>574</v>
      </c>
      <c r="H343" s="50">
        <v>2</v>
      </c>
      <c r="I343" s="100">
        <v>6.7391919697301583</v>
      </c>
      <c r="J343" s="52">
        <v>3834.68</v>
      </c>
      <c r="K343" s="67">
        <f t="shared" si="24"/>
        <v>493672.04098744795</v>
      </c>
      <c r="L343" s="95">
        <f>+VLOOKUP(E343,MARGEN!A:B,2,FALSE)</f>
        <v>0.1</v>
      </c>
      <c r="M343" s="112">
        <f t="shared" si="21"/>
        <v>49367.204098744798</v>
      </c>
      <c r="N343" s="113">
        <f t="shared" si="22"/>
        <v>1974.6881639497917</v>
      </c>
      <c r="O343" s="113">
        <f t="shared" si="23"/>
        <v>442330.14872475335</v>
      </c>
    </row>
    <row r="344" spans="1:15" x14ac:dyDescent="0.25">
      <c r="A344" s="13">
        <v>44461</v>
      </c>
      <c r="B344" s="97">
        <v>19103</v>
      </c>
      <c r="C344" t="s">
        <v>213</v>
      </c>
      <c r="D344" t="s">
        <v>475</v>
      </c>
      <c r="E344" t="s">
        <v>54</v>
      </c>
      <c r="F344" t="s">
        <v>573</v>
      </c>
      <c r="G344" s="50" t="s">
        <v>574</v>
      </c>
      <c r="H344" s="50">
        <v>2</v>
      </c>
      <c r="I344" s="100">
        <v>6.7391919697301583</v>
      </c>
      <c r="J344" s="52">
        <v>3834.68</v>
      </c>
      <c r="K344" s="67">
        <f t="shared" si="24"/>
        <v>493672.04098744795</v>
      </c>
      <c r="L344" s="95">
        <f>+VLOOKUP(E344,MARGEN!A:B,2,FALSE)</f>
        <v>0.1</v>
      </c>
      <c r="M344" s="112">
        <f t="shared" si="21"/>
        <v>49367.204098744798</v>
      </c>
      <c r="N344" s="113">
        <f t="shared" si="22"/>
        <v>1974.6881639497917</v>
      </c>
      <c r="O344" s="113">
        <f t="shared" si="23"/>
        <v>442330.14872475335</v>
      </c>
    </row>
    <row r="345" spans="1:15" x14ac:dyDescent="0.25">
      <c r="A345" s="13">
        <v>44462</v>
      </c>
      <c r="B345" s="97">
        <v>19103</v>
      </c>
      <c r="C345" t="s">
        <v>213</v>
      </c>
      <c r="D345" t="s">
        <v>475</v>
      </c>
      <c r="E345" t="s">
        <v>54</v>
      </c>
      <c r="F345" t="s">
        <v>573</v>
      </c>
      <c r="G345" s="50" t="s">
        <v>574</v>
      </c>
      <c r="H345" s="50">
        <v>2</v>
      </c>
      <c r="I345" s="100">
        <v>6.7391919697301583</v>
      </c>
      <c r="J345" s="52">
        <v>3834.68</v>
      </c>
      <c r="K345" s="67">
        <f t="shared" si="24"/>
        <v>493672.04098744795</v>
      </c>
      <c r="L345" s="95">
        <f>+VLOOKUP(E345,MARGEN!A:B,2,FALSE)</f>
        <v>0.1</v>
      </c>
      <c r="M345" s="112">
        <f t="shared" si="21"/>
        <v>49367.204098744798</v>
      </c>
      <c r="N345" s="113">
        <f t="shared" si="22"/>
        <v>1974.6881639497917</v>
      </c>
      <c r="O345" s="113">
        <f t="shared" si="23"/>
        <v>442330.14872475335</v>
      </c>
    </row>
    <row r="346" spans="1:15" x14ac:dyDescent="0.25">
      <c r="A346" s="13">
        <v>44463</v>
      </c>
      <c r="B346" s="97">
        <v>19103</v>
      </c>
      <c r="C346" t="s">
        <v>213</v>
      </c>
      <c r="D346" t="s">
        <v>475</v>
      </c>
      <c r="E346" t="s">
        <v>54</v>
      </c>
      <c r="F346" t="s">
        <v>573</v>
      </c>
      <c r="G346" s="50" t="s">
        <v>574</v>
      </c>
      <c r="H346" s="50">
        <v>2</v>
      </c>
      <c r="I346" s="100">
        <v>6.7391919697301583</v>
      </c>
      <c r="J346" s="52">
        <v>3834.68</v>
      </c>
      <c r="K346" s="67">
        <f t="shared" si="24"/>
        <v>493672.04098744795</v>
      </c>
      <c r="L346" s="95">
        <f>+VLOOKUP(E346,MARGEN!A:B,2,FALSE)</f>
        <v>0.1</v>
      </c>
      <c r="M346" s="112">
        <f t="shared" si="21"/>
        <v>49367.204098744798</v>
      </c>
      <c r="N346" s="113">
        <f t="shared" si="22"/>
        <v>1974.6881639497917</v>
      </c>
      <c r="O346" s="113">
        <f t="shared" si="23"/>
        <v>442330.14872475335</v>
      </c>
    </row>
    <row r="347" spans="1:15" x14ac:dyDescent="0.25">
      <c r="A347" s="13">
        <v>44464</v>
      </c>
      <c r="B347" s="97">
        <v>19103</v>
      </c>
      <c r="C347" t="s">
        <v>213</v>
      </c>
      <c r="D347" t="s">
        <v>475</v>
      </c>
      <c r="E347" t="s">
        <v>54</v>
      </c>
      <c r="F347" t="s">
        <v>573</v>
      </c>
      <c r="G347" s="50" t="s">
        <v>574</v>
      </c>
      <c r="H347" s="50">
        <v>2</v>
      </c>
      <c r="I347" s="100">
        <v>6.7391919697301583</v>
      </c>
      <c r="J347" s="52">
        <v>3834.68</v>
      </c>
      <c r="K347" s="67">
        <f t="shared" si="24"/>
        <v>493672.04098744795</v>
      </c>
      <c r="L347" s="95">
        <f>+VLOOKUP(E347,MARGEN!A:B,2,FALSE)</f>
        <v>0.1</v>
      </c>
      <c r="M347" s="112">
        <f t="shared" si="21"/>
        <v>49367.204098744798</v>
      </c>
      <c r="N347" s="113">
        <f t="shared" si="22"/>
        <v>1974.6881639497917</v>
      </c>
      <c r="O347" s="113">
        <f t="shared" si="23"/>
        <v>442330.14872475335</v>
      </c>
    </row>
    <row r="348" spans="1:15" x14ac:dyDescent="0.25">
      <c r="A348" s="43">
        <v>44465</v>
      </c>
      <c r="B348" s="51">
        <v>19103</v>
      </c>
      <c r="C348" s="66" t="s">
        <v>213</v>
      </c>
      <c r="D348" s="66" t="s">
        <v>475</v>
      </c>
      <c r="E348" t="s">
        <v>54</v>
      </c>
      <c r="F348" s="50" t="s">
        <v>573</v>
      </c>
      <c r="G348" s="50" t="s">
        <v>574</v>
      </c>
      <c r="H348" s="50">
        <v>2</v>
      </c>
      <c r="I348" s="100">
        <v>6.7391919697301583</v>
      </c>
      <c r="J348" s="52">
        <v>3834.68</v>
      </c>
      <c r="K348" s="67">
        <f t="shared" si="24"/>
        <v>493672.04098744795</v>
      </c>
      <c r="L348" s="95">
        <f>+VLOOKUP(E348,MARGEN!A:B,2,FALSE)</f>
        <v>0.1</v>
      </c>
      <c r="M348" s="112">
        <f t="shared" si="21"/>
        <v>49367.204098744798</v>
      </c>
      <c r="N348" s="113">
        <f t="shared" si="22"/>
        <v>1974.6881639497917</v>
      </c>
      <c r="O348" s="113">
        <f t="shared" si="23"/>
        <v>442330.14872475335</v>
      </c>
    </row>
    <row r="349" spans="1:15" x14ac:dyDescent="0.25">
      <c r="A349" s="43">
        <v>44466</v>
      </c>
      <c r="B349" s="51">
        <v>19031</v>
      </c>
      <c r="C349" s="66" t="s">
        <v>213</v>
      </c>
      <c r="D349" s="66" t="s">
        <v>475</v>
      </c>
      <c r="E349" t="s">
        <v>54</v>
      </c>
      <c r="F349" s="50" t="s">
        <v>573</v>
      </c>
      <c r="G349" s="50" t="s">
        <v>574</v>
      </c>
      <c r="H349" s="50">
        <v>2</v>
      </c>
      <c r="I349" s="100">
        <v>6.7391919697301583</v>
      </c>
      <c r="J349" s="52">
        <v>3834.68</v>
      </c>
      <c r="K349" s="67">
        <f t="shared" si="24"/>
        <v>491811.37057174905</v>
      </c>
      <c r="L349" s="95">
        <f>+VLOOKUP(E349,MARGEN!A:B,2,FALSE)</f>
        <v>0.1</v>
      </c>
      <c r="M349" s="112">
        <f t="shared" si="21"/>
        <v>49181.137057174907</v>
      </c>
      <c r="N349" s="113">
        <f t="shared" si="22"/>
        <v>1967.2454822869963</v>
      </c>
      <c r="O349" s="113">
        <f t="shared" si="23"/>
        <v>440662.9880322871</v>
      </c>
    </row>
    <row r="350" spans="1:15" x14ac:dyDescent="0.25">
      <c r="A350" s="43">
        <v>44467</v>
      </c>
      <c r="B350" s="51">
        <v>19103</v>
      </c>
      <c r="C350" s="66" t="s">
        <v>213</v>
      </c>
      <c r="D350" s="66" t="s">
        <v>475</v>
      </c>
      <c r="E350" t="s">
        <v>54</v>
      </c>
      <c r="F350" s="50" t="s">
        <v>573</v>
      </c>
      <c r="G350" s="50" t="s">
        <v>574</v>
      </c>
      <c r="H350" s="50">
        <v>2</v>
      </c>
      <c r="I350" s="100">
        <v>6.7391919697301583</v>
      </c>
      <c r="J350" s="52">
        <v>3834.68</v>
      </c>
      <c r="K350" s="67">
        <f t="shared" si="24"/>
        <v>493672.04098744795</v>
      </c>
      <c r="L350" s="95">
        <f>+VLOOKUP(E350,MARGEN!A:B,2,FALSE)</f>
        <v>0.1</v>
      </c>
      <c r="M350" s="112">
        <f t="shared" si="21"/>
        <v>49367.204098744798</v>
      </c>
      <c r="N350" s="113">
        <f t="shared" si="22"/>
        <v>1974.6881639497917</v>
      </c>
      <c r="O350" s="113">
        <f t="shared" si="23"/>
        <v>442330.14872475335</v>
      </c>
    </row>
    <row r="351" spans="1:15" x14ac:dyDescent="0.25">
      <c r="A351" s="43">
        <v>44468</v>
      </c>
      <c r="B351" s="51">
        <v>19103</v>
      </c>
      <c r="C351" s="66" t="s">
        <v>213</v>
      </c>
      <c r="D351" s="66" t="s">
        <v>475</v>
      </c>
      <c r="E351" t="s">
        <v>54</v>
      </c>
      <c r="F351" s="50" t="s">
        <v>573</v>
      </c>
      <c r="G351" s="50" t="s">
        <v>574</v>
      </c>
      <c r="H351" s="50">
        <v>2</v>
      </c>
      <c r="I351" s="100">
        <v>6.7391919697301583</v>
      </c>
      <c r="J351" s="52">
        <v>3834.68</v>
      </c>
      <c r="K351" s="67">
        <f t="shared" si="24"/>
        <v>493672.04098744795</v>
      </c>
      <c r="L351" s="95">
        <f>+VLOOKUP(E351,MARGEN!A:B,2,FALSE)</f>
        <v>0.1</v>
      </c>
      <c r="M351" s="112">
        <f t="shared" si="21"/>
        <v>49367.204098744798</v>
      </c>
      <c r="N351" s="113">
        <f t="shared" si="22"/>
        <v>1974.6881639497917</v>
      </c>
      <c r="O351" s="113">
        <f t="shared" si="23"/>
        <v>442330.14872475335</v>
      </c>
    </row>
    <row r="352" spans="1:15" x14ac:dyDescent="0.25">
      <c r="A352" s="43">
        <v>44469</v>
      </c>
      <c r="B352" s="51">
        <v>19103</v>
      </c>
      <c r="C352" s="66" t="s">
        <v>213</v>
      </c>
      <c r="D352" s="66" t="s">
        <v>475</v>
      </c>
      <c r="E352" t="s">
        <v>54</v>
      </c>
      <c r="F352" s="50" t="s">
        <v>573</v>
      </c>
      <c r="G352" s="50" t="s">
        <v>574</v>
      </c>
      <c r="H352" s="50">
        <v>2</v>
      </c>
      <c r="I352" s="100">
        <v>6.7391919697301583</v>
      </c>
      <c r="J352" s="52">
        <v>3834.68</v>
      </c>
      <c r="K352" s="67">
        <f t="shared" si="24"/>
        <v>493672.04098744795</v>
      </c>
      <c r="L352" s="95">
        <f>+VLOOKUP(E352,MARGEN!A:B,2,FALSE)</f>
        <v>0.1</v>
      </c>
      <c r="M352" s="112">
        <f t="shared" si="21"/>
        <v>49367.204098744798</v>
      </c>
      <c r="N352" s="113">
        <f t="shared" si="22"/>
        <v>1974.6881639497917</v>
      </c>
      <c r="O352" s="113">
        <f t="shared" si="23"/>
        <v>442330.14872475335</v>
      </c>
    </row>
    <row r="353" spans="1:15" x14ac:dyDescent="0.25">
      <c r="A353" s="13">
        <v>44441</v>
      </c>
      <c r="B353" s="97">
        <v>231331</v>
      </c>
      <c r="C353" s="88" t="s">
        <v>85</v>
      </c>
      <c r="D353" t="s">
        <v>478</v>
      </c>
      <c r="E353" t="s">
        <v>1</v>
      </c>
      <c r="F353" t="s">
        <v>558</v>
      </c>
      <c r="G353" s="50" t="s">
        <v>559</v>
      </c>
      <c r="H353" s="50">
        <v>2</v>
      </c>
      <c r="I353" s="100">
        <v>6.7391919697301583</v>
      </c>
      <c r="J353" s="52">
        <v>3834.68</v>
      </c>
      <c r="K353" s="67">
        <f t="shared" si="24"/>
        <v>5978204.8324172813</v>
      </c>
      <c r="L353" s="95">
        <f>+VLOOKUP(E353,MARGEN!A:B,2,FALSE)</f>
        <v>0.1</v>
      </c>
      <c r="M353" s="112">
        <f t="shared" si="21"/>
        <v>597820.48324172816</v>
      </c>
      <c r="N353" s="113">
        <f t="shared" si="22"/>
        <v>23912.819329669124</v>
      </c>
      <c r="O353" s="113">
        <f t="shared" si="23"/>
        <v>5356471.5298458841</v>
      </c>
    </row>
    <row r="354" spans="1:15" x14ac:dyDescent="0.25">
      <c r="A354" s="13">
        <v>44442</v>
      </c>
      <c r="B354" s="51">
        <v>231331</v>
      </c>
      <c r="C354" s="66" t="s">
        <v>85</v>
      </c>
      <c r="D354" s="66" t="s">
        <v>478</v>
      </c>
      <c r="E354" t="s">
        <v>1</v>
      </c>
      <c r="F354" s="50" t="s">
        <v>558</v>
      </c>
      <c r="G354" s="50" t="s">
        <v>559</v>
      </c>
      <c r="H354" s="50">
        <v>2</v>
      </c>
      <c r="I354" s="100">
        <v>6.7391919697301583</v>
      </c>
      <c r="J354" s="52">
        <v>3834.68</v>
      </c>
      <c r="K354" s="67">
        <f t="shared" si="24"/>
        <v>5978204.8324172813</v>
      </c>
      <c r="L354" s="95">
        <f>+VLOOKUP(E354,MARGEN!A:B,2,FALSE)</f>
        <v>0.1</v>
      </c>
      <c r="M354" s="112">
        <f t="shared" si="21"/>
        <v>597820.48324172816</v>
      </c>
      <c r="N354" s="113">
        <f t="shared" si="22"/>
        <v>23912.819329669124</v>
      </c>
      <c r="O354" s="113">
        <f t="shared" si="23"/>
        <v>5356471.5298458841</v>
      </c>
    </row>
    <row r="355" spans="1:15" x14ac:dyDescent="0.25">
      <c r="A355" s="13">
        <v>44443</v>
      </c>
      <c r="B355" s="97">
        <v>231308</v>
      </c>
      <c r="C355" t="s">
        <v>85</v>
      </c>
      <c r="D355" s="94" t="s">
        <v>478</v>
      </c>
      <c r="E355" t="s">
        <v>1</v>
      </c>
      <c r="F355" t="s">
        <v>562</v>
      </c>
      <c r="G355" s="50" t="s">
        <v>559</v>
      </c>
      <c r="H355" s="50">
        <v>2</v>
      </c>
      <c r="I355" s="100">
        <v>6.7391919697301583</v>
      </c>
      <c r="J355" s="52">
        <v>3834.68</v>
      </c>
      <c r="K355" s="67">
        <f t="shared" si="24"/>
        <v>5977610.4515900444</v>
      </c>
      <c r="L355" s="95">
        <f>+VLOOKUP(E355,MARGEN!A:B,2,FALSE)</f>
        <v>0.1</v>
      </c>
      <c r="M355" s="112">
        <f t="shared" si="21"/>
        <v>597761.04515900451</v>
      </c>
      <c r="N355" s="113">
        <f t="shared" si="22"/>
        <v>23910.441806360177</v>
      </c>
      <c r="O355" s="113">
        <f t="shared" si="23"/>
        <v>5355938.9646246796</v>
      </c>
    </row>
    <row r="356" spans="1:15" x14ac:dyDescent="0.25">
      <c r="A356" s="13">
        <v>44444</v>
      </c>
      <c r="B356" s="97">
        <v>231331</v>
      </c>
      <c r="C356" t="s">
        <v>85</v>
      </c>
      <c r="D356" s="94" t="s">
        <v>478</v>
      </c>
      <c r="E356" t="s">
        <v>1</v>
      </c>
      <c r="F356" t="s">
        <v>558</v>
      </c>
      <c r="G356" s="50" t="s">
        <v>559</v>
      </c>
      <c r="H356" s="50">
        <v>2</v>
      </c>
      <c r="I356" s="100">
        <v>6.7391919697301583</v>
      </c>
      <c r="J356" s="52">
        <v>3834.68</v>
      </c>
      <c r="K356" s="67">
        <f t="shared" si="24"/>
        <v>5978204.8324172813</v>
      </c>
      <c r="L356" s="95">
        <f>+VLOOKUP(E356,MARGEN!A:B,2,FALSE)</f>
        <v>0.1</v>
      </c>
      <c r="M356" s="112">
        <f t="shared" si="21"/>
        <v>597820.48324172816</v>
      </c>
      <c r="N356" s="113">
        <f t="shared" si="22"/>
        <v>23912.819329669124</v>
      </c>
      <c r="O356" s="113">
        <f t="shared" si="23"/>
        <v>5356471.5298458841</v>
      </c>
    </row>
    <row r="357" spans="1:15" x14ac:dyDescent="0.25">
      <c r="A357" s="13">
        <v>44445</v>
      </c>
      <c r="B357" s="97">
        <v>231331</v>
      </c>
      <c r="C357" t="s">
        <v>85</v>
      </c>
      <c r="D357" s="94" t="s">
        <v>478</v>
      </c>
      <c r="E357" t="s">
        <v>1</v>
      </c>
      <c r="F357" t="s">
        <v>558</v>
      </c>
      <c r="G357" s="50" t="s">
        <v>559</v>
      </c>
      <c r="H357" s="50">
        <v>2</v>
      </c>
      <c r="I357" s="100">
        <v>6.7391919697301583</v>
      </c>
      <c r="J357" s="52">
        <v>3834.68</v>
      </c>
      <c r="K357" s="67">
        <f t="shared" si="24"/>
        <v>5978204.8324172813</v>
      </c>
      <c r="L357" s="95">
        <f>+VLOOKUP(E357,MARGEN!A:B,2,FALSE)</f>
        <v>0.1</v>
      </c>
      <c r="M357" s="112">
        <f t="shared" si="21"/>
        <v>597820.48324172816</v>
      </c>
      <c r="N357" s="113">
        <f t="shared" si="22"/>
        <v>23912.819329669124</v>
      </c>
      <c r="O357" s="113">
        <f t="shared" si="23"/>
        <v>5356471.5298458841</v>
      </c>
    </row>
    <row r="358" spans="1:15" x14ac:dyDescent="0.25">
      <c r="A358" s="13">
        <v>44446</v>
      </c>
      <c r="B358" s="97">
        <v>199511</v>
      </c>
      <c r="C358" t="s">
        <v>85</v>
      </c>
      <c r="D358" s="94" t="s">
        <v>478</v>
      </c>
      <c r="E358" t="s">
        <v>1</v>
      </c>
      <c r="F358" t="s">
        <v>558</v>
      </c>
      <c r="G358" s="50" t="s">
        <v>559</v>
      </c>
      <c r="H358" s="50">
        <v>2</v>
      </c>
      <c r="I358" s="100">
        <v>6.7391919697301583</v>
      </c>
      <c r="J358" s="52">
        <v>3834.68</v>
      </c>
      <c r="K358" s="67">
        <f t="shared" si="24"/>
        <v>5155891.8792570131</v>
      </c>
      <c r="L358" s="95">
        <f>+VLOOKUP(E358,MARGEN!A:B,2,FALSE)</f>
        <v>0.1</v>
      </c>
      <c r="M358" s="112">
        <f t="shared" si="21"/>
        <v>515589.18792570132</v>
      </c>
      <c r="N358" s="113">
        <f t="shared" si="22"/>
        <v>20623.567517028052</v>
      </c>
      <c r="O358" s="113">
        <f t="shared" si="23"/>
        <v>4619679.1238142839</v>
      </c>
    </row>
    <row r="359" spans="1:15" x14ac:dyDescent="0.25">
      <c r="A359" s="13">
        <v>44447</v>
      </c>
      <c r="B359" s="97">
        <v>231331</v>
      </c>
      <c r="C359" t="s">
        <v>85</v>
      </c>
      <c r="D359" s="94" t="s">
        <v>478</v>
      </c>
      <c r="E359" t="s">
        <v>1</v>
      </c>
      <c r="F359" t="s">
        <v>558</v>
      </c>
      <c r="G359" s="50" t="s">
        <v>559</v>
      </c>
      <c r="H359" s="50">
        <v>2</v>
      </c>
      <c r="I359" s="100">
        <v>6.7391919697301583</v>
      </c>
      <c r="J359" s="52">
        <v>3834.68</v>
      </c>
      <c r="K359" s="67">
        <f t="shared" si="24"/>
        <v>5978204.8324172813</v>
      </c>
      <c r="L359" s="95">
        <f>+VLOOKUP(E359,MARGEN!A:B,2,FALSE)</f>
        <v>0.1</v>
      </c>
      <c r="M359" s="112">
        <f t="shared" si="21"/>
        <v>597820.48324172816</v>
      </c>
      <c r="N359" s="113">
        <f t="shared" si="22"/>
        <v>23912.819329669124</v>
      </c>
      <c r="O359" s="113">
        <f t="shared" si="23"/>
        <v>5356471.5298458841</v>
      </c>
    </row>
    <row r="360" spans="1:15" x14ac:dyDescent="0.25">
      <c r="A360" s="13">
        <v>44448</v>
      </c>
      <c r="B360" s="97">
        <v>231331</v>
      </c>
      <c r="C360" t="s">
        <v>85</v>
      </c>
      <c r="D360" s="94" t="s">
        <v>478</v>
      </c>
      <c r="E360" t="s">
        <v>1</v>
      </c>
      <c r="F360" t="s">
        <v>558</v>
      </c>
      <c r="G360" s="50" t="s">
        <v>559</v>
      </c>
      <c r="H360" s="50">
        <v>2</v>
      </c>
      <c r="I360" s="100">
        <v>6.7391919697301583</v>
      </c>
      <c r="J360" s="52">
        <v>3834.68</v>
      </c>
      <c r="K360" s="67">
        <f t="shared" si="24"/>
        <v>5978204.8324172813</v>
      </c>
      <c r="L360" s="95">
        <f>+VLOOKUP(E360,MARGEN!A:B,2,FALSE)</f>
        <v>0.1</v>
      </c>
      <c r="M360" s="112">
        <f t="shared" si="21"/>
        <v>597820.48324172816</v>
      </c>
      <c r="N360" s="113">
        <f t="shared" si="22"/>
        <v>23912.819329669124</v>
      </c>
      <c r="O360" s="113">
        <f t="shared" si="23"/>
        <v>5356471.5298458841</v>
      </c>
    </row>
    <row r="361" spans="1:15" x14ac:dyDescent="0.25">
      <c r="A361" s="13">
        <v>44449</v>
      </c>
      <c r="B361" s="97">
        <v>231315</v>
      </c>
      <c r="C361" t="s">
        <v>85</v>
      </c>
      <c r="D361" s="94" t="s">
        <v>478</v>
      </c>
      <c r="E361" t="s">
        <v>1</v>
      </c>
      <c r="F361" t="s">
        <v>551</v>
      </c>
      <c r="G361" s="50" t="s">
        <v>205</v>
      </c>
      <c r="H361" s="50">
        <v>2</v>
      </c>
      <c r="I361" s="100">
        <v>6.7391919697301583</v>
      </c>
      <c r="J361" s="52">
        <v>3834.68</v>
      </c>
      <c r="K361" s="67">
        <f t="shared" si="24"/>
        <v>5977791.3501026807</v>
      </c>
      <c r="L361" s="95">
        <f>+VLOOKUP(E361,MARGEN!A:B,2,FALSE)</f>
        <v>0.1</v>
      </c>
      <c r="M361" s="112">
        <f t="shared" si="21"/>
        <v>597779.13501026807</v>
      </c>
      <c r="N361" s="113">
        <f t="shared" si="22"/>
        <v>23911.165400410722</v>
      </c>
      <c r="O361" s="113">
        <f t="shared" si="23"/>
        <v>5356101.0496920021</v>
      </c>
    </row>
    <row r="362" spans="1:15" x14ac:dyDescent="0.25">
      <c r="A362" s="13">
        <v>44450</v>
      </c>
      <c r="B362" s="97">
        <v>231331</v>
      </c>
      <c r="C362" t="s">
        <v>85</v>
      </c>
      <c r="D362" s="94" t="s">
        <v>478</v>
      </c>
      <c r="E362" t="s">
        <v>1</v>
      </c>
      <c r="F362" t="s">
        <v>558</v>
      </c>
      <c r="G362" s="50" t="s">
        <v>559</v>
      </c>
      <c r="H362" s="50">
        <v>2</v>
      </c>
      <c r="I362" s="100">
        <v>6.7391919697301583</v>
      </c>
      <c r="J362" s="52">
        <v>3834.68</v>
      </c>
      <c r="K362" s="67">
        <f t="shared" si="24"/>
        <v>5978204.8324172813</v>
      </c>
      <c r="L362" s="95">
        <f>+VLOOKUP(E362,MARGEN!A:B,2,FALSE)</f>
        <v>0.1</v>
      </c>
      <c r="M362" s="112">
        <f t="shared" si="21"/>
        <v>597820.48324172816</v>
      </c>
      <c r="N362" s="113">
        <f t="shared" si="22"/>
        <v>23912.819329669124</v>
      </c>
      <c r="O362" s="113">
        <f t="shared" si="23"/>
        <v>5356471.5298458841</v>
      </c>
    </row>
    <row r="363" spans="1:15" x14ac:dyDescent="0.25">
      <c r="A363" s="13">
        <v>44451</v>
      </c>
      <c r="B363" s="97">
        <v>231325</v>
      </c>
      <c r="C363" t="s">
        <v>85</v>
      </c>
      <c r="D363" s="94" t="s">
        <v>478</v>
      </c>
      <c r="E363" t="s">
        <v>1</v>
      </c>
      <c r="F363" t="s">
        <v>566</v>
      </c>
      <c r="G363" s="50" t="s">
        <v>559</v>
      </c>
      <c r="H363" s="50">
        <v>2</v>
      </c>
      <c r="I363" s="100">
        <v>6.7391919697301583</v>
      </c>
      <c r="J363" s="52">
        <v>3834.68</v>
      </c>
      <c r="K363" s="67">
        <f t="shared" si="24"/>
        <v>5978049.7765493058</v>
      </c>
      <c r="L363" s="95">
        <f>+VLOOKUP(E363,MARGEN!A:B,2,FALSE)</f>
        <v>0.1</v>
      </c>
      <c r="M363" s="112">
        <f t="shared" si="21"/>
        <v>597804.97765493055</v>
      </c>
      <c r="N363" s="113">
        <f t="shared" si="22"/>
        <v>23912.199106197222</v>
      </c>
      <c r="O363" s="113">
        <f t="shared" si="23"/>
        <v>5356332.5997881787</v>
      </c>
    </row>
    <row r="364" spans="1:15" x14ac:dyDescent="0.25">
      <c r="A364" s="13">
        <v>44452</v>
      </c>
      <c r="B364" s="97">
        <v>231331</v>
      </c>
      <c r="C364" t="s">
        <v>85</v>
      </c>
      <c r="D364" s="94" t="s">
        <v>478</v>
      </c>
      <c r="E364" t="s">
        <v>1</v>
      </c>
      <c r="F364" t="s">
        <v>558</v>
      </c>
      <c r="G364" s="50" t="s">
        <v>559</v>
      </c>
      <c r="H364" s="50">
        <v>2</v>
      </c>
      <c r="I364" s="100">
        <v>6.7391919697301583</v>
      </c>
      <c r="J364" s="52">
        <v>3834.68</v>
      </c>
      <c r="K364" s="67">
        <f t="shared" si="24"/>
        <v>5978204.8324172813</v>
      </c>
      <c r="L364" s="95">
        <f>+VLOOKUP(E364,MARGEN!A:B,2,FALSE)</f>
        <v>0.1</v>
      </c>
      <c r="M364" s="112">
        <f t="shared" si="21"/>
        <v>597820.48324172816</v>
      </c>
      <c r="N364" s="113">
        <f t="shared" si="22"/>
        <v>23912.819329669124</v>
      </c>
      <c r="O364" s="113">
        <f t="shared" si="23"/>
        <v>5356471.5298458841</v>
      </c>
    </row>
    <row r="365" spans="1:15" x14ac:dyDescent="0.25">
      <c r="A365" s="13">
        <v>44453</v>
      </c>
      <c r="B365" s="97">
        <v>199511</v>
      </c>
      <c r="C365" t="s">
        <v>85</v>
      </c>
      <c r="D365" s="94" t="s">
        <v>478</v>
      </c>
      <c r="E365" t="s">
        <v>1</v>
      </c>
      <c r="F365" t="s">
        <v>558</v>
      </c>
      <c r="G365" s="50" t="s">
        <v>559</v>
      </c>
      <c r="H365" s="50">
        <v>2</v>
      </c>
      <c r="I365" s="100">
        <v>6.7391919697301583</v>
      </c>
      <c r="J365" s="52">
        <v>3834.68</v>
      </c>
      <c r="K365" s="67">
        <f t="shared" si="24"/>
        <v>5155891.8792570131</v>
      </c>
      <c r="L365" s="95">
        <f>+VLOOKUP(E365,MARGEN!A:B,2,FALSE)</f>
        <v>0.1</v>
      </c>
      <c r="M365" s="112">
        <f t="shared" si="21"/>
        <v>515589.18792570132</v>
      </c>
      <c r="N365" s="113">
        <f t="shared" si="22"/>
        <v>20623.567517028052</v>
      </c>
      <c r="O365" s="113">
        <f t="shared" si="23"/>
        <v>4619679.1238142839</v>
      </c>
    </row>
    <row r="366" spans="1:15" x14ac:dyDescent="0.25">
      <c r="A366" s="13">
        <v>44454</v>
      </c>
      <c r="B366" s="97">
        <v>231331</v>
      </c>
      <c r="C366" t="s">
        <v>85</v>
      </c>
      <c r="D366" s="94" t="s">
        <v>478</v>
      </c>
      <c r="E366" t="s">
        <v>1</v>
      </c>
      <c r="F366" t="s">
        <v>558</v>
      </c>
      <c r="G366" s="50" t="s">
        <v>559</v>
      </c>
      <c r="H366" s="50">
        <v>2</v>
      </c>
      <c r="I366" s="100">
        <v>6.7391919697301583</v>
      </c>
      <c r="J366" s="52">
        <v>3834.68</v>
      </c>
      <c r="K366" s="67">
        <f t="shared" si="24"/>
        <v>5978204.8324172813</v>
      </c>
      <c r="L366" s="95">
        <f>+VLOOKUP(E366,MARGEN!A:B,2,FALSE)</f>
        <v>0.1</v>
      </c>
      <c r="M366" s="112">
        <f t="shared" si="21"/>
        <v>597820.48324172816</v>
      </c>
      <c r="N366" s="113">
        <f t="shared" si="22"/>
        <v>23912.819329669124</v>
      </c>
      <c r="O366" s="113">
        <f t="shared" si="23"/>
        <v>5356471.5298458841</v>
      </c>
    </row>
    <row r="367" spans="1:15" x14ac:dyDescent="0.25">
      <c r="A367" s="13">
        <v>44455</v>
      </c>
      <c r="B367" s="97">
        <v>231308</v>
      </c>
      <c r="C367" t="s">
        <v>85</v>
      </c>
      <c r="D367" s="94" t="s">
        <v>478</v>
      </c>
      <c r="E367" t="s">
        <v>1</v>
      </c>
      <c r="F367" t="s">
        <v>562</v>
      </c>
      <c r="G367" s="50" t="s">
        <v>559</v>
      </c>
      <c r="H367" s="50">
        <v>2</v>
      </c>
      <c r="I367" s="100">
        <v>6.7391919697301583</v>
      </c>
      <c r="J367" s="52">
        <v>3834.68</v>
      </c>
      <c r="K367" s="67">
        <f t="shared" si="24"/>
        <v>5977610.4515900444</v>
      </c>
      <c r="L367" s="95">
        <f>+VLOOKUP(E367,MARGEN!A:B,2,FALSE)</f>
        <v>0.1</v>
      </c>
      <c r="M367" s="112">
        <f t="shared" si="21"/>
        <v>597761.04515900451</v>
      </c>
      <c r="N367" s="113">
        <f t="shared" si="22"/>
        <v>23910.441806360177</v>
      </c>
      <c r="O367" s="113">
        <f t="shared" si="23"/>
        <v>5355938.9646246796</v>
      </c>
    </row>
    <row r="368" spans="1:15" x14ac:dyDescent="0.25">
      <c r="A368" s="13">
        <v>44456</v>
      </c>
      <c r="B368" s="97">
        <v>231308</v>
      </c>
      <c r="C368" t="s">
        <v>85</v>
      </c>
      <c r="D368" s="94" t="s">
        <v>478</v>
      </c>
      <c r="E368" t="s">
        <v>1</v>
      </c>
      <c r="F368" t="s">
        <v>562</v>
      </c>
      <c r="G368" s="50" t="s">
        <v>559</v>
      </c>
      <c r="H368" s="50">
        <v>2</v>
      </c>
      <c r="I368" s="100">
        <v>6.7391919697301583</v>
      </c>
      <c r="J368" s="52">
        <v>3834.68</v>
      </c>
      <c r="K368" s="67">
        <f t="shared" si="24"/>
        <v>5977610.4515900444</v>
      </c>
      <c r="L368" s="95">
        <f>+VLOOKUP(E368,MARGEN!A:B,2,FALSE)</f>
        <v>0.1</v>
      </c>
      <c r="M368" s="112">
        <f t="shared" si="21"/>
        <v>597761.04515900451</v>
      </c>
      <c r="N368" s="113">
        <f t="shared" si="22"/>
        <v>23910.441806360177</v>
      </c>
      <c r="O368" s="113">
        <f t="shared" si="23"/>
        <v>5355938.9646246796</v>
      </c>
    </row>
    <row r="369" spans="1:15" x14ac:dyDescent="0.25">
      <c r="A369" s="13">
        <v>44457</v>
      </c>
      <c r="B369" s="97">
        <v>231308</v>
      </c>
      <c r="C369" t="s">
        <v>85</v>
      </c>
      <c r="D369" s="94" t="s">
        <v>478</v>
      </c>
      <c r="E369" t="s">
        <v>1</v>
      </c>
      <c r="F369" t="s">
        <v>562</v>
      </c>
      <c r="G369" s="50" t="s">
        <v>559</v>
      </c>
      <c r="H369" s="50">
        <v>2</v>
      </c>
      <c r="I369" s="100">
        <v>6.7391919697301583</v>
      </c>
      <c r="J369" s="52">
        <v>3834.68</v>
      </c>
      <c r="K369" s="67">
        <f t="shared" si="24"/>
        <v>5977610.4515900444</v>
      </c>
      <c r="L369" s="95">
        <f>+VLOOKUP(E369,MARGEN!A:B,2,FALSE)</f>
        <v>0.1</v>
      </c>
      <c r="M369" s="112">
        <f t="shared" si="21"/>
        <v>597761.04515900451</v>
      </c>
      <c r="N369" s="113">
        <f t="shared" si="22"/>
        <v>23910.441806360177</v>
      </c>
      <c r="O369" s="113">
        <f t="shared" si="23"/>
        <v>5355938.9646246796</v>
      </c>
    </row>
    <row r="370" spans="1:15" x14ac:dyDescent="0.25">
      <c r="A370" s="13">
        <v>44458</v>
      </c>
      <c r="B370" s="97">
        <v>231308</v>
      </c>
      <c r="C370" s="88" t="s">
        <v>85</v>
      </c>
      <c r="D370" t="s">
        <v>478</v>
      </c>
      <c r="E370" t="s">
        <v>1</v>
      </c>
      <c r="F370" t="s">
        <v>562</v>
      </c>
      <c r="G370" s="50" t="s">
        <v>559</v>
      </c>
      <c r="H370" s="50">
        <v>2</v>
      </c>
      <c r="I370" s="100">
        <v>6.7391919697301583</v>
      </c>
      <c r="J370" s="52">
        <v>3834.68</v>
      </c>
      <c r="K370" s="67">
        <f t="shared" si="24"/>
        <v>5977610.4515900444</v>
      </c>
      <c r="L370" s="95">
        <f>+VLOOKUP(E370,MARGEN!A:B,2,FALSE)</f>
        <v>0.1</v>
      </c>
      <c r="M370" s="112">
        <f t="shared" si="21"/>
        <v>597761.04515900451</v>
      </c>
      <c r="N370" s="113">
        <f t="shared" si="22"/>
        <v>23910.441806360177</v>
      </c>
      <c r="O370" s="113">
        <f t="shared" si="23"/>
        <v>5355938.9646246796</v>
      </c>
    </row>
    <row r="371" spans="1:15" x14ac:dyDescent="0.25">
      <c r="A371" s="13">
        <v>44459</v>
      </c>
      <c r="B371" s="97">
        <v>231356</v>
      </c>
      <c r="C371" t="s">
        <v>85</v>
      </c>
      <c r="D371" s="94" t="s">
        <v>478</v>
      </c>
      <c r="E371" t="s">
        <v>1</v>
      </c>
      <c r="F371" t="s">
        <v>573</v>
      </c>
      <c r="G371" s="50" t="s">
        <v>574</v>
      </c>
      <c r="H371" s="50">
        <v>2</v>
      </c>
      <c r="I371" s="100">
        <v>6.7391919697301583</v>
      </c>
      <c r="J371" s="52">
        <v>3834.68</v>
      </c>
      <c r="K371" s="67">
        <f t="shared" si="24"/>
        <v>5978850.8985338435</v>
      </c>
      <c r="L371" s="95">
        <f>+VLOOKUP(E371,MARGEN!A:B,2,FALSE)</f>
        <v>0.1</v>
      </c>
      <c r="M371" s="112">
        <f t="shared" si="21"/>
        <v>597885.08985338442</v>
      </c>
      <c r="N371" s="113">
        <f t="shared" si="22"/>
        <v>23915.403594135372</v>
      </c>
      <c r="O371" s="113">
        <f t="shared" si="23"/>
        <v>5357050.4050863236</v>
      </c>
    </row>
    <row r="372" spans="1:15" x14ac:dyDescent="0.25">
      <c r="A372" s="13">
        <v>44460</v>
      </c>
      <c r="B372" s="51">
        <v>199532</v>
      </c>
      <c r="C372" s="66" t="s">
        <v>85</v>
      </c>
      <c r="D372" s="66" t="s">
        <v>478</v>
      </c>
      <c r="E372" t="s">
        <v>1</v>
      </c>
      <c r="F372" s="50" t="s">
        <v>573</v>
      </c>
      <c r="G372" s="50" t="s">
        <v>574</v>
      </c>
      <c r="H372" s="50">
        <v>2</v>
      </c>
      <c r="I372" s="100">
        <v>6.7391919697301583</v>
      </c>
      <c r="J372" s="52">
        <v>3834.68</v>
      </c>
      <c r="K372" s="67">
        <f t="shared" si="24"/>
        <v>5156434.5747949257</v>
      </c>
      <c r="L372" s="95">
        <f>+VLOOKUP(E372,MARGEN!A:B,2,FALSE)</f>
        <v>0.1</v>
      </c>
      <c r="M372" s="112">
        <f t="shared" si="21"/>
        <v>515643.45747949259</v>
      </c>
      <c r="N372" s="113">
        <f t="shared" si="22"/>
        <v>20625.738299179702</v>
      </c>
      <c r="O372" s="113">
        <f t="shared" si="23"/>
        <v>4620165.3790162532</v>
      </c>
    </row>
    <row r="373" spans="1:15" x14ac:dyDescent="0.25">
      <c r="A373" s="13">
        <v>44461</v>
      </c>
      <c r="B373" s="97">
        <v>231356</v>
      </c>
      <c r="C373" t="s">
        <v>85</v>
      </c>
      <c r="D373" t="s">
        <v>478</v>
      </c>
      <c r="E373" t="s">
        <v>1</v>
      </c>
      <c r="F373" t="s">
        <v>573</v>
      </c>
      <c r="G373" s="50" t="s">
        <v>574</v>
      </c>
      <c r="H373" s="50">
        <v>2</v>
      </c>
      <c r="I373" s="100">
        <v>6.7391919697301583</v>
      </c>
      <c r="J373" s="52">
        <v>3834.68</v>
      </c>
      <c r="K373" s="67">
        <f t="shared" si="24"/>
        <v>5978850.8985338435</v>
      </c>
      <c r="L373" s="95">
        <f>+VLOOKUP(E373,MARGEN!A:B,2,FALSE)</f>
        <v>0.1</v>
      </c>
      <c r="M373" s="112">
        <f t="shared" si="21"/>
        <v>597885.08985338442</v>
      </c>
      <c r="N373" s="113">
        <f t="shared" si="22"/>
        <v>23915.403594135372</v>
      </c>
      <c r="O373" s="113">
        <f t="shared" si="23"/>
        <v>5357050.4050863236</v>
      </c>
    </row>
    <row r="374" spans="1:15" x14ac:dyDescent="0.25">
      <c r="A374" s="13">
        <v>44462</v>
      </c>
      <c r="B374" s="97">
        <v>231356</v>
      </c>
      <c r="C374" t="s">
        <v>85</v>
      </c>
      <c r="D374" t="s">
        <v>478</v>
      </c>
      <c r="E374" t="s">
        <v>1</v>
      </c>
      <c r="F374" t="s">
        <v>573</v>
      </c>
      <c r="G374" s="50" t="s">
        <v>574</v>
      </c>
      <c r="H374" s="50">
        <v>2</v>
      </c>
      <c r="I374" s="100">
        <v>6.7391919697301583</v>
      </c>
      <c r="J374" s="52">
        <v>3834.68</v>
      </c>
      <c r="K374" s="67">
        <f t="shared" si="24"/>
        <v>5978850.8985338435</v>
      </c>
      <c r="L374" s="95">
        <f>+VLOOKUP(E374,MARGEN!A:B,2,FALSE)</f>
        <v>0.1</v>
      </c>
      <c r="M374" s="112">
        <f t="shared" si="21"/>
        <v>597885.08985338442</v>
      </c>
      <c r="N374" s="113">
        <f t="shared" si="22"/>
        <v>23915.403594135372</v>
      </c>
      <c r="O374" s="113">
        <f t="shared" si="23"/>
        <v>5357050.4050863236</v>
      </c>
    </row>
    <row r="375" spans="1:15" x14ac:dyDescent="0.25">
      <c r="A375" s="13">
        <v>44463</v>
      </c>
      <c r="B375" s="97">
        <v>231356</v>
      </c>
      <c r="C375" t="s">
        <v>85</v>
      </c>
      <c r="D375" t="s">
        <v>478</v>
      </c>
      <c r="E375" t="s">
        <v>1</v>
      </c>
      <c r="F375" t="s">
        <v>573</v>
      </c>
      <c r="G375" s="50" t="s">
        <v>574</v>
      </c>
      <c r="H375" s="50">
        <v>2</v>
      </c>
      <c r="I375" s="100">
        <v>6.7391919697301583</v>
      </c>
      <c r="J375" s="52">
        <v>3834.68</v>
      </c>
      <c r="K375" s="67">
        <f t="shared" si="24"/>
        <v>5978850.8985338435</v>
      </c>
      <c r="L375" s="95">
        <f>+VLOOKUP(E375,MARGEN!A:B,2,FALSE)</f>
        <v>0.1</v>
      </c>
      <c r="M375" s="112">
        <f t="shared" si="21"/>
        <v>597885.08985338442</v>
      </c>
      <c r="N375" s="113">
        <f t="shared" si="22"/>
        <v>23915.403594135372</v>
      </c>
      <c r="O375" s="113">
        <f t="shared" si="23"/>
        <v>5357050.4050863236</v>
      </c>
    </row>
    <row r="376" spans="1:15" x14ac:dyDescent="0.25">
      <c r="A376" s="13">
        <v>44464</v>
      </c>
      <c r="B376" s="97">
        <v>231356</v>
      </c>
      <c r="C376" t="s">
        <v>85</v>
      </c>
      <c r="D376" t="s">
        <v>478</v>
      </c>
      <c r="E376" t="s">
        <v>1</v>
      </c>
      <c r="F376" t="s">
        <v>573</v>
      </c>
      <c r="G376" s="50" t="s">
        <v>574</v>
      </c>
      <c r="H376" s="50">
        <v>2</v>
      </c>
      <c r="I376" s="100">
        <v>6.7391919697301583</v>
      </c>
      <c r="J376" s="52">
        <v>3834.68</v>
      </c>
      <c r="K376" s="67">
        <f t="shared" si="24"/>
        <v>5978850.8985338435</v>
      </c>
      <c r="L376" s="95">
        <f>+VLOOKUP(E376,MARGEN!A:B,2,FALSE)</f>
        <v>0.1</v>
      </c>
      <c r="M376" s="112">
        <f t="shared" si="21"/>
        <v>597885.08985338442</v>
      </c>
      <c r="N376" s="113">
        <f t="shared" si="22"/>
        <v>23915.403594135372</v>
      </c>
      <c r="O376" s="113">
        <f t="shared" si="23"/>
        <v>5357050.4050863236</v>
      </c>
    </row>
    <row r="377" spans="1:15" x14ac:dyDescent="0.25">
      <c r="A377" s="43">
        <v>44465</v>
      </c>
      <c r="B377" s="51">
        <v>231356</v>
      </c>
      <c r="C377" s="66" t="s">
        <v>85</v>
      </c>
      <c r="D377" s="66" t="s">
        <v>478</v>
      </c>
      <c r="E377" t="s">
        <v>1</v>
      </c>
      <c r="F377" s="50" t="s">
        <v>573</v>
      </c>
      <c r="G377" s="50" t="s">
        <v>574</v>
      </c>
      <c r="H377" s="50">
        <v>2</v>
      </c>
      <c r="I377" s="100">
        <v>6.7391919697301583</v>
      </c>
      <c r="J377" s="52">
        <v>3834.68</v>
      </c>
      <c r="K377" s="67">
        <f t="shared" si="24"/>
        <v>5978850.8985338435</v>
      </c>
      <c r="L377" s="95">
        <f>+VLOOKUP(E377,MARGEN!A:B,2,FALSE)</f>
        <v>0.1</v>
      </c>
      <c r="M377" s="112">
        <f t="shared" si="21"/>
        <v>597885.08985338442</v>
      </c>
      <c r="N377" s="113">
        <f t="shared" si="22"/>
        <v>23915.403594135372</v>
      </c>
      <c r="O377" s="113">
        <f t="shared" si="23"/>
        <v>5357050.4050863236</v>
      </c>
    </row>
    <row r="378" spans="1:15" x14ac:dyDescent="0.25">
      <c r="A378" s="43">
        <v>44466</v>
      </c>
      <c r="B378" s="51">
        <v>231356</v>
      </c>
      <c r="C378" s="66" t="s">
        <v>85</v>
      </c>
      <c r="D378" s="66" t="s">
        <v>478</v>
      </c>
      <c r="E378" t="s">
        <v>1</v>
      </c>
      <c r="F378" s="50" t="s">
        <v>573</v>
      </c>
      <c r="G378" s="50" t="s">
        <v>574</v>
      </c>
      <c r="H378" s="50">
        <v>2</v>
      </c>
      <c r="I378" s="100">
        <v>6.7391919697301583</v>
      </c>
      <c r="J378" s="52">
        <v>3834.68</v>
      </c>
      <c r="K378" s="67">
        <f t="shared" si="24"/>
        <v>5978850.8985338435</v>
      </c>
      <c r="L378" s="95">
        <f>+VLOOKUP(E378,MARGEN!A:B,2,FALSE)</f>
        <v>0.1</v>
      </c>
      <c r="M378" s="112">
        <f t="shared" si="21"/>
        <v>597885.08985338442</v>
      </c>
      <c r="N378" s="113">
        <f t="shared" si="22"/>
        <v>23915.403594135372</v>
      </c>
      <c r="O378" s="113">
        <f t="shared" si="23"/>
        <v>5357050.4050863236</v>
      </c>
    </row>
    <row r="379" spans="1:15" x14ac:dyDescent="0.25">
      <c r="A379" s="43">
        <v>44467</v>
      </c>
      <c r="B379" s="51">
        <v>199532</v>
      </c>
      <c r="C379" s="66" t="s">
        <v>85</v>
      </c>
      <c r="D379" s="66" t="s">
        <v>478</v>
      </c>
      <c r="E379" t="s">
        <v>1</v>
      </c>
      <c r="F379" s="50" t="s">
        <v>573</v>
      </c>
      <c r="G379" s="50" t="s">
        <v>574</v>
      </c>
      <c r="H379" s="50">
        <v>2</v>
      </c>
      <c r="I379" s="100">
        <v>6.7391919697301583</v>
      </c>
      <c r="J379" s="52">
        <v>3834.68</v>
      </c>
      <c r="K379" s="67">
        <f t="shared" si="24"/>
        <v>5156434.5747949257</v>
      </c>
      <c r="L379" s="95">
        <f>+VLOOKUP(E379,MARGEN!A:B,2,FALSE)</f>
        <v>0.1</v>
      </c>
      <c r="M379" s="112">
        <f t="shared" si="21"/>
        <v>515643.45747949259</v>
      </c>
      <c r="N379" s="113">
        <f t="shared" si="22"/>
        <v>20625.738299179702</v>
      </c>
      <c r="O379" s="113">
        <f t="shared" si="23"/>
        <v>4620165.3790162532</v>
      </c>
    </row>
    <row r="380" spans="1:15" x14ac:dyDescent="0.25">
      <c r="A380" s="43">
        <v>44468</v>
      </c>
      <c r="B380" s="51">
        <v>231356</v>
      </c>
      <c r="C380" s="66" t="s">
        <v>85</v>
      </c>
      <c r="D380" s="66" t="s">
        <v>478</v>
      </c>
      <c r="E380" t="s">
        <v>1</v>
      </c>
      <c r="F380" s="50" t="s">
        <v>573</v>
      </c>
      <c r="G380" s="50" t="s">
        <v>574</v>
      </c>
      <c r="H380" s="50">
        <v>2</v>
      </c>
      <c r="I380" s="100">
        <v>6.7391919697301583</v>
      </c>
      <c r="J380" s="52">
        <v>3834.68</v>
      </c>
      <c r="K380" s="67">
        <f t="shared" si="24"/>
        <v>5978850.8985338435</v>
      </c>
      <c r="L380" s="95">
        <f>+VLOOKUP(E380,MARGEN!A:B,2,FALSE)</f>
        <v>0.1</v>
      </c>
      <c r="M380" s="112">
        <f t="shared" si="21"/>
        <v>597885.08985338442</v>
      </c>
      <c r="N380" s="113">
        <f t="shared" si="22"/>
        <v>23915.403594135372</v>
      </c>
      <c r="O380" s="113">
        <f t="shared" si="23"/>
        <v>5357050.4050863236</v>
      </c>
    </row>
    <row r="381" spans="1:15" x14ac:dyDescent="0.25">
      <c r="A381" s="43">
        <v>44469</v>
      </c>
      <c r="B381" s="51">
        <v>231356</v>
      </c>
      <c r="C381" s="66" t="s">
        <v>85</v>
      </c>
      <c r="D381" s="66" t="s">
        <v>478</v>
      </c>
      <c r="E381" t="s">
        <v>1</v>
      </c>
      <c r="F381" s="50" t="s">
        <v>573</v>
      </c>
      <c r="G381" s="50" t="s">
        <v>574</v>
      </c>
      <c r="H381" s="50">
        <v>2</v>
      </c>
      <c r="I381" s="100">
        <v>6.7391919697301583</v>
      </c>
      <c r="J381" s="52">
        <v>3834.68</v>
      </c>
      <c r="K381" s="67">
        <f t="shared" si="24"/>
        <v>5978850.8985338435</v>
      </c>
      <c r="L381" s="95">
        <f>+VLOOKUP(E381,MARGEN!A:B,2,FALSE)</f>
        <v>0.1</v>
      </c>
      <c r="M381" s="112">
        <f t="shared" si="21"/>
        <v>597885.08985338442</v>
      </c>
      <c r="N381" s="113">
        <f t="shared" si="22"/>
        <v>23915.403594135372</v>
      </c>
      <c r="O381" s="113">
        <f t="shared" si="23"/>
        <v>5357050.4050863236</v>
      </c>
    </row>
    <row r="382" spans="1:15" x14ac:dyDescent="0.25">
      <c r="A382" s="13">
        <v>44447</v>
      </c>
      <c r="B382" s="97">
        <v>14290</v>
      </c>
      <c r="C382" t="s">
        <v>262</v>
      </c>
      <c r="D382" s="94" t="s">
        <v>461</v>
      </c>
      <c r="E382" t="s">
        <v>39</v>
      </c>
      <c r="F382" t="s">
        <v>572</v>
      </c>
      <c r="G382" s="50" t="s">
        <v>243</v>
      </c>
      <c r="H382" s="50">
        <v>2</v>
      </c>
      <c r="I382" s="100">
        <v>6.7391919697301583</v>
      </c>
      <c r="J382" s="52">
        <v>3834.68</v>
      </c>
      <c r="K382" s="67">
        <f t="shared" si="24"/>
        <v>369291.39222690847</v>
      </c>
      <c r="L382" s="95">
        <f>+VLOOKUP(E382,MARGEN!A:B,2,FALSE)</f>
        <v>0.1</v>
      </c>
      <c r="M382" s="112">
        <f t="shared" si="21"/>
        <v>36929.13922269085</v>
      </c>
      <c r="N382" s="113">
        <f t="shared" si="22"/>
        <v>1477.165568907634</v>
      </c>
      <c r="O382" s="113">
        <f t="shared" si="23"/>
        <v>330885.08743531001</v>
      </c>
    </row>
    <row r="383" spans="1:15" x14ac:dyDescent="0.25">
      <c r="A383" s="13">
        <v>44447</v>
      </c>
      <c r="B383" s="97">
        <v>8679</v>
      </c>
      <c r="C383" t="s">
        <v>263</v>
      </c>
      <c r="D383" s="94" t="s">
        <v>459</v>
      </c>
      <c r="E383" t="s">
        <v>39</v>
      </c>
      <c r="F383" t="s">
        <v>572</v>
      </c>
      <c r="G383" s="50" t="s">
        <v>243</v>
      </c>
      <c r="H383" s="50">
        <v>2</v>
      </c>
      <c r="I383" s="100">
        <v>6.7391919697301583</v>
      </c>
      <c r="J383" s="52">
        <v>3834.68</v>
      </c>
      <c r="K383" s="67">
        <f t="shared" si="24"/>
        <v>224288.31302570595</v>
      </c>
      <c r="L383" s="95">
        <f>+VLOOKUP(E383,MARGEN!A:B,2,FALSE)</f>
        <v>0.1</v>
      </c>
      <c r="M383" s="112">
        <f t="shared" si="21"/>
        <v>22428.831302570597</v>
      </c>
      <c r="N383" s="113">
        <f t="shared" si="22"/>
        <v>897.15325210282379</v>
      </c>
      <c r="O383" s="113">
        <f t="shared" si="23"/>
        <v>200962.32847103255</v>
      </c>
    </row>
    <row r="384" spans="1:15" x14ac:dyDescent="0.25">
      <c r="A384" s="13">
        <v>44448</v>
      </c>
      <c r="B384" s="97">
        <v>14300</v>
      </c>
      <c r="C384" t="s">
        <v>262</v>
      </c>
      <c r="D384" s="94" t="s">
        <v>461</v>
      </c>
      <c r="E384" t="s">
        <v>39</v>
      </c>
      <c r="F384" t="s">
        <v>562</v>
      </c>
      <c r="G384" s="50" t="s">
        <v>559</v>
      </c>
      <c r="H384" s="50">
        <v>2</v>
      </c>
      <c r="I384" s="100">
        <v>6.7391919697301583</v>
      </c>
      <c r="J384" s="52">
        <v>3834.68</v>
      </c>
      <c r="K384" s="67">
        <f t="shared" si="24"/>
        <v>369549.81867353327</v>
      </c>
      <c r="L384" s="95">
        <f>+VLOOKUP(E384,MARGEN!A:B,2,FALSE)</f>
        <v>0.1</v>
      </c>
      <c r="M384" s="112">
        <f t="shared" si="21"/>
        <v>36954.98186735333</v>
      </c>
      <c r="N384" s="113">
        <f t="shared" si="22"/>
        <v>1478.199274694133</v>
      </c>
      <c r="O384" s="113">
        <f t="shared" si="23"/>
        <v>331116.63753148582</v>
      </c>
    </row>
    <row r="385" spans="1:15" x14ac:dyDescent="0.25">
      <c r="A385" s="13">
        <v>44448</v>
      </c>
      <c r="B385" s="97">
        <v>14300</v>
      </c>
      <c r="C385" t="s">
        <v>262</v>
      </c>
      <c r="D385" s="94" t="s">
        <v>461</v>
      </c>
      <c r="E385" t="s">
        <v>39</v>
      </c>
      <c r="F385" t="s">
        <v>562</v>
      </c>
      <c r="G385" s="50" t="s">
        <v>559</v>
      </c>
      <c r="H385" s="50">
        <v>2</v>
      </c>
      <c r="I385" s="100">
        <v>6.7391919697301583</v>
      </c>
      <c r="J385" s="52">
        <v>3834.68</v>
      </c>
      <c r="K385" s="67">
        <f t="shared" si="24"/>
        <v>369549.81867353327</v>
      </c>
      <c r="L385" s="95">
        <f>+VLOOKUP(E385,MARGEN!A:B,2,FALSE)</f>
        <v>0.1</v>
      </c>
      <c r="M385" s="112">
        <f t="shared" si="21"/>
        <v>36954.98186735333</v>
      </c>
      <c r="N385" s="113">
        <f t="shared" si="22"/>
        <v>1478.199274694133</v>
      </c>
      <c r="O385" s="113">
        <f t="shared" si="23"/>
        <v>331116.63753148582</v>
      </c>
    </row>
    <row r="386" spans="1:15" x14ac:dyDescent="0.25">
      <c r="A386" s="13">
        <v>44448</v>
      </c>
      <c r="B386" s="97">
        <v>8398</v>
      </c>
      <c r="C386" t="s">
        <v>263</v>
      </c>
      <c r="D386" s="94" t="s">
        <v>459</v>
      </c>
      <c r="E386" t="s">
        <v>39</v>
      </c>
      <c r="F386" t="s">
        <v>562</v>
      </c>
      <c r="G386" s="50" t="s">
        <v>574</v>
      </c>
      <c r="H386" s="50">
        <v>2</v>
      </c>
      <c r="I386" s="100">
        <v>6.7391919697301583</v>
      </c>
      <c r="J386" s="52">
        <v>3834.68</v>
      </c>
      <c r="K386" s="67">
        <f t="shared" si="24"/>
        <v>217026.52987554771</v>
      </c>
      <c r="L386" s="95">
        <f>+VLOOKUP(E386,MARGEN!A:B,2,FALSE)</f>
        <v>0.1</v>
      </c>
      <c r="M386" s="112">
        <f t="shared" si="21"/>
        <v>21702.652987554771</v>
      </c>
      <c r="N386" s="113">
        <f t="shared" si="22"/>
        <v>868.10611950219084</v>
      </c>
      <c r="O386" s="113">
        <f t="shared" si="23"/>
        <v>194455.77076849077</v>
      </c>
    </row>
    <row r="387" spans="1:15" x14ac:dyDescent="0.25">
      <c r="A387" s="13">
        <v>44449</v>
      </c>
      <c r="B387" s="97">
        <v>14300</v>
      </c>
      <c r="C387" t="s">
        <v>262</v>
      </c>
      <c r="D387" s="94" t="s">
        <v>461</v>
      </c>
      <c r="E387" t="s">
        <v>39</v>
      </c>
      <c r="F387" t="s">
        <v>562</v>
      </c>
      <c r="G387" s="50" t="s">
        <v>559</v>
      </c>
      <c r="H387" s="50">
        <v>2</v>
      </c>
      <c r="I387" s="100">
        <v>6.7391919697301583</v>
      </c>
      <c r="J387" s="52">
        <v>3834.68</v>
      </c>
      <c r="K387" s="67">
        <f t="shared" si="24"/>
        <v>369549.81867353327</v>
      </c>
      <c r="L387" s="95">
        <f>+VLOOKUP(E387,MARGEN!A:B,2,FALSE)</f>
        <v>0.1</v>
      </c>
      <c r="M387" s="112">
        <f t="shared" ref="M387:M450" si="25">+K387*L387</f>
        <v>36954.98186735333</v>
      </c>
      <c r="N387" s="113">
        <f t="shared" ref="N387:N450" si="26">+K387*4/1000</f>
        <v>1478.199274694133</v>
      </c>
      <c r="O387" s="113">
        <f t="shared" ref="O387:O450" si="27">+K387-M387-N387</f>
        <v>331116.63753148582</v>
      </c>
    </row>
    <row r="388" spans="1:15" x14ac:dyDescent="0.25">
      <c r="A388" s="13">
        <v>44449</v>
      </c>
      <c r="B388" s="97">
        <v>13078</v>
      </c>
      <c r="C388" t="s">
        <v>262</v>
      </c>
      <c r="D388" s="94" t="s">
        <v>461</v>
      </c>
      <c r="E388" t="s">
        <v>39</v>
      </c>
      <c r="F388" t="s">
        <v>566</v>
      </c>
      <c r="G388" s="50" t="s">
        <v>559</v>
      </c>
      <c r="H388" s="50">
        <v>2</v>
      </c>
      <c r="I388" s="100">
        <v>6.7391919697301583</v>
      </c>
      <c r="J388" s="52">
        <v>3834.68</v>
      </c>
      <c r="K388" s="67">
        <f t="shared" si="24"/>
        <v>337970.1068959767</v>
      </c>
      <c r="L388" s="95">
        <f>+VLOOKUP(E388,MARGEN!A:B,2,FALSE)</f>
        <v>0.1</v>
      </c>
      <c r="M388" s="112">
        <f t="shared" si="25"/>
        <v>33797.010689597671</v>
      </c>
      <c r="N388" s="113">
        <f t="shared" si="26"/>
        <v>1351.8804275839068</v>
      </c>
      <c r="O388" s="113">
        <f t="shared" si="27"/>
        <v>302821.21577879507</v>
      </c>
    </row>
    <row r="389" spans="1:15" x14ac:dyDescent="0.25">
      <c r="A389" s="13">
        <v>44450</v>
      </c>
      <c r="B389" s="97">
        <v>11782</v>
      </c>
      <c r="C389" t="s">
        <v>262</v>
      </c>
      <c r="D389" s="94" t="s">
        <v>461</v>
      </c>
      <c r="E389" t="s">
        <v>39</v>
      </c>
      <c r="F389" t="s">
        <v>566</v>
      </c>
      <c r="G389" s="50" t="s">
        <v>559</v>
      </c>
      <c r="H389" s="50">
        <v>2</v>
      </c>
      <c r="I389" s="100">
        <v>6.7391919697301583</v>
      </c>
      <c r="J389" s="52">
        <v>3834.68</v>
      </c>
      <c r="K389" s="67">
        <f t="shared" si="24"/>
        <v>304478.03941339644</v>
      </c>
      <c r="L389" s="95">
        <f>+VLOOKUP(E389,MARGEN!A:B,2,FALSE)</f>
        <v>0.1</v>
      </c>
      <c r="M389" s="112">
        <f t="shared" si="25"/>
        <v>30447.803941339647</v>
      </c>
      <c r="N389" s="113">
        <f t="shared" si="26"/>
        <v>1217.9121576535858</v>
      </c>
      <c r="O389" s="113">
        <f t="shared" si="27"/>
        <v>272812.32331440318</v>
      </c>
    </row>
    <row r="390" spans="1:15" x14ac:dyDescent="0.25">
      <c r="A390" s="13">
        <v>44451</v>
      </c>
      <c r="B390" s="97">
        <v>14300</v>
      </c>
      <c r="C390" t="s">
        <v>262</v>
      </c>
      <c r="D390" s="94" t="s">
        <v>461</v>
      </c>
      <c r="E390" t="s">
        <v>39</v>
      </c>
      <c r="F390" t="s">
        <v>562</v>
      </c>
      <c r="G390" s="50" t="s">
        <v>559</v>
      </c>
      <c r="H390" s="50">
        <v>2</v>
      </c>
      <c r="I390" s="100">
        <v>6.7391919697301583</v>
      </c>
      <c r="J390" s="52">
        <v>3834.68</v>
      </c>
      <c r="K390" s="67">
        <f t="shared" si="24"/>
        <v>369549.81867353327</v>
      </c>
      <c r="L390" s="95">
        <f>+VLOOKUP(E390,MARGEN!A:B,2,FALSE)</f>
        <v>0.1</v>
      </c>
      <c r="M390" s="112">
        <f t="shared" si="25"/>
        <v>36954.98186735333</v>
      </c>
      <c r="N390" s="113">
        <f t="shared" si="26"/>
        <v>1478.199274694133</v>
      </c>
      <c r="O390" s="113">
        <f t="shared" si="27"/>
        <v>331116.63753148582</v>
      </c>
    </row>
    <row r="391" spans="1:15" x14ac:dyDescent="0.25">
      <c r="A391" s="13">
        <v>44452</v>
      </c>
      <c r="B391" s="97">
        <v>14301</v>
      </c>
      <c r="C391" t="s">
        <v>262</v>
      </c>
      <c r="D391" s="94" t="s">
        <v>461</v>
      </c>
      <c r="E391" t="s">
        <v>39</v>
      </c>
      <c r="F391" t="s">
        <v>566</v>
      </c>
      <c r="G391" s="50" t="s">
        <v>559</v>
      </c>
      <c r="H391" s="50">
        <v>2</v>
      </c>
      <c r="I391" s="100">
        <v>6.7391919697301583</v>
      </c>
      <c r="J391" s="52">
        <v>3834.68</v>
      </c>
      <c r="K391" s="67">
        <f t="shared" si="24"/>
        <v>369575.66131819569</v>
      </c>
      <c r="L391" s="95">
        <f>+VLOOKUP(E391,MARGEN!A:B,2,FALSE)</f>
        <v>0.1</v>
      </c>
      <c r="M391" s="112">
        <f t="shared" si="25"/>
        <v>36957.566131819571</v>
      </c>
      <c r="N391" s="113">
        <f t="shared" si="26"/>
        <v>1478.3026452727827</v>
      </c>
      <c r="O391" s="113">
        <f t="shared" si="27"/>
        <v>331139.79254110332</v>
      </c>
    </row>
    <row r="392" spans="1:15" x14ac:dyDescent="0.25">
      <c r="A392" s="13">
        <v>44453</v>
      </c>
      <c r="B392" s="97">
        <v>14301</v>
      </c>
      <c r="C392" t="s">
        <v>262</v>
      </c>
      <c r="D392" s="94" t="s">
        <v>461</v>
      </c>
      <c r="E392" t="s">
        <v>39</v>
      </c>
      <c r="F392" t="s">
        <v>551</v>
      </c>
      <c r="G392" s="50" t="s">
        <v>205</v>
      </c>
      <c r="H392" s="50">
        <v>2</v>
      </c>
      <c r="I392" s="100">
        <v>6.7391919697301583</v>
      </c>
      <c r="J392" s="52">
        <v>3834.68</v>
      </c>
      <c r="K392" s="67">
        <f t="shared" si="24"/>
        <v>369575.66131819569</v>
      </c>
      <c r="L392" s="95">
        <f>+VLOOKUP(E392,MARGEN!A:B,2,FALSE)</f>
        <v>0.1</v>
      </c>
      <c r="M392" s="112">
        <f t="shared" si="25"/>
        <v>36957.566131819571</v>
      </c>
      <c r="N392" s="113">
        <f t="shared" si="26"/>
        <v>1478.3026452727827</v>
      </c>
      <c r="O392" s="113">
        <f t="shared" si="27"/>
        <v>331139.79254110332</v>
      </c>
    </row>
    <row r="393" spans="1:15" x14ac:dyDescent="0.25">
      <c r="A393" s="13">
        <v>44455</v>
      </c>
      <c r="B393" s="97">
        <v>14302</v>
      </c>
      <c r="C393" t="s">
        <v>262</v>
      </c>
      <c r="D393" s="94" t="s">
        <v>461</v>
      </c>
      <c r="E393" t="s">
        <v>39</v>
      </c>
      <c r="F393" t="s">
        <v>558</v>
      </c>
      <c r="G393" s="50" t="s">
        <v>559</v>
      </c>
      <c r="H393" s="50">
        <v>2</v>
      </c>
      <c r="I393" s="100">
        <v>6.7391919697301583</v>
      </c>
      <c r="J393" s="52">
        <v>3834.68</v>
      </c>
      <c r="K393" s="67">
        <f t="shared" ref="K393:K456" si="28">+B393*I393*J393/1000</f>
        <v>369601.50396285817</v>
      </c>
      <c r="L393" s="95">
        <f>+VLOOKUP(E393,MARGEN!A:B,2,FALSE)</f>
        <v>0.1</v>
      </c>
      <c r="M393" s="112">
        <f t="shared" si="25"/>
        <v>36960.150396285819</v>
      </c>
      <c r="N393" s="113">
        <f t="shared" si="26"/>
        <v>1478.4060158514326</v>
      </c>
      <c r="O393" s="113">
        <f t="shared" si="27"/>
        <v>331162.94755072094</v>
      </c>
    </row>
    <row r="394" spans="1:15" x14ac:dyDescent="0.25">
      <c r="A394" s="13">
        <v>44456</v>
      </c>
      <c r="B394" s="97">
        <v>14302</v>
      </c>
      <c r="C394" t="s">
        <v>262</v>
      </c>
      <c r="D394" s="94" t="s">
        <v>461</v>
      </c>
      <c r="E394" t="s">
        <v>39</v>
      </c>
      <c r="F394" t="s">
        <v>558</v>
      </c>
      <c r="G394" s="50" t="s">
        <v>559</v>
      </c>
      <c r="H394" s="50">
        <v>2</v>
      </c>
      <c r="I394" s="100">
        <v>6.7391919697301583</v>
      </c>
      <c r="J394" s="52">
        <v>3834.68</v>
      </c>
      <c r="K394" s="67">
        <f t="shared" si="28"/>
        <v>369601.50396285817</v>
      </c>
      <c r="L394" s="95">
        <f>+VLOOKUP(E394,MARGEN!A:B,2,FALSE)</f>
        <v>0.1</v>
      </c>
      <c r="M394" s="112">
        <f t="shared" si="25"/>
        <v>36960.150396285819</v>
      </c>
      <c r="N394" s="113">
        <f t="shared" si="26"/>
        <v>1478.4060158514326</v>
      </c>
      <c r="O394" s="113">
        <f t="shared" si="27"/>
        <v>331162.94755072094</v>
      </c>
    </row>
    <row r="395" spans="1:15" x14ac:dyDescent="0.25">
      <c r="A395" s="13">
        <v>44457</v>
      </c>
      <c r="B395" s="97">
        <v>13078</v>
      </c>
      <c r="C395" t="s">
        <v>262</v>
      </c>
      <c r="D395" s="94" t="s">
        <v>461</v>
      </c>
      <c r="E395" t="s">
        <v>39</v>
      </c>
      <c r="F395" t="s">
        <v>566</v>
      </c>
      <c r="G395" s="50" t="s">
        <v>559</v>
      </c>
      <c r="H395" s="50">
        <v>2</v>
      </c>
      <c r="I395" s="100">
        <v>6.7391919697301583</v>
      </c>
      <c r="J395" s="52">
        <v>3834.68</v>
      </c>
      <c r="K395" s="67">
        <f t="shared" si="28"/>
        <v>337970.1068959767</v>
      </c>
      <c r="L395" s="95">
        <f>+VLOOKUP(E395,MARGEN!A:B,2,FALSE)</f>
        <v>0.1</v>
      </c>
      <c r="M395" s="112">
        <f t="shared" si="25"/>
        <v>33797.010689597671</v>
      </c>
      <c r="N395" s="113">
        <f t="shared" si="26"/>
        <v>1351.8804275839068</v>
      </c>
      <c r="O395" s="113">
        <f t="shared" si="27"/>
        <v>302821.21577879507</v>
      </c>
    </row>
    <row r="396" spans="1:15" x14ac:dyDescent="0.25">
      <c r="A396" s="13">
        <v>44440</v>
      </c>
      <c r="B396" s="97">
        <v>9862</v>
      </c>
      <c r="C396" t="s">
        <v>264</v>
      </c>
      <c r="D396" s="94" t="s">
        <v>503</v>
      </c>
      <c r="E396" t="s">
        <v>253</v>
      </c>
      <c r="F396" t="s">
        <v>558</v>
      </c>
      <c r="G396" s="50" t="s">
        <v>559</v>
      </c>
      <c r="H396" s="50">
        <v>2</v>
      </c>
      <c r="I396" s="100">
        <v>6.7391919697301583</v>
      </c>
      <c r="J396" s="52">
        <v>3834.68</v>
      </c>
      <c r="K396" s="67">
        <f t="shared" si="28"/>
        <v>254860.16166142552</v>
      </c>
      <c r="L396" s="95">
        <f>+VLOOKUP(E396,MARGEN!A:B,2,FALSE)</f>
        <v>0.1</v>
      </c>
      <c r="M396" s="112">
        <f t="shared" si="25"/>
        <v>25486.016166142552</v>
      </c>
      <c r="N396" s="113">
        <f t="shared" si="26"/>
        <v>1019.440646645702</v>
      </c>
      <c r="O396" s="113">
        <f t="shared" si="27"/>
        <v>228354.70484863725</v>
      </c>
    </row>
    <row r="397" spans="1:15" x14ac:dyDescent="0.25">
      <c r="A397" s="13">
        <v>44441</v>
      </c>
      <c r="B397" s="97">
        <v>9862</v>
      </c>
      <c r="C397" t="s">
        <v>264</v>
      </c>
      <c r="D397" s="94" t="s">
        <v>503</v>
      </c>
      <c r="E397" t="s">
        <v>253</v>
      </c>
      <c r="F397" t="s">
        <v>558</v>
      </c>
      <c r="G397" s="50" t="s">
        <v>559</v>
      </c>
      <c r="H397" s="50">
        <v>2</v>
      </c>
      <c r="I397" s="100">
        <v>6.7391919697301583</v>
      </c>
      <c r="J397" s="52">
        <v>3834.68</v>
      </c>
      <c r="K397" s="67">
        <f t="shared" si="28"/>
        <v>254860.16166142552</v>
      </c>
      <c r="L397" s="95">
        <f>+VLOOKUP(E397,MARGEN!A:B,2,FALSE)</f>
        <v>0.1</v>
      </c>
      <c r="M397" s="112">
        <f t="shared" si="25"/>
        <v>25486.016166142552</v>
      </c>
      <c r="N397" s="113">
        <f t="shared" si="26"/>
        <v>1019.440646645702</v>
      </c>
      <c r="O397" s="113">
        <f t="shared" si="27"/>
        <v>228354.70484863725</v>
      </c>
    </row>
    <row r="398" spans="1:15" x14ac:dyDescent="0.25">
      <c r="A398" s="13">
        <v>44442</v>
      </c>
      <c r="B398" s="97">
        <v>9862</v>
      </c>
      <c r="C398" t="s">
        <v>264</v>
      </c>
      <c r="D398" s="94" t="s">
        <v>503</v>
      </c>
      <c r="E398" t="s">
        <v>253</v>
      </c>
      <c r="F398" t="s">
        <v>558</v>
      </c>
      <c r="G398" s="50" t="s">
        <v>559</v>
      </c>
      <c r="H398" s="50">
        <v>2</v>
      </c>
      <c r="I398" s="100">
        <v>6.7391919697301583</v>
      </c>
      <c r="J398" s="52">
        <v>3834.68</v>
      </c>
      <c r="K398" s="67">
        <f t="shared" si="28"/>
        <v>254860.16166142552</v>
      </c>
      <c r="L398" s="95">
        <f>+VLOOKUP(E398,MARGEN!A:B,2,FALSE)</f>
        <v>0.1</v>
      </c>
      <c r="M398" s="112">
        <f t="shared" si="25"/>
        <v>25486.016166142552</v>
      </c>
      <c r="N398" s="113">
        <f t="shared" si="26"/>
        <v>1019.440646645702</v>
      </c>
      <c r="O398" s="113">
        <f t="shared" si="27"/>
        <v>228354.70484863725</v>
      </c>
    </row>
    <row r="399" spans="1:15" x14ac:dyDescent="0.25">
      <c r="A399" s="13">
        <v>44443</v>
      </c>
      <c r="B399" s="97">
        <v>9862</v>
      </c>
      <c r="C399" t="s">
        <v>264</v>
      </c>
      <c r="D399" s="94" t="s">
        <v>503</v>
      </c>
      <c r="E399" t="s">
        <v>253</v>
      </c>
      <c r="F399" t="s">
        <v>551</v>
      </c>
      <c r="G399" s="50" t="s">
        <v>205</v>
      </c>
      <c r="H399" s="50">
        <v>2</v>
      </c>
      <c r="I399" s="100">
        <v>6.7391919697301583</v>
      </c>
      <c r="J399" s="52">
        <v>3834.68</v>
      </c>
      <c r="K399" s="67">
        <f t="shared" si="28"/>
        <v>254860.16166142552</v>
      </c>
      <c r="L399" s="95">
        <f>+VLOOKUP(E399,MARGEN!A:B,2,FALSE)</f>
        <v>0.1</v>
      </c>
      <c r="M399" s="112">
        <f t="shared" si="25"/>
        <v>25486.016166142552</v>
      </c>
      <c r="N399" s="113">
        <f t="shared" si="26"/>
        <v>1019.440646645702</v>
      </c>
      <c r="O399" s="113">
        <f t="shared" si="27"/>
        <v>228354.70484863725</v>
      </c>
    </row>
    <row r="400" spans="1:15" x14ac:dyDescent="0.25">
      <c r="A400" s="13">
        <v>44444</v>
      </c>
      <c r="B400" s="97">
        <v>9862</v>
      </c>
      <c r="C400" s="88" t="s">
        <v>264</v>
      </c>
      <c r="D400" t="s">
        <v>503</v>
      </c>
      <c r="E400" t="s">
        <v>253</v>
      </c>
      <c r="F400" t="s">
        <v>566</v>
      </c>
      <c r="G400" s="50" t="s">
        <v>559</v>
      </c>
      <c r="H400" s="50">
        <v>2</v>
      </c>
      <c r="I400" s="100">
        <v>6.7391919697301583</v>
      </c>
      <c r="J400" s="52">
        <v>3834.68</v>
      </c>
      <c r="K400" s="67">
        <f t="shared" si="28"/>
        <v>254860.16166142552</v>
      </c>
      <c r="L400" s="95">
        <f>+VLOOKUP(E400,MARGEN!A:B,2,FALSE)</f>
        <v>0.1</v>
      </c>
      <c r="M400" s="112">
        <f t="shared" si="25"/>
        <v>25486.016166142552</v>
      </c>
      <c r="N400" s="113">
        <f t="shared" si="26"/>
        <v>1019.440646645702</v>
      </c>
      <c r="O400" s="113">
        <f t="shared" si="27"/>
        <v>228354.70484863725</v>
      </c>
    </row>
    <row r="401" spans="1:15" x14ac:dyDescent="0.25">
      <c r="A401" s="13">
        <v>44445</v>
      </c>
      <c r="B401" s="97">
        <v>9862</v>
      </c>
      <c r="C401" t="s">
        <v>264</v>
      </c>
      <c r="D401" s="94" t="s">
        <v>503</v>
      </c>
      <c r="E401" t="s">
        <v>253</v>
      </c>
      <c r="F401" t="s">
        <v>566</v>
      </c>
      <c r="G401" s="50" t="s">
        <v>559</v>
      </c>
      <c r="H401" s="50">
        <v>2</v>
      </c>
      <c r="I401" s="100">
        <v>6.7391919697301583</v>
      </c>
      <c r="J401" s="52">
        <v>3834.68</v>
      </c>
      <c r="K401" s="67">
        <f t="shared" si="28"/>
        <v>254860.16166142552</v>
      </c>
      <c r="L401" s="95">
        <f>+VLOOKUP(E401,MARGEN!A:B,2,FALSE)</f>
        <v>0.1</v>
      </c>
      <c r="M401" s="112">
        <f t="shared" si="25"/>
        <v>25486.016166142552</v>
      </c>
      <c r="N401" s="113">
        <f t="shared" si="26"/>
        <v>1019.440646645702</v>
      </c>
      <c r="O401" s="113">
        <f t="shared" si="27"/>
        <v>228354.70484863725</v>
      </c>
    </row>
    <row r="402" spans="1:15" x14ac:dyDescent="0.25">
      <c r="A402" s="13">
        <v>44446</v>
      </c>
      <c r="B402" s="97">
        <v>9862</v>
      </c>
      <c r="C402" t="s">
        <v>264</v>
      </c>
      <c r="D402" s="94" t="s">
        <v>503</v>
      </c>
      <c r="E402" t="s">
        <v>253</v>
      </c>
      <c r="F402" t="s">
        <v>566</v>
      </c>
      <c r="G402" s="50" t="s">
        <v>559</v>
      </c>
      <c r="H402" s="50">
        <v>2</v>
      </c>
      <c r="I402" s="100">
        <v>6.7391919697301583</v>
      </c>
      <c r="J402" s="52">
        <v>3834.68</v>
      </c>
      <c r="K402" s="67">
        <f t="shared" si="28"/>
        <v>254860.16166142552</v>
      </c>
      <c r="L402" s="95">
        <f>+VLOOKUP(E402,MARGEN!A:B,2,FALSE)</f>
        <v>0.1</v>
      </c>
      <c r="M402" s="112">
        <f t="shared" si="25"/>
        <v>25486.016166142552</v>
      </c>
      <c r="N402" s="113">
        <f t="shared" si="26"/>
        <v>1019.440646645702</v>
      </c>
      <c r="O402" s="113">
        <f t="shared" si="27"/>
        <v>228354.70484863725</v>
      </c>
    </row>
    <row r="403" spans="1:15" x14ac:dyDescent="0.25">
      <c r="A403" s="13">
        <v>44447</v>
      </c>
      <c r="B403" s="97">
        <v>9862</v>
      </c>
      <c r="C403" t="s">
        <v>264</v>
      </c>
      <c r="D403" s="94" t="s">
        <v>503</v>
      </c>
      <c r="E403" t="s">
        <v>253</v>
      </c>
      <c r="F403" t="s">
        <v>566</v>
      </c>
      <c r="G403" s="50" t="s">
        <v>559</v>
      </c>
      <c r="H403" s="50">
        <v>2</v>
      </c>
      <c r="I403" s="100">
        <v>6.7391919697301583</v>
      </c>
      <c r="J403" s="52">
        <v>3834.68</v>
      </c>
      <c r="K403" s="67">
        <f t="shared" si="28"/>
        <v>254860.16166142552</v>
      </c>
      <c r="L403" s="95">
        <f>+VLOOKUP(E403,MARGEN!A:B,2,FALSE)</f>
        <v>0.1</v>
      </c>
      <c r="M403" s="112">
        <f t="shared" si="25"/>
        <v>25486.016166142552</v>
      </c>
      <c r="N403" s="113">
        <f t="shared" si="26"/>
        <v>1019.440646645702</v>
      </c>
      <c r="O403" s="113">
        <f t="shared" si="27"/>
        <v>228354.70484863725</v>
      </c>
    </row>
    <row r="404" spans="1:15" x14ac:dyDescent="0.25">
      <c r="A404" s="13">
        <v>44448</v>
      </c>
      <c r="B404" s="97">
        <v>9862</v>
      </c>
      <c r="C404" t="s">
        <v>264</v>
      </c>
      <c r="D404" s="94" t="s">
        <v>503</v>
      </c>
      <c r="E404" t="s">
        <v>253</v>
      </c>
      <c r="F404" t="s">
        <v>558</v>
      </c>
      <c r="G404" s="50" t="s">
        <v>574</v>
      </c>
      <c r="H404" s="50">
        <v>2</v>
      </c>
      <c r="I404" s="100">
        <v>6.7391919697301583</v>
      </c>
      <c r="J404" s="52">
        <v>3834.68</v>
      </c>
      <c r="K404" s="67">
        <f t="shared" si="28"/>
        <v>254860.16166142552</v>
      </c>
      <c r="L404" s="95">
        <f>+VLOOKUP(E404,MARGEN!A:B,2,FALSE)</f>
        <v>0.1</v>
      </c>
      <c r="M404" s="112">
        <f t="shared" si="25"/>
        <v>25486.016166142552</v>
      </c>
      <c r="N404" s="113">
        <f t="shared" si="26"/>
        <v>1019.440646645702</v>
      </c>
      <c r="O404" s="113">
        <f t="shared" si="27"/>
        <v>228354.70484863725</v>
      </c>
    </row>
    <row r="405" spans="1:15" x14ac:dyDescent="0.25">
      <c r="A405" s="13">
        <v>44461</v>
      </c>
      <c r="B405" s="97">
        <v>9862</v>
      </c>
      <c r="C405" t="s">
        <v>264</v>
      </c>
      <c r="D405" t="s">
        <v>503</v>
      </c>
      <c r="E405" t="s">
        <v>253</v>
      </c>
      <c r="F405" t="s">
        <v>558</v>
      </c>
      <c r="G405" s="50" t="s">
        <v>574</v>
      </c>
      <c r="H405" s="50">
        <v>2</v>
      </c>
      <c r="I405" s="100">
        <v>6.7391919697301583</v>
      </c>
      <c r="J405" s="52">
        <v>3834.68</v>
      </c>
      <c r="K405" s="67">
        <f t="shared" si="28"/>
        <v>254860.16166142552</v>
      </c>
      <c r="L405" s="95">
        <f>+VLOOKUP(E405,MARGEN!A:B,2,FALSE)</f>
        <v>0.1</v>
      </c>
      <c r="M405" s="112">
        <f t="shared" si="25"/>
        <v>25486.016166142552</v>
      </c>
      <c r="N405" s="113">
        <f t="shared" si="26"/>
        <v>1019.440646645702</v>
      </c>
      <c r="O405" s="113">
        <f t="shared" si="27"/>
        <v>228354.70484863725</v>
      </c>
    </row>
    <row r="406" spans="1:15" x14ac:dyDescent="0.25">
      <c r="A406" s="13">
        <v>44462</v>
      </c>
      <c r="B406" s="97">
        <v>9862</v>
      </c>
      <c r="C406" t="s">
        <v>264</v>
      </c>
      <c r="D406" t="s">
        <v>503</v>
      </c>
      <c r="E406" t="s">
        <v>253</v>
      </c>
      <c r="F406" t="s">
        <v>558</v>
      </c>
      <c r="G406" s="50" t="s">
        <v>574</v>
      </c>
      <c r="H406" s="50">
        <v>2</v>
      </c>
      <c r="I406" s="100">
        <v>6.7391919697301583</v>
      </c>
      <c r="J406" s="52">
        <v>3834.68</v>
      </c>
      <c r="K406" s="67">
        <f t="shared" si="28"/>
        <v>254860.16166142552</v>
      </c>
      <c r="L406" s="95">
        <f>+VLOOKUP(E406,MARGEN!A:B,2,FALSE)</f>
        <v>0.1</v>
      </c>
      <c r="M406" s="112">
        <f t="shared" si="25"/>
        <v>25486.016166142552</v>
      </c>
      <c r="N406" s="113">
        <f t="shared" si="26"/>
        <v>1019.440646645702</v>
      </c>
      <c r="O406" s="113">
        <f t="shared" si="27"/>
        <v>228354.70484863725</v>
      </c>
    </row>
    <row r="407" spans="1:15" x14ac:dyDescent="0.25">
      <c r="A407" s="13">
        <v>44463</v>
      </c>
      <c r="B407" s="97">
        <v>9862</v>
      </c>
      <c r="C407" t="s">
        <v>264</v>
      </c>
      <c r="D407" t="s">
        <v>503</v>
      </c>
      <c r="E407" t="s">
        <v>253</v>
      </c>
      <c r="F407" t="s">
        <v>558</v>
      </c>
      <c r="G407" s="50" t="s">
        <v>574</v>
      </c>
      <c r="H407" s="50">
        <v>2</v>
      </c>
      <c r="I407" s="100">
        <v>6.7391919697301583</v>
      </c>
      <c r="J407" s="52">
        <v>3834.68</v>
      </c>
      <c r="K407" s="67">
        <f t="shared" si="28"/>
        <v>254860.16166142552</v>
      </c>
      <c r="L407" s="95">
        <f>+VLOOKUP(E407,MARGEN!A:B,2,FALSE)</f>
        <v>0.1</v>
      </c>
      <c r="M407" s="112">
        <f t="shared" si="25"/>
        <v>25486.016166142552</v>
      </c>
      <c r="N407" s="113">
        <f t="shared" si="26"/>
        <v>1019.440646645702</v>
      </c>
      <c r="O407" s="113">
        <f t="shared" si="27"/>
        <v>228354.70484863725</v>
      </c>
    </row>
    <row r="408" spans="1:15" x14ac:dyDescent="0.25">
      <c r="A408" s="13">
        <v>44464</v>
      </c>
      <c r="B408" s="97">
        <v>9861</v>
      </c>
      <c r="C408" t="s">
        <v>264</v>
      </c>
      <c r="D408" t="s">
        <v>503</v>
      </c>
      <c r="E408" t="s">
        <v>253</v>
      </c>
      <c r="F408" t="s">
        <v>562</v>
      </c>
      <c r="G408" s="50" t="s">
        <v>574</v>
      </c>
      <c r="H408" s="50">
        <v>2</v>
      </c>
      <c r="I408" s="100">
        <v>6.7391919697301583</v>
      </c>
      <c r="J408" s="52">
        <v>3834.68</v>
      </c>
      <c r="K408" s="67">
        <f t="shared" si="28"/>
        <v>254834.31901676301</v>
      </c>
      <c r="L408" s="95">
        <f>+VLOOKUP(E408,MARGEN!A:B,2,FALSE)</f>
        <v>0.1</v>
      </c>
      <c r="M408" s="112">
        <f t="shared" si="25"/>
        <v>25483.431901676304</v>
      </c>
      <c r="N408" s="113">
        <f t="shared" si="26"/>
        <v>1019.337276067052</v>
      </c>
      <c r="O408" s="113">
        <f t="shared" si="27"/>
        <v>228331.54983901966</v>
      </c>
    </row>
    <row r="409" spans="1:15" x14ac:dyDescent="0.25">
      <c r="A409" s="13">
        <v>44465</v>
      </c>
      <c r="B409" s="97">
        <v>9861</v>
      </c>
      <c r="C409" t="s">
        <v>264</v>
      </c>
      <c r="D409" t="s">
        <v>503</v>
      </c>
      <c r="E409" t="s">
        <v>253</v>
      </c>
      <c r="F409" t="s">
        <v>562</v>
      </c>
      <c r="G409" s="50" t="s">
        <v>574</v>
      </c>
      <c r="H409" s="50">
        <v>2</v>
      </c>
      <c r="I409" s="100">
        <v>6.7391919697301583</v>
      </c>
      <c r="J409" s="52">
        <v>3834.68</v>
      </c>
      <c r="K409" s="67">
        <f t="shared" si="28"/>
        <v>254834.31901676301</v>
      </c>
      <c r="L409" s="95">
        <f>+VLOOKUP(E409,MARGEN!A:B,2,FALSE)</f>
        <v>0.1</v>
      </c>
      <c r="M409" s="112">
        <f t="shared" si="25"/>
        <v>25483.431901676304</v>
      </c>
      <c r="N409" s="113">
        <f t="shared" si="26"/>
        <v>1019.337276067052</v>
      </c>
      <c r="O409" s="113">
        <f t="shared" si="27"/>
        <v>228331.54983901966</v>
      </c>
    </row>
    <row r="410" spans="1:15" x14ac:dyDescent="0.25">
      <c r="A410" s="43">
        <v>44466</v>
      </c>
      <c r="B410" s="51">
        <v>9863</v>
      </c>
      <c r="C410" s="66" t="s">
        <v>264</v>
      </c>
      <c r="D410" s="66" t="s">
        <v>503</v>
      </c>
      <c r="E410" t="s">
        <v>253</v>
      </c>
      <c r="F410" s="50" t="s">
        <v>573</v>
      </c>
      <c r="G410" s="50" t="s">
        <v>574</v>
      </c>
      <c r="H410" s="50">
        <v>2</v>
      </c>
      <c r="I410" s="100">
        <v>6.7391919697301583</v>
      </c>
      <c r="J410" s="52">
        <v>3834.68</v>
      </c>
      <c r="K410" s="67">
        <f t="shared" si="28"/>
        <v>254886.004306088</v>
      </c>
      <c r="L410" s="95">
        <f>+VLOOKUP(E410,MARGEN!A:B,2,FALSE)</f>
        <v>0.1</v>
      </c>
      <c r="M410" s="112">
        <f t="shared" si="25"/>
        <v>25488.6004306088</v>
      </c>
      <c r="N410" s="113">
        <f t="shared" si="26"/>
        <v>1019.544017224352</v>
      </c>
      <c r="O410" s="113">
        <f t="shared" si="27"/>
        <v>228377.85985825484</v>
      </c>
    </row>
    <row r="411" spans="1:15" x14ac:dyDescent="0.25">
      <c r="A411" s="43">
        <v>44467</v>
      </c>
      <c r="B411" s="51">
        <v>9863</v>
      </c>
      <c r="C411" s="66" t="s">
        <v>264</v>
      </c>
      <c r="D411" s="66" t="s">
        <v>503</v>
      </c>
      <c r="E411" t="s">
        <v>253</v>
      </c>
      <c r="F411" s="50" t="s">
        <v>573</v>
      </c>
      <c r="G411" s="50" t="s">
        <v>574</v>
      </c>
      <c r="H411" s="50">
        <v>2</v>
      </c>
      <c r="I411" s="100">
        <v>6.7391919697301583</v>
      </c>
      <c r="J411" s="52">
        <v>3834.68</v>
      </c>
      <c r="K411" s="67">
        <f t="shared" si="28"/>
        <v>254886.004306088</v>
      </c>
      <c r="L411" s="95">
        <f>+VLOOKUP(E411,MARGEN!A:B,2,FALSE)</f>
        <v>0.1</v>
      </c>
      <c r="M411" s="112">
        <f t="shared" si="25"/>
        <v>25488.6004306088</v>
      </c>
      <c r="N411" s="113">
        <f t="shared" si="26"/>
        <v>1019.544017224352</v>
      </c>
      <c r="O411" s="113">
        <f t="shared" si="27"/>
        <v>228377.85985825484</v>
      </c>
    </row>
    <row r="412" spans="1:15" x14ac:dyDescent="0.25">
      <c r="A412" s="43">
        <v>44468</v>
      </c>
      <c r="B412" s="51">
        <v>9863</v>
      </c>
      <c r="C412" s="66" t="s">
        <v>264</v>
      </c>
      <c r="D412" s="66" t="s">
        <v>503</v>
      </c>
      <c r="E412" t="s">
        <v>253</v>
      </c>
      <c r="F412" s="50" t="s">
        <v>573</v>
      </c>
      <c r="G412" s="50" t="s">
        <v>574</v>
      </c>
      <c r="H412" s="50">
        <v>2</v>
      </c>
      <c r="I412" s="100">
        <v>6.7391919697301583</v>
      </c>
      <c r="J412" s="52">
        <v>3834.68</v>
      </c>
      <c r="K412" s="67">
        <f t="shared" si="28"/>
        <v>254886.004306088</v>
      </c>
      <c r="L412" s="95">
        <f>+VLOOKUP(E412,MARGEN!A:B,2,FALSE)</f>
        <v>0.1</v>
      </c>
      <c r="M412" s="112">
        <f t="shared" si="25"/>
        <v>25488.6004306088</v>
      </c>
      <c r="N412" s="113">
        <f t="shared" si="26"/>
        <v>1019.544017224352</v>
      </c>
      <c r="O412" s="113">
        <f t="shared" si="27"/>
        <v>228377.85985825484</v>
      </c>
    </row>
    <row r="413" spans="1:15" x14ac:dyDescent="0.25">
      <c r="A413" s="43">
        <v>44469</v>
      </c>
      <c r="B413" s="51">
        <v>9863</v>
      </c>
      <c r="C413" s="66" t="s">
        <v>264</v>
      </c>
      <c r="D413" s="66" t="s">
        <v>503</v>
      </c>
      <c r="E413" t="s">
        <v>253</v>
      </c>
      <c r="F413" s="50" t="s">
        <v>573</v>
      </c>
      <c r="G413" s="50" t="s">
        <v>574</v>
      </c>
      <c r="H413" s="50">
        <v>2</v>
      </c>
      <c r="I413" s="100">
        <v>6.7391919697301583</v>
      </c>
      <c r="J413" s="52">
        <v>3834.68</v>
      </c>
      <c r="K413" s="67">
        <f t="shared" si="28"/>
        <v>254886.004306088</v>
      </c>
      <c r="L413" s="95">
        <f>+VLOOKUP(E413,MARGEN!A:B,2,FALSE)</f>
        <v>0.1</v>
      </c>
      <c r="M413" s="112">
        <f t="shared" si="25"/>
        <v>25488.6004306088</v>
      </c>
      <c r="N413" s="113">
        <f t="shared" si="26"/>
        <v>1019.544017224352</v>
      </c>
      <c r="O413" s="113">
        <f t="shared" si="27"/>
        <v>228377.85985825484</v>
      </c>
    </row>
    <row r="414" spans="1:15" x14ac:dyDescent="0.25">
      <c r="A414" s="13">
        <v>44446</v>
      </c>
      <c r="B414" s="97">
        <v>393344</v>
      </c>
      <c r="C414" t="s">
        <v>97</v>
      </c>
      <c r="D414" s="94" t="s">
        <v>470</v>
      </c>
      <c r="E414" t="s">
        <v>26</v>
      </c>
      <c r="F414" t="s">
        <v>562</v>
      </c>
      <c r="G414" s="50" t="s">
        <v>559</v>
      </c>
      <c r="H414" s="50">
        <v>2</v>
      </c>
      <c r="I414" s="100">
        <v>6.7391919697301583</v>
      </c>
      <c r="J414" s="52">
        <v>3834.68</v>
      </c>
      <c r="K414" s="67">
        <f t="shared" si="28"/>
        <v>10165049.222120438</v>
      </c>
      <c r="L414" s="95">
        <f>+VLOOKUP(E414,MARGEN!A:B,2,FALSE)</f>
        <v>0.08</v>
      </c>
      <c r="M414" s="112">
        <f t="shared" si="25"/>
        <v>813203.937769635</v>
      </c>
      <c r="N414" s="113">
        <f t="shared" si="26"/>
        <v>40660.196888481754</v>
      </c>
      <c r="O414" s="113">
        <f t="shared" si="27"/>
        <v>9311185.0874623209</v>
      </c>
    </row>
    <row r="415" spans="1:15" x14ac:dyDescent="0.25">
      <c r="A415" s="13">
        <v>44447</v>
      </c>
      <c r="B415" s="97">
        <v>394928</v>
      </c>
      <c r="C415" t="s">
        <v>97</v>
      </c>
      <c r="D415" s="94" t="s">
        <v>470</v>
      </c>
      <c r="E415" t="s">
        <v>26</v>
      </c>
      <c r="F415" t="s">
        <v>562</v>
      </c>
      <c r="G415" s="50" t="s">
        <v>559</v>
      </c>
      <c r="H415" s="50">
        <v>2</v>
      </c>
      <c r="I415" s="100">
        <v>6.7391919697301583</v>
      </c>
      <c r="J415" s="52">
        <v>3834.68</v>
      </c>
      <c r="K415" s="67">
        <f t="shared" si="28"/>
        <v>10205983.971265813</v>
      </c>
      <c r="L415" s="95">
        <f>+VLOOKUP(E415,MARGEN!A:B,2,FALSE)</f>
        <v>0.08</v>
      </c>
      <c r="M415" s="112">
        <f t="shared" si="25"/>
        <v>816478.71770126512</v>
      </c>
      <c r="N415" s="113">
        <f t="shared" si="26"/>
        <v>40823.935885063256</v>
      </c>
      <c r="O415" s="113">
        <f t="shared" si="27"/>
        <v>9348681.3176794853</v>
      </c>
    </row>
    <row r="416" spans="1:15" x14ac:dyDescent="0.25">
      <c r="A416" s="13">
        <v>44448</v>
      </c>
      <c r="B416" s="51">
        <v>394688</v>
      </c>
      <c r="C416" s="66" t="s">
        <v>97</v>
      </c>
      <c r="D416" s="66" t="s">
        <v>470</v>
      </c>
      <c r="E416" t="s">
        <v>26</v>
      </c>
      <c r="F416" s="50" t="s">
        <v>562</v>
      </c>
      <c r="G416" s="50" t="s">
        <v>559</v>
      </c>
      <c r="H416" s="50">
        <v>2</v>
      </c>
      <c r="I416" s="100">
        <v>6.7391919697301583</v>
      </c>
      <c r="J416" s="52">
        <v>3834.68</v>
      </c>
      <c r="K416" s="67">
        <f t="shared" si="28"/>
        <v>10199781.736546818</v>
      </c>
      <c r="L416" s="95">
        <f>+VLOOKUP(E416,MARGEN!A:B,2,FALSE)</f>
        <v>0.08</v>
      </c>
      <c r="M416" s="112">
        <f t="shared" si="25"/>
        <v>815982.53892374551</v>
      </c>
      <c r="N416" s="113">
        <f t="shared" si="26"/>
        <v>40799.126946187273</v>
      </c>
      <c r="O416" s="113">
        <f t="shared" si="27"/>
        <v>9343000.0706768855</v>
      </c>
    </row>
    <row r="417" spans="1:15" x14ac:dyDescent="0.25">
      <c r="A417" s="13">
        <v>44449</v>
      </c>
      <c r="B417" s="97">
        <v>396440</v>
      </c>
      <c r="C417" t="s">
        <v>97</v>
      </c>
      <c r="D417" s="94" t="s">
        <v>470</v>
      </c>
      <c r="E417" t="s">
        <v>26</v>
      </c>
      <c r="F417" t="s">
        <v>562</v>
      </c>
      <c r="G417" s="50" t="s">
        <v>559</v>
      </c>
      <c r="H417" s="50">
        <v>2</v>
      </c>
      <c r="I417" s="100">
        <v>6.7391919697301583</v>
      </c>
      <c r="J417" s="52">
        <v>3834.68</v>
      </c>
      <c r="K417" s="67">
        <f t="shared" si="28"/>
        <v>10245058.049995491</v>
      </c>
      <c r="L417" s="95">
        <f>+VLOOKUP(E417,MARGEN!A:B,2,FALSE)</f>
        <v>0.08</v>
      </c>
      <c r="M417" s="112">
        <f t="shared" si="25"/>
        <v>819604.64399963932</v>
      </c>
      <c r="N417" s="113">
        <f t="shared" si="26"/>
        <v>40980.232199981969</v>
      </c>
      <c r="O417" s="113">
        <f t="shared" si="27"/>
        <v>9384473.1737958696</v>
      </c>
    </row>
    <row r="418" spans="1:15" x14ac:dyDescent="0.25">
      <c r="A418" s="13">
        <v>44450</v>
      </c>
      <c r="B418" s="97">
        <v>394393</v>
      </c>
      <c r="C418" s="88" t="s">
        <v>97</v>
      </c>
      <c r="D418" t="s">
        <v>470</v>
      </c>
      <c r="E418" t="s">
        <v>26</v>
      </c>
      <c r="F418" t="s">
        <v>572</v>
      </c>
      <c r="G418" s="50" t="s">
        <v>243</v>
      </c>
      <c r="H418" s="50">
        <v>2</v>
      </c>
      <c r="I418" s="100">
        <v>6.7391919697301583</v>
      </c>
      <c r="J418" s="52">
        <v>3834.68</v>
      </c>
      <c r="K418" s="67">
        <f t="shared" si="28"/>
        <v>10192158.156371383</v>
      </c>
      <c r="L418" s="95">
        <f>+VLOOKUP(E418,MARGEN!A:B,2,FALSE)</f>
        <v>0.08</v>
      </c>
      <c r="M418" s="112">
        <f t="shared" si="25"/>
        <v>815372.65250971064</v>
      </c>
      <c r="N418" s="113">
        <f t="shared" si="26"/>
        <v>40768.63262548553</v>
      </c>
      <c r="O418" s="113">
        <f t="shared" si="27"/>
        <v>9336016.8712361883</v>
      </c>
    </row>
    <row r="419" spans="1:15" x14ac:dyDescent="0.25">
      <c r="A419" s="13">
        <v>44451</v>
      </c>
      <c r="B419" s="97">
        <v>396440</v>
      </c>
      <c r="C419" t="s">
        <v>97</v>
      </c>
      <c r="D419" s="94" t="s">
        <v>470</v>
      </c>
      <c r="E419" t="s">
        <v>26</v>
      </c>
      <c r="F419" t="s">
        <v>562</v>
      </c>
      <c r="G419" s="50" t="s">
        <v>559</v>
      </c>
      <c r="H419" s="50">
        <v>2</v>
      </c>
      <c r="I419" s="100">
        <v>6.7391919697301583</v>
      </c>
      <c r="J419" s="52">
        <v>3834.68</v>
      </c>
      <c r="K419" s="67">
        <f t="shared" si="28"/>
        <v>10245058.049995491</v>
      </c>
      <c r="L419" s="95">
        <f>+VLOOKUP(E419,MARGEN!A:B,2,FALSE)</f>
        <v>0.08</v>
      </c>
      <c r="M419" s="112">
        <f t="shared" si="25"/>
        <v>819604.64399963932</v>
      </c>
      <c r="N419" s="113">
        <f t="shared" si="26"/>
        <v>40980.232199981969</v>
      </c>
      <c r="O419" s="113">
        <f t="shared" si="27"/>
        <v>9384473.1737958696</v>
      </c>
    </row>
    <row r="420" spans="1:15" x14ac:dyDescent="0.25">
      <c r="A420" s="13">
        <v>44452</v>
      </c>
      <c r="B420" s="97">
        <v>394160</v>
      </c>
      <c r="C420" t="s">
        <v>97</v>
      </c>
      <c r="D420" s="94" t="s">
        <v>470</v>
      </c>
      <c r="E420" t="s">
        <v>26</v>
      </c>
      <c r="F420" t="s">
        <v>562</v>
      </c>
      <c r="G420" s="50" t="s">
        <v>559</v>
      </c>
      <c r="H420" s="50">
        <v>2</v>
      </c>
      <c r="I420" s="100">
        <v>6.7391919697301583</v>
      </c>
      <c r="J420" s="52">
        <v>3834.68</v>
      </c>
      <c r="K420" s="67">
        <f t="shared" si="28"/>
        <v>10186136.820165025</v>
      </c>
      <c r="L420" s="95">
        <f>+VLOOKUP(E420,MARGEN!A:B,2,FALSE)</f>
        <v>0.08</v>
      </c>
      <c r="M420" s="112">
        <f t="shared" si="25"/>
        <v>814890.94561320206</v>
      </c>
      <c r="N420" s="113">
        <f t="shared" si="26"/>
        <v>40744.547280660103</v>
      </c>
      <c r="O420" s="113">
        <f t="shared" si="27"/>
        <v>9330501.3272711635</v>
      </c>
    </row>
    <row r="421" spans="1:15" x14ac:dyDescent="0.25">
      <c r="A421" s="13">
        <v>44453</v>
      </c>
      <c r="B421" s="97">
        <v>393344</v>
      </c>
      <c r="C421" t="s">
        <v>97</v>
      </c>
      <c r="D421" s="94" t="s">
        <v>470</v>
      </c>
      <c r="E421" t="s">
        <v>26</v>
      </c>
      <c r="F421" t="s">
        <v>562</v>
      </c>
      <c r="G421" s="50" t="s">
        <v>559</v>
      </c>
      <c r="H421" s="50">
        <v>2</v>
      </c>
      <c r="I421" s="100">
        <v>6.7391919697301583</v>
      </c>
      <c r="J421" s="52">
        <v>3834.68</v>
      </c>
      <c r="K421" s="67">
        <f t="shared" si="28"/>
        <v>10165049.222120438</v>
      </c>
      <c r="L421" s="95">
        <f>+VLOOKUP(E421,MARGEN!A:B,2,FALSE)</f>
        <v>0.08</v>
      </c>
      <c r="M421" s="112">
        <f t="shared" si="25"/>
        <v>813203.937769635</v>
      </c>
      <c r="N421" s="113">
        <f t="shared" si="26"/>
        <v>40660.196888481754</v>
      </c>
      <c r="O421" s="113">
        <f t="shared" si="27"/>
        <v>9311185.0874623209</v>
      </c>
    </row>
    <row r="422" spans="1:15" x14ac:dyDescent="0.25">
      <c r="A422" s="13">
        <v>44454</v>
      </c>
      <c r="B422" s="97">
        <v>394928</v>
      </c>
      <c r="C422" t="s">
        <v>97</v>
      </c>
      <c r="D422" s="94" t="s">
        <v>470</v>
      </c>
      <c r="E422" t="s">
        <v>26</v>
      </c>
      <c r="F422" t="s">
        <v>562</v>
      </c>
      <c r="G422" s="50" t="s">
        <v>559</v>
      </c>
      <c r="H422" s="50">
        <v>2</v>
      </c>
      <c r="I422" s="100">
        <v>6.7391919697301583</v>
      </c>
      <c r="J422" s="52">
        <v>3834.68</v>
      </c>
      <c r="K422" s="67">
        <f t="shared" si="28"/>
        <v>10205983.971265813</v>
      </c>
      <c r="L422" s="95">
        <f>+VLOOKUP(E422,MARGEN!A:B,2,FALSE)</f>
        <v>0.08</v>
      </c>
      <c r="M422" s="112">
        <f t="shared" si="25"/>
        <v>816478.71770126512</v>
      </c>
      <c r="N422" s="113">
        <f t="shared" si="26"/>
        <v>40823.935885063256</v>
      </c>
      <c r="O422" s="113">
        <f t="shared" si="27"/>
        <v>9348681.3176794853</v>
      </c>
    </row>
    <row r="423" spans="1:15" x14ac:dyDescent="0.25">
      <c r="A423" s="13">
        <v>44455</v>
      </c>
      <c r="B423" s="97">
        <v>394700</v>
      </c>
      <c r="C423" t="s">
        <v>97</v>
      </c>
      <c r="D423" s="94" t="s">
        <v>470</v>
      </c>
      <c r="E423" t="s">
        <v>26</v>
      </c>
      <c r="F423" t="s">
        <v>551</v>
      </c>
      <c r="G423" s="50" t="s">
        <v>205</v>
      </c>
      <c r="H423" s="50">
        <v>2</v>
      </c>
      <c r="I423" s="100">
        <v>6.7391919697301583</v>
      </c>
      <c r="J423" s="52">
        <v>3834.68</v>
      </c>
      <c r="K423" s="67">
        <f t="shared" si="28"/>
        <v>10200091.848282767</v>
      </c>
      <c r="L423" s="95">
        <f>+VLOOKUP(E423,MARGEN!A:B,2,FALSE)</f>
        <v>0.08</v>
      </c>
      <c r="M423" s="112">
        <f t="shared" si="25"/>
        <v>816007.34786262142</v>
      </c>
      <c r="N423" s="113">
        <f t="shared" si="26"/>
        <v>40800.36739313107</v>
      </c>
      <c r="O423" s="113">
        <f t="shared" si="27"/>
        <v>9343284.1330270153</v>
      </c>
    </row>
    <row r="424" spans="1:15" x14ac:dyDescent="0.25">
      <c r="A424" s="13">
        <v>44456</v>
      </c>
      <c r="B424" s="97">
        <v>396451</v>
      </c>
      <c r="C424" t="s">
        <v>97</v>
      </c>
      <c r="D424" s="94" t="s">
        <v>470</v>
      </c>
      <c r="E424" t="s">
        <v>26</v>
      </c>
      <c r="F424" t="s">
        <v>551</v>
      </c>
      <c r="G424" s="50" t="s">
        <v>205</v>
      </c>
      <c r="H424" s="50">
        <v>2</v>
      </c>
      <c r="I424" s="100">
        <v>6.7391919697301583</v>
      </c>
      <c r="J424" s="52">
        <v>3834.68</v>
      </c>
      <c r="K424" s="67">
        <f t="shared" si="28"/>
        <v>10245342.319086779</v>
      </c>
      <c r="L424" s="95">
        <f>+VLOOKUP(E424,MARGEN!A:B,2,FALSE)</f>
        <v>0.08</v>
      </c>
      <c r="M424" s="112">
        <f t="shared" si="25"/>
        <v>819627.38552694232</v>
      </c>
      <c r="N424" s="113">
        <f t="shared" si="26"/>
        <v>40981.369276347119</v>
      </c>
      <c r="O424" s="113">
        <f t="shared" si="27"/>
        <v>9384733.5642834902</v>
      </c>
    </row>
    <row r="425" spans="1:15" x14ac:dyDescent="0.25">
      <c r="A425" s="13">
        <v>44457</v>
      </c>
      <c r="B425" s="97">
        <v>394928</v>
      </c>
      <c r="C425" t="s">
        <v>97</v>
      </c>
      <c r="D425" s="94" t="s">
        <v>470</v>
      </c>
      <c r="E425" t="s">
        <v>26</v>
      </c>
      <c r="F425" t="s">
        <v>562</v>
      </c>
      <c r="G425" s="50" t="s">
        <v>559</v>
      </c>
      <c r="H425" s="50">
        <v>2</v>
      </c>
      <c r="I425" s="100">
        <v>6.7391919697301583</v>
      </c>
      <c r="J425" s="52">
        <v>3834.68</v>
      </c>
      <c r="K425" s="67">
        <f t="shared" si="28"/>
        <v>10205983.971265813</v>
      </c>
      <c r="L425" s="95">
        <f>+VLOOKUP(E425,MARGEN!A:B,2,FALSE)</f>
        <v>0.08</v>
      </c>
      <c r="M425" s="112">
        <f t="shared" si="25"/>
        <v>816478.71770126512</v>
      </c>
      <c r="N425" s="113">
        <f t="shared" si="26"/>
        <v>40823.935885063256</v>
      </c>
      <c r="O425" s="113">
        <f t="shared" si="27"/>
        <v>9348681.3176794853</v>
      </c>
    </row>
    <row r="426" spans="1:15" x14ac:dyDescent="0.25">
      <c r="A426" s="13">
        <v>44458</v>
      </c>
      <c r="B426" s="97">
        <v>395432</v>
      </c>
      <c r="C426" t="s">
        <v>97</v>
      </c>
      <c r="D426" s="94" t="s">
        <v>470</v>
      </c>
      <c r="E426" t="s">
        <v>26</v>
      </c>
      <c r="F426" t="s">
        <v>562</v>
      </c>
      <c r="G426" s="50" t="s">
        <v>559</v>
      </c>
      <c r="H426" s="50">
        <v>2</v>
      </c>
      <c r="I426" s="100">
        <v>6.7391919697301583</v>
      </c>
      <c r="J426" s="52">
        <v>3834.68</v>
      </c>
      <c r="K426" s="67">
        <f t="shared" si="28"/>
        <v>10219008.664175706</v>
      </c>
      <c r="L426" s="95">
        <f>+VLOOKUP(E426,MARGEN!A:B,2,FALSE)</f>
        <v>0.08</v>
      </c>
      <c r="M426" s="112">
        <f t="shared" si="25"/>
        <v>817520.69313405652</v>
      </c>
      <c r="N426" s="113">
        <f t="shared" si="26"/>
        <v>40876.034656702825</v>
      </c>
      <c r="O426" s="113">
        <f t="shared" si="27"/>
        <v>9360611.9363849461</v>
      </c>
    </row>
    <row r="427" spans="1:15" x14ac:dyDescent="0.25">
      <c r="A427" s="13">
        <v>44459</v>
      </c>
      <c r="B427" s="97">
        <v>394241</v>
      </c>
      <c r="C427" t="s">
        <v>97</v>
      </c>
      <c r="D427" s="94" t="s">
        <v>470</v>
      </c>
      <c r="E427" t="s">
        <v>26</v>
      </c>
      <c r="F427" t="s">
        <v>573</v>
      </c>
      <c r="G427" s="50" t="s">
        <v>574</v>
      </c>
      <c r="H427" s="50">
        <v>2</v>
      </c>
      <c r="I427" s="100">
        <v>6.7391919697301583</v>
      </c>
      <c r="J427" s="52">
        <v>3834.68</v>
      </c>
      <c r="K427" s="67">
        <f t="shared" si="28"/>
        <v>10188230.074382687</v>
      </c>
      <c r="L427" s="95">
        <f>+VLOOKUP(E427,MARGEN!A:B,2,FALSE)</f>
        <v>0.08</v>
      </c>
      <c r="M427" s="112">
        <f t="shared" si="25"/>
        <v>815058.40595061495</v>
      </c>
      <c r="N427" s="113">
        <f t="shared" si="26"/>
        <v>40752.920297530749</v>
      </c>
      <c r="O427" s="113">
        <f t="shared" si="27"/>
        <v>9332418.7481345404</v>
      </c>
    </row>
    <row r="428" spans="1:15" x14ac:dyDescent="0.25">
      <c r="A428" s="13">
        <v>44460</v>
      </c>
      <c r="B428" s="51">
        <v>393425</v>
      </c>
      <c r="C428" s="66" t="s">
        <v>97</v>
      </c>
      <c r="D428" s="66" t="s">
        <v>470</v>
      </c>
      <c r="E428" t="s">
        <v>26</v>
      </c>
      <c r="F428" s="50" t="s">
        <v>573</v>
      </c>
      <c r="G428" s="50" t="s">
        <v>574</v>
      </c>
      <c r="H428" s="50">
        <v>2</v>
      </c>
      <c r="I428" s="100">
        <v>6.7391919697301583</v>
      </c>
      <c r="J428" s="52">
        <v>3834.68</v>
      </c>
      <c r="K428" s="67">
        <f t="shared" si="28"/>
        <v>10167142.476338098</v>
      </c>
      <c r="L428" s="95">
        <f>+VLOOKUP(E428,MARGEN!A:B,2,FALSE)</f>
        <v>0.08</v>
      </c>
      <c r="M428" s="112">
        <f t="shared" si="25"/>
        <v>813371.39810704789</v>
      </c>
      <c r="N428" s="113">
        <f t="shared" si="26"/>
        <v>40668.569905352393</v>
      </c>
      <c r="O428" s="113">
        <f t="shared" si="27"/>
        <v>9313102.5083256979</v>
      </c>
    </row>
    <row r="429" spans="1:15" x14ac:dyDescent="0.25">
      <c r="A429" s="13">
        <v>44461</v>
      </c>
      <c r="B429" s="97">
        <v>395009</v>
      </c>
      <c r="C429" t="s">
        <v>97</v>
      </c>
      <c r="D429" t="s">
        <v>470</v>
      </c>
      <c r="E429" t="s">
        <v>26</v>
      </c>
      <c r="F429" t="s">
        <v>573</v>
      </c>
      <c r="G429" s="50" t="s">
        <v>574</v>
      </c>
      <c r="H429" s="50">
        <v>2</v>
      </c>
      <c r="I429" s="100">
        <v>6.7391919697301583</v>
      </c>
      <c r="J429" s="52">
        <v>3834.68</v>
      </c>
      <c r="K429" s="67">
        <f t="shared" si="28"/>
        <v>10208077.225483475</v>
      </c>
      <c r="L429" s="95">
        <f>+VLOOKUP(E429,MARGEN!A:B,2,FALSE)</f>
        <v>0.08</v>
      </c>
      <c r="M429" s="112">
        <f t="shared" si="25"/>
        <v>816646.17803867802</v>
      </c>
      <c r="N429" s="113">
        <f t="shared" si="26"/>
        <v>40832.308901933902</v>
      </c>
      <c r="O429" s="113">
        <f t="shared" si="27"/>
        <v>9350598.7385428641</v>
      </c>
    </row>
    <row r="430" spans="1:15" x14ac:dyDescent="0.25">
      <c r="A430" s="13">
        <v>44462</v>
      </c>
      <c r="B430" s="97">
        <v>394769</v>
      </c>
      <c r="C430" t="s">
        <v>97</v>
      </c>
      <c r="D430" t="s">
        <v>470</v>
      </c>
      <c r="E430" t="s">
        <v>26</v>
      </c>
      <c r="F430" t="s">
        <v>573</v>
      </c>
      <c r="G430" s="50" t="s">
        <v>574</v>
      </c>
      <c r="H430" s="50">
        <v>2</v>
      </c>
      <c r="I430" s="100">
        <v>6.7391919697301583</v>
      </c>
      <c r="J430" s="52">
        <v>3834.68</v>
      </c>
      <c r="K430" s="67">
        <f t="shared" si="28"/>
        <v>10201874.990764478</v>
      </c>
      <c r="L430" s="95">
        <f>+VLOOKUP(E430,MARGEN!A:B,2,FALSE)</f>
        <v>0.08</v>
      </c>
      <c r="M430" s="112">
        <f t="shared" si="25"/>
        <v>816149.99926115829</v>
      </c>
      <c r="N430" s="113">
        <f t="shared" si="26"/>
        <v>40807.499963057911</v>
      </c>
      <c r="O430" s="113">
        <f t="shared" si="27"/>
        <v>9344917.4915402625</v>
      </c>
    </row>
    <row r="431" spans="1:15" x14ac:dyDescent="0.25">
      <c r="A431" s="13">
        <v>44463</v>
      </c>
      <c r="B431" s="97">
        <v>396521</v>
      </c>
      <c r="C431" t="s">
        <v>97</v>
      </c>
      <c r="D431" t="s">
        <v>470</v>
      </c>
      <c r="E431" t="s">
        <v>26</v>
      </c>
      <c r="F431" t="s">
        <v>573</v>
      </c>
      <c r="G431" s="50" t="s">
        <v>574</v>
      </c>
      <c r="H431" s="50">
        <v>2</v>
      </c>
      <c r="I431" s="100">
        <v>6.7391919697301583</v>
      </c>
      <c r="J431" s="52">
        <v>3834.68</v>
      </c>
      <c r="K431" s="67">
        <f t="shared" si="28"/>
        <v>10247151.304213151</v>
      </c>
      <c r="L431" s="95">
        <f>+VLOOKUP(E431,MARGEN!A:B,2,FALSE)</f>
        <v>0.08</v>
      </c>
      <c r="M431" s="112">
        <f t="shared" si="25"/>
        <v>819772.10433705209</v>
      </c>
      <c r="N431" s="113">
        <f t="shared" si="26"/>
        <v>40988.605216852608</v>
      </c>
      <c r="O431" s="113">
        <f t="shared" si="27"/>
        <v>9386390.5946592465</v>
      </c>
    </row>
    <row r="432" spans="1:15" x14ac:dyDescent="0.25">
      <c r="A432" s="13">
        <v>44464</v>
      </c>
      <c r="B432" s="97">
        <v>395009</v>
      </c>
      <c r="C432" t="s">
        <v>97</v>
      </c>
      <c r="D432" t="s">
        <v>470</v>
      </c>
      <c r="E432" t="s">
        <v>26</v>
      </c>
      <c r="F432" t="s">
        <v>573</v>
      </c>
      <c r="G432" s="50" t="s">
        <v>574</v>
      </c>
      <c r="H432" s="50">
        <v>2</v>
      </c>
      <c r="I432" s="100">
        <v>6.7391919697301583</v>
      </c>
      <c r="J432" s="52">
        <v>3834.68</v>
      </c>
      <c r="K432" s="67">
        <f t="shared" si="28"/>
        <v>10208077.225483475</v>
      </c>
      <c r="L432" s="95">
        <f>+VLOOKUP(E432,MARGEN!A:B,2,FALSE)</f>
        <v>0.08</v>
      </c>
      <c r="M432" s="112">
        <f t="shared" si="25"/>
        <v>816646.17803867802</v>
      </c>
      <c r="N432" s="113">
        <f t="shared" si="26"/>
        <v>40832.308901933902</v>
      </c>
      <c r="O432" s="113">
        <f t="shared" si="27"/>
        <v>9350598.7385428641</v>
      </c>
    </row>
    <row r="433" spans="1:15" x14ac:dyDescent="0.25">
      <c r="A433" s="13">
        <v>44465</v>
      </c>
      <c r="B433" s="97">
        <v>395513</v>
      </c>
      <c r="C433" t="s">
        <v>97</v>
      </c>
      <c r="D433" t="s">
        <v>470</v>
      </c>
      <c r="E433" t="s">
        <v>26</v>
      </c>
      <c r="F433" t="s">
        <v>573</v>
      </c>
      <c r="G433" s="50" t="s">
        <v>574</v>
      </c>
      <c r="H433" s="50">
        <v>2</v>
      </c>
      <c r="I433" s="100">
        <v>6.7391919697301583</v>
      </c>
      <c r="J433" s="52">
        <v>3834.68</v>
      </c>
      <c r="K433" s="67">
        <f t="shared" si="28"/>
        <v>10221101.918393368</v>
      </c>
      <c r="L433" s="95">
        <f>+VLOOKUP(E433,MARGEN!A:B,2,FALSE)</f>
        <v>0.08</v>
      </c>
      <c r="M433" s="112">
        <f t="shared" si="25"/>
        <v>817688.15347146941</v>
      </c>
      <c r="N433" s="113">
        <f t="shared" si="26"/>
        <v>40884.407673573471</v>
      </c>
      <c r="O433" s="113">
        <f t="shared" si="27"/>
        <v>9362529.3572483249</v>
      </c>
    </row>
    <row r="434" spans="1:15" x14ac:dyDescent="0.25">
      <c r="A434" s="43">
        <v>44466</v>
      </c>
      <c r="B434" s="51">
        <v>394241</v>
      </c>
      <c r="C434" s="66" t="s">
        <v>97</v>
      </c>
      <c r="D434" s="66" t="s">
        <v>470</v>
      </c>
      <c r="E434" t="s">
        <v>26</v>
      </c>
      <c r="F434" s="50" t="s">
        <v>573</v>
      </c>
      <c r="G434" s="50" t="s">
        <v>574</v>
      </c>
      <c r="H434" s="50">
        <v>2</v>
      </c>
      <c r="I434" s="100">
        <v>6.7391919697301583</v>
      </c>
      <c r="J434" s="52">
        <v>3834.68</v>
      </c>
      <c r="K434" s="67">
        <f t="shared" si="28"/>
        <v>10188230.074382687</v>
      </c>
      <c r="L434" s="95">
        <f>+VLOOKUP(E434,MARGEN!A:B,2,FALSE)</f>
        <v>0.08</v>
      </c>
      <c r="M434" s="112">
        <f t="shared" si="25"/>
        <v>815058.40595061495</v>
      </c>
      <c r="N434" s="113">
        <f t="shared" si="26"/>
        <v>40752.920297530749</v>
      </c>
      <c r="O434" s="113">
        <f t="shared" si="27"/>
        <v>9332418.7481345404</v>
      </c>
    </row>
    <row r="435" spans="1:15" x14ac:dyDescent="0.25">
      <c r="A435" s="43">
        <v>44467</v>
      </c>
      <c r="B435" s="51">
        <v>348076</v>
      </c>
      <c r="C435" s="66" t="s">
        <v>97</v>
      </c>
      <c r="D435" s="66" t="s">
        <v>470</v>
      </c>
      <c r="E435" t="s">
        <v>26</v>
      </c>
      <c r="F435" s="50" t="s">
        <v>558</v>
      </c>
      <c r="G435" s="50" t="s">
        <v>574</v>
      </c>
      <c r="H435" s="50">
        <v>2</v>
      </c>
      <c r="I435" s="100">
        <v>6.7391919697301583</v>
      </c>
      <c r="J435" s="52">
        <v>3834.68</v>
      </c>
      <c r="K435" s="67">
        <f t="shared" si="28"/>
        <v>8995204.3835390732</v>
      </c>
      <c r="L435" s="95">
        <f>+VLOOKUP(E435,MARGEN!A:B,2,FALSE)</f>
        <v>0.08</v>
      </c>
      <c r="M435" s="112">
        <f t="shared" si="25"/>
        <v>719616.3506831259</v>
      </c>
      <c r="N435" s="113">
        <f t="shared" si="26"/>
        <v>35980.817534156289</v>
      </c>
      <c r="O435" s="113">
        <f t="shared" si="27"/>
        <v>8239607.2153217914</v>
      </c>
    </row>
    <row r="436" spans="1:15" x14ac:dyDescent="0.25">
      <c r="A436" s="13">
        <v>44468</v>
      </c>
      <c r="B436" s="97">
        <v>394160</v>
      </c>
      <c r="C436" t="s">
        <v>97</v>
      </c>
      <c r="D436" s="94" t="s">
        <v>470</v>
      </c>
      <c r="E436" t="s">
        <v>26</v>
      </c>
      <c r="F436" t="s">
        <v>562</v>
      </c>
      <c r="G436" s="50" t="s">
        <v>559</v>
      </c>
      <c r="H436" s="50">
        <v>2</v>
      </c>
      <c r="I436" s="100">
        <v>6.7391919697301583</v>
      </c>
      <c r="J436" s="52">
        <v>3834.68</v>
      </c>
      <c r="K436" s="67">
        <f t="shared" si="28"/>
        <v>10186136.820165025</v>
      </c>
      <c r="L436" s="95">
        <f>+VLOOKUP(E436,MARGEN!A:B,2,FALSE)</f>
        <v>0.08</v>
      </c>
      <c r="M436" s="112">
        <f t="shared" si="25"/>
        <v>814890.94561320206</v>
      </c>
      <c r="N436" s="113">
        <f t="shared" si="26"/>
        <v>40744.547280660103</v>
      </c>
      <c r="O436" s="113">
        <f t="shared" si="27"/>
        <v>9330501.3272711635</v>
      </c>
    </row>
    <row r="437" spans="1:15" x14ac:dyDescent="0.25">
      <c r="A437" s="43">
        <v>44469</v>
      </c>
      <c r="B437" s="51">
        <v>348076</v>
      </c>
      <c r="C437" s="66" t="s">
        <v>97</v>
      </c>
      <c r="D437" s="66" t="s">
        <v>470</v>
      </c>
      <c r="E437" t="s">
        <v>26</v>
      </c>
      <c r="F437" s="50" t="s">
        <v>558</v>
      </c>
      <c r="G437" s="50" t="s">
        <v>574</v>
      </c>
      <c r="H437" s="50">
        <v>2</v>
      </c>
      <c r="I437" s="100">
        <v>6.7391919697301583</v>
      </c>
      <c r="J437" s="52">
        <v>3834.68</v>
      </c>
      <c r="K437" s="67">
        <f t="shared" si="28"/>
        <v>8995204.3835390732</v>
      </c>
      <c r="L437" s="95">
        <f>+VLOOKUP(E437,MARGEN!A:B,2,FALSE)</f>
        <v>0.08</v>
      </c>
      <c r="M437" s="112">
        <f t="shared" si="25"/>
        <v>719616.3506831259</v>
      </c>
      <c r="N437" s="113">
        <f t="shared" si="26"/>
        <v>35980.817534156289</v>
      </c>
      <c r="O437" s="113">
        <f t="shared" si="27"/>
        <v>8239607.2153217914</v>
      </c>
    </row>
    <row r="438" spans="1:15" x14ac:dyDescent="0.25">
      <c r="A438" s="13">
        <v>44440</v>
      </c>
      <c r="B438" s="97">
        <v>66543</v>
      </c>
      <c r="C438" t="s">
        <v>265</v>
      </c>
      <c r="D438" s="94" t="s">
        <v>504</v>
      </c>
      <c r="E438" t="s">
        <v>254</v>
      </c>
      <c r="F438" t="s">
        <v>558</v>
      </c>
      <c r="G438" s="50" t="s">
        <v>559</v>
      </c>
      <c r="H438" s="50">
        <v>2</v>
      </c>
      <c r="I438" s="100">
        <v>6.7391919697301583</v>
      </c>
      <c r="J438" s="52">
        <v>3834.68</v>
      </c>
      <c r="K438" s="67">
        <f t="shared" si="28"/>
        <v>1719647.103775729</v>
      </c>
      <c r="L438" s="95">
        <f>+VLOOKUP(E438,MARGEN!A:B,2,FALSE)</f>
        <v>0.1</v>
      </c>
      <c r="M438" s="112">
        <f t="shared" si="25"/>
        <v>171964.71037757292</v>
      </c>
      <c r="N438" s="113">
        <f t="shared" si="26"/>
        <v>6878.5884151029159</v>
      </c>
      <c r="O438" s="113">
        <f t="shared" si="27"/>
        <v>1540803.8049830531</v>
      </c>
    </row>
    <row r="439" spans="1:15" x14ac:dyDescent="0.25">
      <c r="A439" s="13">
        <v>44441</v>
      </c>
      <c r="B439" s="97">
        <v>67143</v>
      </c>
      <c r="C439" t="s">
        <v>265</v>
      </c>
      <c r="D439" s="94" t="s">
        <v>504</v>
      </c>
      <c r="E439" t="s">
        <v>254</v>
      </c>
      <c r="F439" t="s">
        <v>558</v>
      </c>
      <c r="G439" s="50" t="s">
        <v>559</v>
      </c>
      <c r="H439" s="50">
        <v>2</v>
      </c>
      <c r="I439" s="100">
        <v>6.7391919697301583</v>
      </c>
      <c r="J439" s="52">
        <v>3834.68</v>
      </c>
      <c r="K439" s="67">
        <f t="shared" si="28"/>
        <v>1735152.6905732197</v>
      </c>
      <c r="L439" s="95">
        <f>+VLOOKUP(E439,MARGEN!A:B,2,FALSE)</f>
        <v>0.1</v>
      </c>
      <c r="M439" s="112">
        <f t="shared" si="25"/>
        <v>173515.26905732197</v>
      </c>
      <c r="N439" s="113">
        <f t="shared" si="26"/>
        <v>6940.6107622928785</v>
      </c>
      <c r="O439" s="113">
        <f t="shared" si="27"/>
        <v>1554696.8107536046</v>
      </c>
    </row>
    <row r="440" spans="1:15" x14ac:dyDescent="0.25">
      <c r="A440" s="13">
        <v>44454</v>
      </c>
      <c r="B440" s="97">
        <v>66539</v>
      </c>
      <c r="C440" t="s">
        <v>265</v>
      </c>
      <c r="D440" s="94" t="s">
        <v>504</v>
      </c>
      <c r="E440" t="s">
        <v>254</v>
      </c>
      <c r="F440" t="s">
        <v>551</v>
      </c>
      <c r="G440" s="50" t="s">
        <v>205</v>
      </c>
      <c r="H440" s="50">
        <v>2</v>
      </c>
      <c r="I440" s="100">
        <v>6.7391919697301583</v>
      </c>
      <c r="J440" s="52">
        <v>3834.68</v>
      </c>
      <c r="K440" s="67">
        <f t="shared" si="28"/>
        <v>1719543.733197079</v>
      </c>
      <c r="L440" s="95">
        <f>+VLOOKUP(E440,MARGEN!A:B,2,FALSE)</f>
        <v>0.1</v>
      </c>
      <c r="M440" s="112">
        <f t="shared" si="25"/>
        <v>171954.37331970793</v>
      </c>
      <c r="N440" s="113">
        <f t="shared" si="26"/>
        <v>6878.1749327883163</v>
      </c>
      <c r="O440" s="113">
        <f t="shared" si="27"/>
        <v>1540711.1849445829</v>
      </c>
    </row>
    <row r="441" spans="1:15" x14ac:dyDescent="0.25">
      <c r="A441" s="13">
        <v>44455</v>
      </c>
      <c r="B441" s="97">
        <v>67143</v>
      </c>
      <c r="C441" t="s">
        <v>265</v>
      </c>
      <c r="D441" s="94" t="s">
        <v>504</v>
      </c>
      <c r="E441" t="s">
        <v>254</v>
      </c>
      <c r="F441" t="s">
        <v>558</v>
      </c>
      <c r="G441" s="50" t="s">
        <v>559</v>
      </c>
      <c r="H441" s="50">
        <v>2</v>
      </c>
      <c r="I441" s="100">
        <v>6.7391919697301583</v>
      </c>
      <c r="J441" s="52">
        <v>3834.68</v>
      </c>
      <c r="K441" s="67">
        <f t="shared" si="28"/>
        <v>1735152.6905732197</v>
      </c>
      <c r="L441" s="95">
        <f>+VLOOKUP(E441,MARGEN!A:B,2,FALSE)</f>
        <v>0.1</v>
      </c>
      <c r="M441" s="112">
        <f t="shared" si="25"/>
        <v>173515.26905732197</v>
      </c>
      <c r="N441" s="113">
        <f t="shared" si="26"/>
        <v>6940.6107622928785</v>
      </c>
      <c r="O441" s="113">
        <f t="shared" si="27"/>
        <v>1554696.8107536046</v>
      </c>
    </row>
    <row r="442" spans="1:15" x14ac:dyDescent="0.25">
      <c r="A442" s="13">
        <v>44456</v>
      </c>
      <c r="B442" s="97">
        <v>67211</v>
      </c>
      <c r="C442" t="s">
        <v>265</v>
      </c>
      <c r="D442" s="94" t="s">
        <v>504</v>
      </c>
      <c r="E442" t="s">
        <v>254</v>
      </c>
      <c r="F442" t="s">
        <v>551</v>
      </c>
      <c r="G442" s="50" t="s">
        <v>205</v>
      </c>
      <c r="H442" s="50">
        <v>2</v>
      </c>
      <c r="I442" s="100">
        <v>6.7391919697301583</v>
      </c>
      <c r="J442" s="52">
        <v>3834.68</v>
      </c>
      <c r="K442" s="67">
        <f t="shared" si="28"/>
        <v>1736909.9904102688</v>
      </c>
      <c r="L442" s="95">
        <f>+VLOOKUP(E442,MARGEN!A:B,2,FALSE)</f>
        <v>0.1</v>
      </c>
      <c r="M442" s="112">
        <f t="shared" si="25"/>
        <v>173690.99904102689</v>
      </c>
      <c r="N442" s="113">
        <f t="shared" si="26"/>
        <v>6947.6399616410754</v>
      </c>
      <c r="O442" s="113">
        <f t="shared" si="27"/>
        <v>1556271.3514076008</v>
      </c>
    </row>
    <row r="443" spans="1:15" x14ac:dyDescent="0.25">
      <c r="A443" s="13">
        <v>44457</v>
      </c>
      <c r="B443" s="97">
        <v>67978</v>
      </c>
      <c r="C443" t="s">
        <v>265</v>
      </c>
      <c r="D443" s="94" t="s">
        <v>504</v>
      </c>
      <c r="E443" t="s">
        <v>254</v>
      </c>
      <c r="F443" t="s">
        <v>551</v>
      </c>
      <c r="G443" s="50" t="s">
        <v>205</v>
      </c>
      <c r="H443" s="50">
        <v>2</v>
      </c>
      <c r="I443" s="100">
        <v>6.7391919697301583</v>
      </c>
      <c r="J443" s="52">
        <v>3834.68</v>
      </c>
      <c r="K443" s="67">
        <f t="shared" si="28"/>
        <v>1756731.2988663947</v>
      </c>
      <c r="L443" s="95">
        <f>+VLOOKUP(E443,MARGEN!A:B,2,FALSE)</f>
        <v>0.1</v>
      </c>
      <c r="M443" s="112">
        <f t="shared" si="25"/>
        <v>175673.12988663948</v>
      </c>
      <c r="N443" s="113">
        <f t="shared" si="26"/>
        <v>7026.9251954655783</v>
      </c>
      <c r="O443" s="113">
        <f t="shared" si="27"/>
        <v>1574031.2437842896</v>
      </c>
    </row>
    <row r="444" spans="1:15" x14ac:dyDescent="0.25">
      <c r="A444" s="13">
        <v>44458</v>
      </c>
      <c r="B444" s="97">
        <v>67214</v>
      </c>
      <c r="C444" t="s">
        <v>265</v>
      </c>
      <c r="D444" s="94" t="s">
        <v>504</v>
      </c>
      <c r="E444" t="s">
        <v>254</v>
      </c>
      <c r="F444" t="s">
        <v>557</v>
      </c>
      <c r="G444" s="50" t="s">
        <v>205</v>
      </c>
      <c r="H444" s="50">
        <v>2</v>
      </c>
      <c r="I444" s="100">
        <v>6.7391919697301583</v>
      </c>
      <c r="J444" s="52">
        <v>3834.68</v>
      </c>
      <c r="K444" s="67">
        <f t="shared" si="28"/>
        <v>1736987.5183442561</v>
      </c>
      <c r="L444" s="95">
        <f>+VLOOKUP(E444,MARGEN!A:B,2,FALSE)</f>
        <v>0.1</v>
      </c>
      <c r="M444" s="112">
        <f t="shared" si="25"/>
        <v>173698.75183442561</v>
      </c>
      <c r="N444" s="113">
        <f t="shared" si="26"/>
        <v>6947.9500733770246</v>
      </c>
      <c r="O444" s="113">
        <f t="shared" si="27"/>
        <v>1556340.8164364535</v>
      </c>
    </row>
    <row r="445" spans="1:15" x14ac:dyDescent="0.25">
      <c r="A445" s="13">
        <v>44459</v>
      </c>
      <c r="B445" s="97">
        <v>68206</v>
      </c>
      <c r="C445" t="s">
        <v>265</v>
      </c>
      <c r="D445" s="94" t="s">
        <v>504</v>
      </c>
      <c r="E445" t="s">
        <v>254</v>
      </c>
      <c r="F445" t="s">
        <v>573</v>
      </c>
      <c r="G445" s="50" t="s">
        <v>574</v>
      </c>
      <c r="H445" s="50">
        <v>2</v>
      </c>
      <c r="I445" s="100">
        <v>6.7391919697301583</v>
      </c>
      <c r="J445" s="52">
        <v>3834.68</v>
      </c>
      <c r="K445" s="67">
        <f t="shared" si="28"/>
        <v>1762623.421849441</v>
      </c>
      <c r="L445" s="95">
        <f>+VLOOKUP(E445,MARGEN!A:B,2,FALSE)</f>
        <v>0.1</v>
      </c>
      <c r="M445" s="112">
        <f t="shared" si="25"/>
        <v>176262.34218494411</v>
      </c>
      <c r="N445" s="113">
        <f t="shared" si="26"/>
        <v>7050.493687397764</v>
      </c>
      <c r="O445" s="113">
        <f t="shared" si="27"/>
        <v>1579310.5859770991</v>
      </c>
    </row>
    <row r="446" spans="1:15" x14ac:dyDescent="0.25">
      <c r="A446" s="13">
        <v>44460</v>
      </c>
      <c r="B446" s="97">
        <v>67990</v>
      </c>
      <c r="C446" t="s">
        <v>265</v>
      </c>
      <c r="D446" t="s">
        <v>504</v>
      </c>
      <c r="E446" t="s">
        <v>254</v>
      </c>
      <c r="F446" t="s">
        <v>573</v>
      </c>
      <c r="G446" s="50" t="s">
        <v>574</v>
      </c>
      <c r="H446" s="50">
        <v>2</v>
      </c>
      <c r="I446" s="100">
        <v>6.7391919697301583</v>
      </c>
      <c r="J446" s="52">
        <v>3834.68</v>
      </c>
      <c r="K446" s="67">
        <f t="shared" si="28"/>
        <v>1757041.4106023442</v>
      </c>
      <c r="L446" s="95">
        <f>+VLOOKUP(E446,MARGEN!A:B,2,FALSE)</f>
        <v>0.1</v>
      </c>
      <c r="M446" s="112">
        <f t="shared" si="25"/>
        <v>175704.14106023443</v>
      </c>
      <c r="N446" s="113">
        <f t="shared" si="26"/>
        <v>7028.1656424093771</v>
      </c>
      <c r="O446" s="113">
        <f t="shared" si="27"/>
        <v>1574309.1038997003</v>
      </c>
    </row>
    <row r="447" spans="1:15" x14ac:dyDescent="0.25">
      <c r="A447" s="13">
        <v>44461</v>
      </c>
      <c r="B447" s="97">
        <v>66550</v>
      </c>
      <c r="C447" t="s">
        <v>265</v>
      </c>
      <c r="D447" t="s">
        <v>504</v>
      </c>
      <c r="E447" t="s">
        <v>254</v>
      </c>
      <c r="F447" t="s">
        <v>573</v>
      </c>
      <c r="G447" s="50" t="s">
        <v>574</v>
      </c>
      <c r="H447" s="50">
        <v>2</v>
      </c>
      <c r="I447" s="100">
        <v>6.7391919697301583</v>
      </c>
      <c r="J447" s="52">
        <v>3834.68</v>
      </c>
      <c r="K447" s="67">
        <f t="shared" si="28"/>
        <v>1719828.0022883662</v>
      </c>
      <c r="L447" s="95">
        <f>+VLOOKUP(E447,MARGEN!A:B,2,FALSE)</f>
        <v>0.1</v>
      </c>
      <c r="M447" s="112">
        <f t="shared" si="25"/>
        <v>171982.80022883663</v>
      </c>
      <c r="N447" s="113">
        <f t="shared" si="26"/>
        <v>6879.3120091534647</v>
      </c>
      <c r="O447" s="113">
        <f t="shared" si="27"/>
        <v>1540965.8900503761</v>
      </c>
    </row>
    <row r="448" spans="1:15" x14ac:dyDescent="0.25">
      <c r="A448" s="13">
        <v>44462</v>
      </c>
      <c r="B448" s="97">
        <v>67150</v>
      </c>
      <c r="C448" t="s">
        <v>265</v>
      </c>
      <c r="D448" t="s">
        <v>504</v>
      </c>
      <c r="E448" t="s">
        <v>254</v>
      </c>
      <c r="F448" t="s">
        <v>573</v>
      </c>
      <c r="G448" s="50" t="s">
        <v>574</v>
      </c>
      <c r="H448" s="50">
        <v>2</v>
      </c>
      <c r="I448" s="100">
        <v>6.7391919697301583</v>
      </c>
      <c r="J448" s="52">
        <v>3834.68</v>
      </c>
      <c r="K448" s="67">
        <f t="shared" si="28"/>
        <v>1735333.5890858572</v>
      </c>
      <c r="L448" s="95">
        <f>+VLOOKUP(E448,MARGEN!A:B,2,FALSE)</f>
        <v>0.1</v>
      </c>
      <c r="M448" s="112">
        <f t="shared" si="25"/>
        <v>173533.35890858574</v>
      </c>
      <c r="N448" s="113">
        <f t="shared" si="26"/>
        <v>6941.3343563434282</v>
      </c>
      <c r="O448" s="113">
        <f t="shared" si="27"/>
        <v>1554858.895820928</v>
      </c>
    </row>
    <row r="449" spans="1:15" x14ac:dyDescent="0.25">
      <c r="A449" s="13">
        <v>44463</v>
      </c>
      <c r="B449" s="97">
        <v>67222</v>
      </c>
      <c r="C449" t="s">
        <v>265</v>
      </c>
      <c r="D449" t="s">
        <v>504</v>
      </c>
      <c r="E449" t="s">
        <v>254</v>
      </c>
      <c r="F449" t="s">
        <v>573</v>
      </c>
      <c r="G449" s="50" t="s">
        <v>574</v>
      </c>
      <c r="H449" s="50">
        <v>2</v>
      </c>
      <c r="I449" s="100">
        <v>6.7391919697301583</v>
      </c>
      <c r="J449" s="52">
        <v>3834.68</v>
      </c>
      <c r="K449" s="67">
        <f t="shared" si="28"/>
        <v>1737194.2595015562</v>
      </c>
      <c r="L449" s="95">
        <f>+VLOOKUP(E449,MARGEN!A:B,2,FALSE)</f>
        <v>0.1</v>
      </c>
      <c r="M449" s="112">
        <f t="shared" si="25"/>
        <v>173719.42595015562</v>
      </c>
      <c r="N449" s="113">
        <f t="shared" si="26"/>
        <v>6948.7770380062248</v>
      </c>
      <c r="O449" s="113">
        <f t="shared" si="27"/>
        <v>1556526.0565133945</v>
      </c>
    </row>
    <row r="450" spans="1:15" x14ac:dyDescent="0.25">
      <c r="A450" s="13">
        <v>44464</v>
      </c>
      <c r="B450" s="97">
        <v>67246</v>
      </c>
      <c r="C450" t="s">
        <v>265</v>
      </c>
      <c r="D450" t="s">
        <v>504</v>
      </c>
      <c r="E450" t="s">
        <v>254</v>
      </c>
      <c r="F450" t="s">
        <v>573</v>
      </c>
      <c r="G450" s="50" t="s">
        <v>574</v>
      </c>
      <c r="H450" s="50">
        <v>2</v>
      </c>
      <c r="I450" s="100">
        <v>6.7391919697301583</v>
      </c>
      <c r="J450" s="52">
        <v>3834.68</v>
      </c>
      <c r="K450" s="67">
        <f t="shared" si="28"/>
        <v>1737814.4829734557</v>
      </c>
      <c r="L450" s="95">
        <f>+VLOOKUP(E450,MARGEN!A:B,2,FALSE)</f>
        <v>0.1</v>
      </c>
      <c r="M450" s="112">
        <f t="shared" si="25"/>
        <v>173781.44829734557</v>
      </c>
      <c r="N450" s="113">
        <f t="shared" si="26"/>
        <v>6951.2579318938224</v>
      </c>
      <c r="O450" s="113">
        <f t="shared" si="27"/>
        <v>1557081.7767442162</v>
      </c>
    </row>
    <row r="451" spans="1:15" x14ac:dyDescent="0.25">
      <c r="A451" s="43">
        <v>44465</v>
      </c>
      <c r="B451" s="51">
        <v>67078</v>
      </c>
      <c r="C451" s="66" t="s">
        <v>265</v>
      </c>
      <c r="D451" s="66" t="s">
        <v>504</v>
      </c>
      <c r="E451" t="s">
        <v>254</v>
      </c>
      <c r="F451" s="50" t="s">
        <v>573</v>
      </c>
      <c r="G451" s="50" t="s">
        <v>574</v>
      </c>
      <c r="H451" s="50">
        <v>2</v>
      </c>
      <c r="I451" s="100">
        <v>6.7391919697301583</v>
      </c>
      <c r="J451" s="52">
        <v>3834.68</v>
      </c>
      <c r="K451" s="67">
        <f t="shared" si="28"/>
        <v>1733472.9186701584</v>
      </c>
      <c r="L451" s="95">
        <f>+VLOOKUP(E451,MARGEN!A:B,2,FALSE)</f>
        <v>0.1</v>
      </c>
      <c r="M451" s="112">
        <f t="shared" ref="M451:M514" si="29">+K451*L451</f>
        <v>173347.29186701585</v>
      </c>
      <c r="N451" s="113">
        <f t="shared" ref="N451:N514" si="30">+K451*4/1000</f>
        <v>6933.8916746806335</v>
      </c>
      <c r="O451" s="113">
        <f t="shared" ref="O451:O514" si="31">+K451-M451-N451</f>
        <v>1553191.7351284618</v>
      </c>
    </row>
    <row r="452" spans="1:15" x14ac:dyDescent="0.25">
      <c r="A452" s="43">
        <v>44466</v>
      </c>
      <c r="B452" s="51">
        <v>68206</v>
      </c>
      <c r="C452" s="66" t="s">
        <v>265</v>
      </c>
      <c r="D452" s="66" t="s">
        <v>504</v>
      </c>
      <c r="E452" t="s">
        <v>254</v>
      </c>
      <c r="F452" s="50" t="s">
        <v>573</v>
      </c>
      <c r="G452" s="50" t="s">
        <v>574</v>
      </c>
      <c r="H452" s="50">
        <v>2</v>
      </c>
      <c r="I452" s="100">
        <v>6.7391919697301583</v>
      </c>
      <c r="J452" s="52">
        <v>3834.68</v>
      </c>
      <c r="K452" s="67">
        <f t="shared" si="28"/>
        <v>1762623.421849441</v>
      </c>
      <c r="L452" s="95">
        <f>+VLOOKUP(E452,MARGEN!A:B,2,FALSE)</f>
        <v>0.1</v>
      </c>
      <c r="M452" s="112">
        <f t="shared" si="29"/>
        <v>176262.34218494411</v>
      </c>
      <c r="N452" s="113">
        <f t="shared" si="30"/>
        <v>7050.493687397764</v>
      </c>
      <c r="O452" s="113">
        <f t="shared" si="31"/>
        <v>1579310.5859770991</v>
      </c>
    </row>
    <row r="453" spans="1:15" x14ac:dyDescent="0.25">
      <c r="A453" s="43">
        <v>44467</v>
      </c>
      <c r="B453" s="51">
        <v>67990</v>
      </c>
      <c r="C453" s="66" t="s">
        <v>265</v>
      </c>
      <c r="D453" s="66" t="s">
        <v>504</v>
      </c>
      <c r="E453" t="s">
        <v>254</v>
      </c>
      <c r="F453" s="50" t="s">
        <v>573</v>
      </c>
      <c r="G453" s="50" t="s">
        <v>574</v>
      </c>
      <c r="H453" s="50">
        <v>2</v>
      </c>
      <c r="I453" s="100">
        <v>6.7391919697301583</v>
      </c>
      <c r="J453" s="52">
        <v>3834.68</v>
      </c>
      <c r="K453" s="67">
        <f t="shared" si="28"/>
        <v>1757041.4106023442</v>
      </c>
      <c r="L453" s="95">
        <f>+VLOOKUP(E453,MARGEN!A:B,2,FALSE)</f>
        <v>0.1</v>
      </c>
      <c r="M453" s="112">
        <f t="shared" si="29"/>
        <v>175704.14106023443</v>
      </c>
      <c r="N453" s="113">
        <f t="shared" si="30"/>
        <v>7028.1656424093771</v>
      </c>
      <c r="O453" s="113">
        <f t="shared" si="31"/>
        <v>1574309.1038997003</v>
      </c>
    </row>
    <row r="454" spans="1:15" x14ac:dyDescent="0.25">
      <c r="A454" s="43">
        <v>44468</v>
      </c>
      <c r="B454" s="51">
        <v>66550</v>
      </c>
      <c r="C454" s="66" t="s">
        <v>265</v>
      </c>
      <c r="D454" s="66" t="s">
        <v>504</v>
      </c>
      <c r="E454" t="s">
        <v>254</v>
      </c>
      <c r="F454" s="50" t="s">
        <v>573</v>
      </c>
      <c r="G454" s="50" t="s">
        <v>574</v>
      </c>
      <c r="H454" s="50">
        <v>2</v>
      </c>
      <c r="I454" s="100">
        <v>6.7391919697301583</v>
      </c>
      <c r="J454" s="52">
        <v>3834.68</v>
      </c>
      <c r="K454" s="67">
        <f t="shared" si="28"/>
        <v>1719828.0022883662</v>
      </c>
      <c r="L454" s="95">
        <f>+VLOOKUP(E454,MARGEN!A:B,2,FALSE)</f>
        <v>0.1</v>
      </c>
      <c r="M454" s="112">
        <f t="shared" si="29"/>
        <v>171982.80022883663</v>
      </c>
      <c r="N454" s="113">
        <f t="shared" si="30"/>
        <v>6879.3120091534647</v>
      </c>
      <c r="O454" s="113">
        <f t="shared" si="31"/>
        <v>1540965.8900503761</v>
      </c>
    </row>
    <row r="455" spans="1:15" x14ac:dyDescent="0.25">
      <c r="A455" s="43">
        <v>44469</v>
      </c>
      <c r="B455" s="51">
        <v>67150</v>
      </c>
      <c r="C455" s="66" t="s">
        <v>265</v>
      </c>
      <c r="D455" s="66" t="s">
        <v>504</v>
      </c>
      <c r="E455" t="s">
        <v>254</v>
      </c>
      <c r="F455" s="50" t="s">
        <v>573</v>
      </c>
      <c r="G455" s="50" t="s">
        <v>574</v>
      </c>
      <c r="H455" s="50">
        <v>2</v>
      </c>
      <c r="I455" s="100">
        <v>6.7391919697301583</v>
      </c>
      <c r="J455" s="52">
        <v>3834.68</v>
      </c>
      <c r="K455" s="67">
        <f t="shared" si="28"/>
        <v>1735333.5890858572</v>
      </c>
      <c r="L455" s="95">
        <f>+VLOOKUP(E455,MARGEN!A:B,2,FALSE)</f>
        <v>0.1</v>
      </c>
      <c r="M455" s="112">
        <f t="shared" si="29"/>
        <v>173533.35890858574</v>
      </c>
      <c r="N455" s="113">
        <f t="shared" si="30"/>
        <v>6941.3343563434282</v>
      </c>
      <c r="O455" s="113">
        <f t="shared" si="31"/>
        <v>1554858.895820928</v>
      </c>
    </row>
    <row r="456" spans="1:15" x14ac:dyDescent="0.25">
      <c r="A456" s="13">
        <v>44440</v>
      </c>
      <c r="B456" s="97">
        <v>89988</v>
      </c>
      <c r="C456" s="88" t="s">
        <v>206</v>
      </c>
      <c r="D456" t="s">
        <v>345</v>
      </c>
      <c r="E456" t="s">
        <v>36</v>
      </c>
      <c r="F456" t="s">
        <v>558</v>
      </c>
      <c r="G456" s="50" t="s">
        <v>559</v>
      </c>
      <c r="H456" s="50">
        <v>2</v>
      </c>
      <c r="I456" s="100">
        <v>6.7391919697301583</v>
      </c>
      <c r="J456" s="52">
        <v>3834.68</v>
      </c>
      <c r="K456" s="67">
        <f t="shared" si="28"/>
        <v>2325527.9078876856</v>
      </c>
      <c r="L456" s="95">
        <f>+VLOOKUP(E456,MARGEN!A:B,2,FALSE)</f>
        <v>0.1</v>
      </c>
      <c r="M456" s="112">
        <f t="shared" si="29"/>
        <v>232552.79078876856</v>
      </c>
      <c r="N456" s="113">
        <f t="shared" si="30"/>
        <v>9302.1116315507425</v>
      </c>
      <c r="O456" s="113">
        <f t="shared" si="31"/>
        <v>2083673.0054673662</v>
      </c>
    </row>
    <row r="457" spans="1:15" x14ac:dyDescent="0.25">
      <c r="A457" s="13">
        <v>44441</v>
      </c>
      <c r="B457" s="97">
        <v>89988</v>
      </c>
      <c r="C457" t="s">
        <v>206</v>
      </c>
      <c r="D457" s="94" t="s">
        <v>345</v>
      </c>
      <c r="E457" t="s">
        <v>36</v>
      </c>
      <c r="F457" t="s">
        <v>558</v>
      </c>
      <c r="G457" s="50" t="s">
        <v>559</v>
      </c>
      <c r="H457" s="50">
        <v>2</v>
      </c>
      <c r="I457" s="100">
        <v>6.7391919697301583</v>
      </c>
      <c r="J457" s="52">
        <v>3834.68</v>
      </c>
      <c r="K457" s="67">
        <f t="shared" ref="K457:K520" si="32">+B457*I457*J457/1000</f>
        <v>2325527.9078876856</v>
      </c>
      <c r="L457" s="95">
        <f>+VLOOKUP(E457,MARGEN!A:B,2,FALSE)</f>
        <v>0.1</v>
      </c>
      <c r="M457" s="112">
        <f t="shared" si="29"/>
        <v>232552.79078876856</v>
      </c>
      <c r="N457" s="113">
        <f t="shared" si="30"/>
        <v>9302.1116315507425</v>
      </c>
      <c r="O457" s="113">
        <f t="shared" si="31"/>
        <v>2083673.0054673662</v>
      </c>
    </row>
    <row r="458" spans="1:15" x14ac:dyDescent="0.25">
      <c r="A458" s="13">
        <v>44442</v>
      </c>
      <c r="B458" s="97">
        <v>89988</v>
      </c>
      <c r="C458" t="s">
        <v>206</v>
      </c>
      <c r="D458" s="94" t="s">
        <v>345</v>
      </c>
      <c r="E458" t="s">
        <v>36</v>
      </c>
      <c r="F458" t="s">
        <v>558</v>
      </c>
      <c r="G458" s="50" t="s">
        <v>559</v>
      </c>
      <c r="H458" s="50">
        <v>2</v>
      </c>
      <c r="I458" s="100">
        <v>6.7391919697301583</v>
      </c>
      <c r="J458" s="52">
        <v>3834.68</v>
      </c>
      <c r="K458" s="67">
        <f t="shared" si="32"/>
        <v>2325527.9078876856</v>
      </c>
      <c r="L458" s="95">
        <f>+VLOOKUP(E458,MARGEN!A:B,2,FALSE)</f>
        <v>0.1</v>
      </c>
      <c r="M458" s="112">
        <f t="shared" si="29"/>
        <v>232552.79078876856</v>
      </c>
      <c r="N458" s="113">
        <f t="shared" si="30"/>
        <v>9302.1116315507425</v>
      </c>
      <c r="O458" s="113">
        <f t="shared" si="31"/>
        <v>2083673.0054673662</v>
      </c>
    </row>
    <row r="459" spans="1:15" x14ac:dyDescent="0.25">
      <c r="A459" s="13">
        <v>44454</v>
      </c>
      <c r="B459" s="97">
        <v>89982</v>
      </c>
      <c r="C459" t="s">
        <v>206</v>
      </c>
      <c r="D459" s="94" t="s">
        <v>345</v>
      </c>
      <c r="E459" t="s">
        <v>36</v>
      </c>
      <c r="F459" t="s">
        <v>551</v>
      </c>
      <c r="G459" s="50" t="s">
        <v>205</v>
      </c>
      <c r="H459" s="50">
        <v>2</v>
      </c>
      <c r="I459" s="100">
        <v>6.7391919697301583</v>
      </c>
      <c r="J459" s="52">
        <v>3834.68</v>
      </c>
      <c r="K459" s="67">
        <f t="shared" si="32"/>
        <v>2325372.8520197109</v>
      </c>
      <c r="L459" s="95">
        <f>+VLOOKUP(E459,MARGEN!A:B,2,FALSE)</f>
        <v>0.1</v>
      </c>
      <c r="M459" s="112">
        <f t="shared" si="29"/>
        <v>232537.2852019711</v>
      </c>
      <c r="N459" s="113">
        <f t="shared" si="30"/>
        <v>9301.491408078844</v>
      </c>
      <c r="O459" s="113">
        <f t="shared" si="31"/>
        <v>2083534.0754096608</v>
      </c>
    </row>
    <row r="460" spans="1:15" x14ac:dyDescent="0.25">
      <c r="A460" s="13">
        <v>44455</v>
      </c>
      <c r="B460" s="97">
        <v>89988</v>
      </c>
      <c r="C460" t="s">
        <v>206</v>
      </c>
      <c r="D460" s="94" t="s">
        <v>345</v>
      </c>
      <c r="E460" t="s">
        <v>36</v>
      </c>
      <c r="F460" t="s">
        <v>558</v>
      </c>
      <c r="G460" s="50" t="s">
        <v>559</v>
      </c>
      <c r="H460" s="50">
        <v>2</v>
      </c>
      <c r="I460" s="100">
        <v>6.7391919697301583</v>
      </c>
      <c r="J460" s="52">
        <v>3834.68</v>
      </c>
      <c r="K460" s="67">
        <f t="shared" si="32"/>
        <v>2325527.9078876856</v>
      </c>
      <c r="L460" s="95">
        <f>+VLOOKUP(E460,MARGEN!A:B,2,FALSE)</f>
        <v>0.1</v>
      </c>
      <c r="M460" s="112">
        <f t="shared" si="29"/>
        <v>232552.79078876856</v>
      </c>
      <c r="N460" s="113">
        <f t="shared" si="30"/>
        <v>9302.1116315507425</v>
      </c>
      <c r="O460" s="113">
        <f t="shared" si="31"/>
        <v>2083673.0054673662</v>
      </c>
    </row>
    <row r="461" spans="1:15" x14ac:dyDescent="0.25">
      <c r="A461" s="13">
        <v>44456</v>
      </c>
      <c r="B461" s="97">
        <v>89980</v>
      </c>
      <c r="C461" t="s">
        <v>206</v>
      </c>
      <c r="D461" s="94" t="s">
        <v>345</v>
      </c>
      <c r="E461" t="s">
        <v>36</v>
      </c>
      <c r="F461" t="s">
        <v>562</v>
      </c>
      <c r="G461" s="50" t="s">
        <v>559</v>
      </c>
      <c r="H461" s="50">
        <v>2</v>
      </c>
      <c r="I461" s="100">
        <v>6.7391919697301583</v>
      </c>
      <c r="J461" s="52">
        <v>3834.68</v>
      </c>
      <c r="K461" s="67">
        <f t="shared" si="32"/>
        <v>2325321.1667303862</v>
      </c>
      <c r="L461" s="95">
        <f>+VLOOKUP(E461,MARGEN!A:B,2,FALSE)</f>
        <v>0.1</v>
      </c>
      <c r="M461" s="112">
        <f t="shared" si="29"/>
        <v>232532.11667303863</v>
      </c>
      <c r="N461" s="113">
        <f t="shared" si="30"/>
        <v>9301.2846669215451</v>
      </c>
      <c r="O461" s="113">
        <f t="shared" si="31"/>
        <v>2083487.7653904262</v>
      </c>
    </row>
    <row r="462" spans="1:15" x14ac:dyDescent="0.25">
      <c r="A462" s="13">
        <v>44457</v>
      </c>
      <c r="B462" s="97">
        <v>89980</v>
      </c>
      <c r="C462" t="s">
        <v>206</v>
      </c>
      <c r="D462" s="94" t="s">
        <v>345</v>
      </c>
      <c r="E462" t="s">
        <v>36</v>
      </c>
      <c r="F462" t="s">
        <v>562</v>
      </c>
      <c r="G462" s="50" t="s">
        <v>559</v>
      </c>
      <c r="H462" s="50">
        <v>2</v>
      </c>
      <c r="I462" s="100">
        <v>6.7391919697301583</v>
      </c>
      <c r="J462" s="52">
        <v>3834.68</v>
      </c>
      <c r="K462" s="67">
        <f t="shared" si="32"/>
        <v>2325321.1667303862</v>
      </c>
      <c r="L462" s="95">
        <f>+VLOOKUP(E462,MARGEN!A:B,2,FALSE)</f>
        <v>0.1</v>
      </c>
      <c r="M462" s="112">
        <f t="shared" si="29"/>
        <v>232532.11667303863</v>
      </c>
      <c r="N462" s="113">
        <f t="shared" si="30"/>
        <v>9301.2846669215451</v>
      </c>
      <c r="O462" s="113">
        <f t="shared" si="31"/>
        <v>2083487.7653904262</v>
      </c>
    </row>
    <row r="463" spans="1:15" x14ac:dyDescent="0.25">
      <c r="A463" s="13">
        <v>44458</v>
      </c>
      <c r="B463" s="97">
        <v>89980</v>
      </c>
      <c r="C463" t="s">
        <v>206</v>
      </c>
      <c r="D463" s="94" t="s">
        <v>345</v>
      </c>
      <c r="E463" t="s">
        <v>36</v>
      </c>
      <c r="F463" t="s">
        <v>562</v>
      </c>
      <c r="G463" s="50" t="s">
        <v>559</v>
      </c>
      <c r="H463" s="50">
        <v>2</v>
      </c>
      <c r="I463" s="100">
        <v>6.7391919697301583</v>
      </c>
      <c r="J463" s="52">
        <v>3834.68</v>
      </c>
      <c r="K463" s="67">
        <f t="shared" si="32"/>
        <v>2325321.1667303862</v>
      </c>
      <c r="L463" s="95">
        <f>+VLOOKUP(E463,MARGEN!A:B,2,FALSE)</f>
        <v>0.1</v>
      </c>
      <c r="M463" s="112">
        <f t="shared" si="29"/>
        <v>232532.11667303863</v>
      </c>
      <c r="N463" s="113">
        <f t="shared" si="30"/>
        <v>9301.2846669215451</v>
      </c>
      <c r="O463" s="113">
        <f t="shared" si="31"/>
        <v>2083487.7653904262</v>
      </c>
    </row>
    <row r="464" spans="1:15" x14ac:dyDescent="0.25">
      <c r="A464" s="13">
        <v>44459</v>
      </c>
      <c r="B464" s="51">
        <v>89998</v>
      </c>
      <c r="C464" s="66" t="s">
        <v>206</v>
      </c>
      <c r="D464" s="66" t="s">
        <v>345</v>
      </c>
      <c r="E464" t="s">
        <v>36</v>
      </c>
      <c r="F464" s="50" t="s">
        <v>573</v>
      </c>
      <c r="G464" s="50" t="s">
        <v>574</v>
      </c>
      <c r="H464" s="50">
        <v>2</v>
      </c>
      <c r="I464" s="100">
        <v>6.7391919697301583</v>
      </c>
      <c r="J464" s="52">
        <v>3834.68</v>
      </c>
      <c r="K464" s="67">
        <f t="shared" si="32"/>
        <v>2325786.3343343111</v>
      </c>
      <c r="L464" s="95">
        <f>+VLOOKUP(E464,MARGEN!A:B,2,FALSE)</f>
        <v>0.1</v>
      </c>
      <c r="M464" s="112">
        <f t="shared" si="29"/>
        <v>232578.63343343113</v>
      </c>
      <c r="N464" s="113">
        <f t="shared" si="30"/>
        <v>9303.1453373372442</v>
      </c>
      <c r="O464" s="113">
        <f t="shared" si="31"/>
        <v>2083904.5555635428</v>
      </c>
    </row>
    <row r="465" spans="1:15" x14ac:dyDescent="0.25">
      <c r="A465" s="13">
        <v>44460</v>
      </c>
      <c r="B465" s="97">
        <v>89998</v>
      </c>
      <c r="C465" t="s">
        <v>206</v>
      </c>
      <c r="D465" t="s">
        <v>345</v>
      </c>
      <c r="E465" t="s">
        <v>36</v>
      </c>
      <c r="F465" t="s">
        <v>573</v>
      </c>
      <c r="G465" s="50" t="s">
        <v>574</v>
      </c>
      <c r="H465" s="50">
        <v>2</v>
      </c>
      <c r="I465" s="100">
        <v>6.7391919697301583</v>
      </c>
      <c r="J465" s="52">
        <v>3834.68</v>
      </c>
      <c r="K465" s="67">
        <f t="shared" si="32"/>
        <v>2325786.3343343111</v>
      </c>
      <c r="L465" s="95">
        <f>+VLOOKUP(E465,MARGEN!A:B,2,FALSE)</f>
        <v>0.1</v>
      </c>
      <c r="M465" s="112">
        <f t="shared" si="29"/>
        <v>232578.63343343113</v>
      </c>
      <c r="N465" s="113">
        <f t="shared" si="30"/>
        <v>9303.1453373372442</v>
      </c>
      <c r="O465" s="113">
        <f t="shared" si="31"/>
        <v>2083904.5555635428</v>
      </c>
    </row>
    <row r="466" spans="1:15" x14ac:dyDescent="0.25">
      <c r="A466" s="13">
        <v>44461</v>
      </c>
      <c r="B466" s="97">
        <v>89998</v>
      </c>
      <c r="C466" t="s">
        <v>206</v>
      </c>
      <c r="D466" t="s">
        <v>345</v>
      </c>
      <c r="E466" t="s">
        <v>36</v>
      </c>
      <c r="F466" t="s">
        <v>573</v>
      </c>
      <c r="G466" s="50" t="s">
        <v>574</v>
      </c>
      <c r="H466" s="50">
        <v>2</v>
      </c>
      <c r="I466" s="100">
        <v>6.7391919697301583</v>
      </c>
      <c r="J466" s="52">
        <v>3834.68</v>
      </c>
      <c r="K466" s="67">
        <f t="shared" si="32"/>
        <v>2325786.3343343111</v>
      </c>
      <c r="L466" s="95">
        <f>+VLOOKUP(E466,MARGEN!A:B,2,FALSE)</f>
        <v>0.1</v>
      </c>
      <c r="M466" s="112">
        <f t="shared" si="29"/>
        <v>232578.63343343113</v>
      </c>
      <c r="N466" s="113">
        <f t="shared" si="30"/>
        <v>9303.1453373372442</v>
      </c>
      <c r="O466" s="113">
        <f t="shared" si="31"/>
        <v>2083904.5555635428</v>
      </c>
    </row>
    <row r="467" spans="1:15" x14ac:dyDescent="0.25">
      <c r="A467" s="13">
        <v>44462</v>
      </c>
      <c r="B467" s="97">
        <v>89998</v>
      </c>
      <c r="C467" t="s">
        <v>206</v>
      </c>
      <c r="D467" t="s">
        <v>345</v>
      </c>
      <c r="E467" t="s">
        <v>36</v>
      </c>
      <c r="F467" t="s">
        <v>573</v>
      </c>
      <c r="G467" s="50" t="s">
        <v>574</v>
      </c>
      <c r="H467" s="50">
        <v>2</v>
      </c>
      <c r="I467" s="100">
        <v>6.7391919697301583</v>
      </c>
      <c r="J467" s="52">
        <v>3834.68</v>
      </c>
      <c r="K467" s="67">
        <f t="shared" si="32"/>
        <v>2325786.3343343111</v>
      </c>
      <c r="L467" s="95">
        <f>+VLOOKUP(E467,MARGEN!A:B,2,FALSE)</f>
        <v>0.1</v>
      </c>
      <c r="M467" s="112">
        <f t="shared" si="29"/>
        <v>232578.63343343113</v>
      </c>
      <c r="N467" s="113">
        <f t="shared" si="30"/>
        <v>9303.1453373372442</v>
      </c>
      <c r="O467" s="113">
        <f t="shared" si="31"/>
        <v>2083904.5555635428</v>
      </c>
    </row>
    <row r="468" spans="1:15" x14ac:dyDescent="0.25">
      <c r="A468" s="43">
        <v>44465</v>
      </c>
      <c r="B468" s="51">
        <v>89998</v>
      </c>
      <c r="C468" s="66" t="s">
        <v>206</v>
      </c>
      <c r="D468" s="66" t="s">
        <v>345</v>
      </c>
      <c r="E468" t="s">
        <v>36</v>
      </c>
      <c r="F468" s="50" t="s">
        <v>573</v>
      </c>
      <c r="G468" s="50" t="s">
        <v>574</v>
      </c>
      <c r="H468" s="50">
        <v>2</v>
      </c>
      <c r="I468" s="100">
        <v>6.7391919697301583</v>
      </c>
      <c r="J468" s="52">
        <v>3834.68</v>
      </c>
      <c r="K468" s="67">
        <f t="shared" si="32"/>
        <v>2325786.3343343111</v>
      </c>
      <c r="L468" s="95">
        <f>+VLOOKUP(E468,MARGEN!A:B,2,FALSE)</f>
        <v>0.1</v>
      </c>
      <c r="M468" s="112">
        <f t="shared" si="29"/>
        <v>232578.63343343113</v>
      </c>
      <c r="N468" s="113">
        <f t="shared" si="30"/>
        <v>9303.1453373372442</v>
      </c>
      <c r="O468" s="113">
        <f t="shared" si="31"/>
        <v>2083904.5555635428</v>
      </c>
    </row>
    <row r="469" spans="1:15" x14ac:dyDescent="0.25">
      <c r="A469" s="43">
        <v>44466</v>
      </c>
      <c r="B469" s="51">
        <v>89998</v>
      </c>
      <c r="C469" s="66" t="s">
        <v>206</v>
      </c>
      <c r="D469" s="66" t="s">
        <v>345</v>
      </c>
      <c r="E469" t="s">
        <v>36</v>
      </c>
      <c r="F469" s="50" t="s">
        <v>573</v>
      </c>
      <c r="G469" s="50" t="s">
        <v>574</v>
      </c>
      <c r="H469" s="50">
        <v>2</v>
      </c>
      <c r="I469" s="100">
        <v>6.7391919697301583</v>
      </c>
      <c r="J469" s="52">
        <v>3834.68</v>
      </c>
      <c r="K469" s="67">
        <f t="shared" si="32"/>
        <v>2325786.3343343111</v>
      </c>
      <c r="L469" s="95">
        <f>+VLOOKUP(E469,MARGEN!A:B,2,FALSE)</f>
        <v>0.1</v>
      </c>
      <c r="M469" s="112">
        <f t="shared" si="29"/>
        <v>232578.63343343113</v>
      </c>
      <c r="N469" s="113">
        <f t="shared" si="30"/>
        <v>9303.1453373372442</v>
      </c>
      <c r="O469" s="113">
        <f t="shared" si="31"/>
        <v>2083904.5555635428</v>
      </c>
    </row>
    <row r="470" spans="1:15" x14ac:dyDescent="0.25">
      <c r="A470" s="43">
        <v>44467</v>
      </c>
      <c r="B470" s="51">
        <v>89986</v>
      </c>
      <c r="C470" s="66" t="s">
        <v>206</v>
      </c>
      <c r="D470" s="66" t="s">
        <v>345</v>
      </c>
      <c r="E470" t="s">
        <v>36</v>
      </c>
      <c r="F470" s="50" t="s">
        <v>566</v>
      </c>
      <c r="G470" s="50" t="s">
        <v>574</v>
      </c>
      <c r="H470" s="50">
        <v>2</v>
      </c>
      <c r="I470" s="100">
        <v>6.7391919697301583</v>
      </c>
      <c r="J470" s="52">
        <v>3834.68</v>
      </c>
      <c r="K470" s="67">
        <f t="shared" si="32"/>
        <v>2325476.2225983609</v>
      </c>
      <c r="L470" s="95">
        <f>+VLOOKUP(E470,MARGEN!A:B,2,FALSE)</f>
        <v>0.1</v>
      </c>
      <c r="M470" s="112">
        <f t="shared" si="29"/>
        <v>232547.62225983609</v>
      </c>
      <c r="N470" s="113">
        <f t="shared" si="30"/>
        <v>9301.9048903934436</v>
      </c>
      <c r="O470" s="113">
        <f t="shared" si="31"/>
        <v>2083626.6954481313</v>
      </c>
    </row>
    <row r="471" spans="1:15" x14ac:dyDescent="0.25">
      <c r="A471" s="13">
        <v>44468</v>
      </c>
      <c r="B471" s="97">
        <v>89998</v>
      </c>
      <c r="C471" t="s">
        <v>206</v>
      </c>
      <c r="D471" t="s">
        <v>345</v>
      </c>
      <c r="E471" t="s">
        <v>36</v>
      </c>
      <c r="F471" t="s">
        <v>573</v>
      </c>
      <c r="G471" s="50" t="s">
        <v>574</v>
      </c>
      <c r="H471" s="50">
        <v>2</v>
      </c>
      <c r="I471" s="100">
        <v>6.7391919697301583</v>
      </c>
      <c r="J471" s="52">
        <v>3834.68</v>
      </c>
      <c r="K471" s="67">
        <f t="shared" si="32"/>
        <v>2325786.3343343111</v>
      </c>
      <c r="L471" s="95">
        <f>+VLOOKUP(E471,MARGEN!A:B,2,FALSE)</f>
        <v>0.1</v>
      </c>
      <c r="M471" s="112">
        <f t="shared" si="29"/>
        <v>232578.63343343113</v>
      </c>
      <c r="N471" s="113">
        <f t="shared" si="30"/>
        <v>9303.1453373372442</v>
      </c>
      <c r="O471" s="113">
        <f t="shared" si="31"/>
        <v>2083904.5555635428</v>
      </c>
    </row>
    <row r="472" spans="1:15" x14ac:dyDescent="0.25">
      <c r="A472" s="13">
        <v>44469</v>
      </c>
      <c r="B472" s="97">
        <v>89998</v>
      </c>
      <c r="C472" t="s">
        <v>206</v>
      </c>
      <c r="D472" t="s">
        <v>345</v>
      </c>
      <c r="E472" t="s">
        <v>36</v>
      </c>
      <c r="F472" t="s">
        <v>573</v>
      </c>
      <c r="G472" s="50" t="s">
        <v>574</v>
      </c>
      <c r="H472" s="50">
        <v>2</v>
      </c>
      <c r="I472" s="100">
        <v>6.7391919697301583</v>
      </c>
      <c r="J472" s="52">
        <v>3834.68</v>
      </c>
      <c r="K472" s="67">
        <f t="shared" si="32"/>
        <v>2325786.3343343111</v>
      </c>
      <c r="L472" s="95">
        <f>+VLOOKUP(E472,MARGEN!A:B,2,FALSE)</f>
        <v>0.1</v>
      </c>
      <c r="M472" s="112">
        <f t="shared" si="29"/>
        <v>232578.63343343113</v>
      </c>
      <c r="N472" s="113">
        <f t="shared" si="30"/>
        <v>9303.1453373372442</v>
      </c>
      <c r="O472" s="113">
        <f t="shared" si="31"/>
        <v>2083904.5555635428</v>
      </c>
    </row>
    <row r="473" spans="1:15" x14ac:dyDescent="0.25">
      <c r="A473" s="13">
        <v>44447</v>
      </c>
      <c r="B473" s="97">
        <v>13570</v>
      </c>
      <c r="C473" t="s">
        <v>72</v>
      </c>
      <c r="D473" s="94" t="s">
        <v>486</v>
      </c>
      <c r="E473" t="s">
        <v>27</v>
      </c>
      <c r="F473" t="s">
        <v>572</v>
      </c>
      <c r="G473" s="50" t="s">
        <v>243</v>
      </c>
      <c r="H473" s="50">
        <v>2</v>
      </c>
      <c r="I473" s="100">
        <v>6.7391919697301583</v>
      </c>
      <c r="J473" s="52">
        <v>3834.68</v>
      </c>
      <c r="K473" s="67">
        <f t="shared" si="32"/>
        <v>350684.68806991936</v>
      </c>
      <c r="L473" s="95">
        <f>+VLOOKUP(E473,MARGEN!A:B,2,FALSE)</f>
        <v>0.1</v>
      </c>
      <c r="M473" s="112">
        <f t="shared" si="29"/>
        <v>35068.468806991936</v>
      </c>
      <c r="N473" s="113">
        <f t="shared" si="30"/>
        <v>1402.7387522796773</v>
      </c>
      <c r="O473" s="113">
        <f t="shared" si="31"/>
        <v>314213.48051064776</v>
      </c>
    </row>
    <row r="474" spans="1:15" x14ac:dyDescent="0.25">
      <c r="A474" s="13">
        <v>44448</v>
      </c>
      <c r="B474" s="97">
        <v>13582</v>
      </c>
      <c r="C474" t="s">
        <v>72</v>
      </c>
      <c r="D474" s="94" t="s">
        <v>486</v>
      </c>
      <c r="E474" t="s">
        <v>27</v>
      </c>
      <c r="F474" t="s">
        <v>558</v>
      </c>
      <c r="G474" s="50" t="s">
        <v>559</v>
      </c>
      <c r="H474" s="50">
        <v>2</v>
      </c>
      <c r="I474" s="100">
        <v>6.7391919697301583</v>
      </c>
      <c r="J474" s="52">
        <v>3834.68</v>
      </c>
      <c r="K474" s="67">
        <f t="shared" si="32"/>
        <v>350994.79980586912</v>
      </c>
      <c r="L474" s="95">
        <f>+VLOOKUP(E474,MARGEN!A:B,2,FALSE)</f>
        <v>0.1</v>
      </c>
      <c r="M474" s="112">
        <f t="shared" si="29"/>
        <v>35099.479980586912</v>
      </c>
      <c r="N474" s="113">
        <f t="shared" si="30"/>
        <v>1403.9791992234764</v>
      </c>
      <c r="O474" s="113">
        <f t="shared" si="31"/>
        <v>314491.34062605875</v>
      </c>
    </row>
    <row r="475" spans="1:15" x14ac:dyDescent="0.25">
      <c r="A475" s="13">
        <v>44449</v>
      </c>
      <c r="B475" s="97">
        <v>13582</v>
      </c>
      <c r="C475" t="s">
        <v>72</v>
      </c>
      <c r="D475" s="94" t="s">
        <v>486</v>
      </c>
      <c r="E475" t="s">
        <v>27</v>
      </c>
      <c r="F475" t="s">
        <v>558</v>
      </c>
      <c r="G475" s="50" t="s">
        <v>559</v>
      </c>
      <c r="H475" s="50">
        <v>2</v>
      </c>
      <c r="I475" s="100">
        <v>6.7391919697301583</v>
      </c>
      <c r="J475" s="52">
        <v>3834.68</v>
      </c>
      <c r="K475" s="67">
        <f t="shared" si="32"/>
        <v>350994.79980586912</v>
      </c>
      <c r="L475" s="95">
        <f>+VLOOKUP(E475,MARGEN!A:B,2,FALSE)</f>
        <v>0.1</v>
      </c>
      <c r="M475" s="112">
        <f t="shared" si="29"/>
        <v>35099.479980586912</v>
      </c>
      <c r="N475" s="113">
        <f t="shared" si="30"/>
        <v>1403.9791992234764</v>
      </c>
      <c r="O475" s="113">
        <f t="shared" si="31"/>
        <v>314491.34062605875</v>
      </c>
    </row>
    <row r="476" spans="1:15" x14ac:dyDescent="0.25">
      <c r="A476" s="13">
        <v>44450</v>
      </c>
      <c r="B476" s="97">
        <v>13582</v>
      </c>
      <c r="C476" t="s">
        <v>72</v>
      </c>
      <c r="D476" s="94" t="s">
        <v>486</v>
      </c>
      <c r="E476" t="s">
        <v>27</v>
      </c>
      <c r="F476" t="s">
        <v>558</v>
      </c>
      <c r="G476" s="50" t="s">
        <v>559</v>
      </c>
      <c r="H476" s="50">
        <v>2</v>
      </c>
      <c r="I476" s="100">
        <v>6.7391919697301583</v>
      </c>
      <c r="J476" s="52">
        <v>3834.68</v>
      </c>
      <c r="K476" s="67">
        <f t="shared" si="32"/>
        <v>350994.79980586912</v>
      </c>
      <c r="L476" s="95">
        <f>+VLOOKUP(E476,MARGEN!A:B,2,FALSE)</f>
        <v>0.1</v>
      </c>
      <c r="M476" s="112">
        <f t="shared" si="29"/>
        <v>35099.479980586912</v>
      </c>
      <c r="N476" s="113">
        <f t="shared" si="30"/>
        <v>1403.9791992234764</v>
      </c>
      <c r="O476" s="113">
        <f t="shared" si="31"/>
        <v>314491.34062605875</v>
      </c>
    </row>
    <row r="477" spans="1:15" x14ac:dyDescent="0.25">
      <c r="A477" s="13">
        <v>44451</v>
      </c>
      <c r="B477" s="97">
        <v>13582</v>
      </c>
      <c r="C477" t="s">
        <v>72</v>
      </c>
      <c r="D477" s="94" t="s">
        <v>486</v>
      </c>
      <c r="E477" t="s">
        <v>27</v>
      </c>
      <c r="F477" t="s">
        <v>558</v>
      </c>
      <c r="G477" s="50" t="s">
        <v>559</v>
      </c>
      <c r="H477" s="50">
        <v>2</v>
      </c>
      <c r="I477" s="100">
        <v>6.7391919697301583</v>
      </c>
      <c r="J477" s="52">
        <v>3834.68</v>
      </c>
      <c r="K477" s="67">
        <f t="shared" si="32"/>
        <v>350994.79980586912</v>
      </c>
      <c r="L477" s="95">
        <f>+VLOOKUP(E477,MARGEN!A:B,2,FALSE)</f>
        <v>0.1</v>
      </c>
      <c r="M477" s="112">
        <f t="shared" si="29"/>
        <v>35099.479980586912</v>
      </c>
      <c r="N477" s="113">
        <f t="shared" si="30"/>
        <v>1403.9791992234764</v>
      </c>
      <c r="O477" s="113">
        <f t="shared" si="31"/>
        <v>314491.34062605875</v>
      </c>
    </row>
    <row r="478" spans="1:15" x14ac:dyDescent="0.25">
      <c r="A478" s="13">
        <v>44452</v>
      </c>
      <c r="B478" s="97">
        <v>13582</v>
      </c>
      <c r="C478" t="s">
        <v>72</v>
      </c>
      <c r="D478" s="94" t="s">
        <v>486</v>
      </c>
      <c r="E478" t="s">
        <v>27</v>
      </c>
      <c r="F478" t="s">
        <v>558</v>
      </c>
      <c r="G478" s="50" t="s">
        <v>559</v>
      </c>
      <c r="H478" s="50">
        <v>2</v>
      </c>
      <c r="I478" s="100">
        <v>6.7391919697301583</v>
      </c>
      <c r="J478" s="52">
        <v>3834.68</v>
      </c>
      <c r="K478" s="67">
        <f t="shared" si="32"/>
        <v>350994.79980586912</v>
      </c>
      <c r="L478" s="95">
        <f>+VLOOKUP(E478,MARGEN!A:B,2,FALSE)</f>
        <v>0.1</v>
      </c>
      <c r="M478" s="112">
        <f t="shared" si="29"/>
        <v>35099.479980586912</v>
      </c>
      <c r="N478" s="113">
        <f t="shared" si="30"/>
        <v>1403.9791992234764</v>
      </c>
      <c r="O478" s="113">
        <f t="shared" si="31"/>
        <v>314491.34062605875</v>
      </c>
    </row>
    <row r="479" spans="1:15" x14ac:dyDescent="0.25">
      <c r="A479" s="13">
        <v>44453</v>
      </c>
      <c r="B479" s="97">
        <v>13582</v>
      </c>
      <c r="C479" t="s">
        <v>72</v>
      </c>
      <c r="D479" s="94" t="s">
        <v>486</v>
      </c>
      <c r="E479" t="s">
        <v>27</v>
      </c>
      <c r="F479" t="s">
        <v>558</v>
      </c>
      <c r="G479" s="50" t="s">
        <v>559</v>
      </c>
      <c r="H479" s="50">
        <v>2</v>
      </c>
      <c r="I479" s="100">
        <v>6.7391919697301583</v>
      </c>
      <c r="J479" s="52">
        <v>3834.68</v>
      </c>
      <c r="K479" s="67">
        <f t="shared" si="32"/>
        <v>350994.79980586912</v>
      </c>
      <c r="L479" s="95">
        <f>+VLOOKUP(E479,MARGEN!A:B,2,FALSE)</f>
        <v>0.1</v>
      </c>
      <c r="M479" s="112">
        <f t="shared" si="29"/>
        <v>35099.479980586912</v>
      </c>
      <c r="N479" s="113">
        <f t="shared" si="30"/>
        <v>1403.9791992234764</v>
      </c>
      <c r="O479" s="113">
        <f t="shared" si="31"/>
        <v>314491.34062605875</v>
      </c>
    </row>
    <row r="480" spans="1:15" x14ac:dyDescent="0.25">
      <c r="A480" s="13">
        <v>44454</v>
      </c>
      <c r="B480" s="97">
        <v>13582</v>
      </c>
      <c r="C480" t="s">
        <v>72</v>
      </c>
      <c r="D480" s="94" t="s">
        <v>486</v>
      </c>
      <c r="E480" t="s">
        <v>27</v>
      </c>
      <c r="F480" t="s">
        <v>558</v>
      </c>
      <c r="G480" s="50" t="s">
        <v>559</v>
      </c>
      <c r="H480" s="50">
        <v>2</v>
      </c>
      <c r="I480" s="100">
        <v>6.7391919697301583</v>
      </c>
      <c r="J480" s="52">
        <v>3834.68</v>
      </c>
      <c r="K480" s="67">
        <f t="shared" si="32"/>
        <v>350994.79980586912</v>
      </c>
      <c r="L480" s="95">
        <f>+VLOOKUP(E480,MARGEN!A:B,2,FALSE)</f>
        <v>0.1</v>
      </c>
      <c r="M480" s="112">
        <f t="shared" si="29"/>
        <v>35099.479980586912</v>
      </c>
      <c r="N480" s="113">
        <f t="shared" si="30"/>
        <v>1403.9791992234764</v>
      </c>
      <c r="O480" s="113">
        <f t="shared" si="31"/>
        <v>314491.34062605875</v>
      </c>
    </row>
    <row r="481" spans="1:15" x14ac:dyDescent="0.25">
      <c r="A481" s="13">
        <v>44455</v>
      </c>
      <c r="B481" s="97">
        <v>13582</v>
      </c>
      <c r="C481" t="s">
        <v>72</v>
      </c>
      <c r="D481" s="94" t="s">
        <v>486</v>
      </c>
      <c r="E481" t="s">
        <v>27</v>
      </c>
      <c r="F481" t="s">
        <v>558</v>
      </c>
      <c r="G481" s="50" t="s">
        <v>559</v>
      </c>
      <c r="H481" s="50">
        <v>2</v>
      </c>
      <c r="I481" s="100">
        <v>6.7391919697301583</v>
      </c>
      <c r="J481" s="52">
        <v>3834.68</v>
      </c>
      <c r="K481" s="67">
        <f t="shared" si="32"/>
        <v>350994.79980586912</v>
      </c>
      <c r="L481" s="95">
        <f>+VLOOKUP(E481,MARGEN!A:B,2,FALSE)</f>
        <v>0.1</v>
      </c>
      <c r="M481" s="112">
        <f t="shared" si="29"/>
        <v>35099.479980586912</v>
      </c>
      <c r="N481" s="113">
        <f t="shared" si="30"/>
        <v>1403.9791992234764</v>
      </c>
      <c r="O481" s="113">
        <f t="shared" si="31"/>
        <v>314491.34062605875</v>
      </c>
    </row>
    <row r="482" spans="1:15" x14ac:dyDescent="0.25">
      <c r="A482" s="13">
        <v>44456</v>
      </c>
      <c r="B482" s="97">
        <v>13582</v>
      </c>
      <c r="C482" t="s">
        <v>72</v>
      </c>
      <c r="D482" s="94" t="s">
        <v>486</v>
      </c>
      <c r="E482" t="s">
        <v>27</v>
      </c>
      <c r="F482" t="s">
        <v>558</v>
      </c>
      <c r="G482" s="50" t="s">
        <v>559</v>
      </c>
      <c r="H482" s="50">
        <v>2</v>
      </c>
      <c r="I482" s="100">
        <v>6.7391919697301583</v>
      </c>
      <c r="J482" s="52">
        <v>3834.68</v>
      </c>
      <c r="K482" s="67">
        <f t="shared" si="32"/>
        <v>350994.79980586912</v>
      </c>
      <c r="L482" s="95">
        <f>+VLOOKUP(E482,MARGEN!A:B,2,FALSE)</f>
        <v>0.1</v>
      </c>
      <c r="M482" s="112">
        <f t="shared" si="29"/>
        <v>35099.479980586912</v>
      </c>
      <c r="N482" s="113">
        <f t="shared" si="30"/>
        <v>1403.9791992234764</v>
      </c>
      <c r="O482" s="113">
        <f t="shared" si="31"/>
        <v>314491.34062605875</v>
      </c>
    </row>
    <row r="483" spans="1:15" x14ac:dyDescent="0.25">
      <c r="A483" s="13">
        <v>44457</v>
      </c>
      <c r="B483" s="97">
        <v>13581</v>
      </c>
      <c r="C483" t="s">
        <v>72</v>
      </c>
      <c r="D483" s="94" t="s">
        <v>486</v>
      </c>
      <c r="E483" t="s">
        <v>27</v>
      </c>
      <c r="F483" t="s">
        <v>566</v>
      </c>
      <c r="G483" s="50" t="s">
        <v>559</v>
      </c>
      <c r="H483" s="50">
        <v>2</v>
      </c>
      <c r="I483" s="100">
        <v>6.7391919697301583</v>
      </c>
      <c r="J483" s="52">
        <v>3834.68</v>
      </c>
      <c r="K483" s="67">
        <f t="shared" si="32"/>
        <v>350968.95716120664</v>
      </c>
      <c r="L483" s="95">
        <f>+VLOOKUP(E483,MARGEN!A:B,2,FALSE)</f>
        <v>0.1</v>
      </c>
      <c r="M483" s="112">
        <f t="shared" si="29"/>
        <v>35096.895716120664</v>
      </c>
      <c r="N483" s="113">
        <f t="shared" si="30"/>
        <v>1403.8758286448265</v>
      </c>
      <c r="O483" s="113">
        <f t="shared" si="31"/>
        <v>314468.18561644113</v>
      </c>
    </row>
    <row r="484" spans="1:15" x14ac:dyDescent="0.25">
      <c r="A484" s="13">
        <v>44458</v>
      </c>
      <c r="B484" s="97">
        <v>13581</v>
      </c>
      <c r="C484" t="s">
        <v>72</v>
      </c>
      <c r="D484" s="94" t="s">
        <v>486</v>
      </c>
      <c r="E484" t="s">
        <v>27</v>
      </c>
      <c r="F484" t="s">
        <v>551</v>
      </c>
      <c r="G484" s="50" t="s">
        <v>205</v>
      </c>
      <c r="H484" s="50">
        <v>2</v>
      </c>
      <c r="I484" s="100">
        <v>6.7391919697301583</v>
      </c>
      <c r="J484" s="52">
        <v>3834.68</v>
      </c>
      <c r="K484" s="67">
        <f t="shared" si="32"/>
        <v>350968.95716120664</v>
      </c>
      <c r="L484" s="95">
        <f>+VLOOKUP(E484,MARGEN!A:B,2,FALSE)</f>
        <v>0.1</v>
      </c>
      <c r="M484" s="112">
        <f t="shared" si="29"/>
        <v>35096.895716120664</v>
      </c>
      <c r="N484" s="113">
        <f t="shared" si="30"/>
        <v>1403.8758286448265</v>
      </c>
      <c r="O484" s="113">
        <f t="shared" si="31"/>
        <v>314468.18561644113</v>
      </c>
    </row>
    <row r="485" spans="1:15" x14ac:dyDescent="0.25">
      <c r="A485" s="13">
        <v>44459</v>
      </c>
      <c r="B485" s="97">
        <v>13581</v>
      </c>
      <c r="C485" t="s">
        <v>72</v>
      </c>
      <c r="D485" s="94" t="s">
        <v>486</v>
      </c>
      <c r="E485" t="s">
        <v>27</v>
      </c>
      <c r="F485" t="s">
        <v>551</v>
      </c>
      <c r="G485" s="50" t="s">
        <v>205</v>
      </c>
      <c r="H485" s="50">
        <v>2</v>
      </c>
      <c r="I485" s="100">
        <v>6.7391919697301583</v>
      </c>
      <c r="J485" s="52">
        <v>3834.68</v>
      </c>
      <c r="K485" s="67">
        <f t="shared" si="32"/>
        <v>350968.95716120664</v>
      </c>
      <c r="L485" s="95">
        <f>+VLOOKUP(E485,MARGEN!A:B,2,FALSE)</f>
        <v>0.1</v>
      </c>
      <c r="M485" s="112">
        <f t="shared" si="29"/>
        <v>35096.895716120664</v>
      </c>
      <c r="N485" s="113">
        <f t="shared" si="30"/>
        <v>1403.8758286448265</v>
      </c>
      <c r="O485" s="113">
        <f t="shared" si="31"/>
        <v>314468.18561644113</v>
      </c>
    </row>
    <row r="486" spans="1:15" x14ac:dyDescent="0.25">
      <c r="A486" s="13">
        <v>44460</v>
      </c>
      <c r="B486" s="97">
        <v>13581</v>
      </c>
      <c r="C486" t="s">
        <v>72</v>
      </c>
      <c r="D486" s="94" t="s">
        <v>486</v>
      </c>
      <c r="E486" t="s">
        <v>27</v>
      </c>
      <c r="F486" t="s">
        <v>551</v>
      </c>
      <c r="G486" s="50" t="s">
        <v>205</v>
      </c>
      <c r="H486" s="50">
        <v>2</v>
      </c>
      <c r="I486" s="100">
        <v>6.7391919697301583</v>
      </c>
      <c r="J486" s="52">
        <v>3834.68</v>
      </c>
      <c r="K486" s="67">
        <f t="shared" si="32"/>
        <v>350968.95716120664</v>
      </c>
      <c r="L486" s="95">
        <f>+VLOOKUP(E486,MARGEN!A:B,2,FALSE)</f>
        <v>0.1</v>
      </c>
      <c r="M486" s="112">
        <f t="shared" si="29"/>
        <v>35096.895716120664</v>
      </c>
      <c r="N486" s="113">
        <f t="shared" si="30"/>
        <v>1403.8758286448265</v>
      </c>
      <c r="O486" s="113">
        <f t="shared" si="31"/>
        <v>314468.18561644113</v>
      </c>
    </row>
    <row r="487" spans="1:15" x14ac:dyDescent="0.25">
      <c r="A487" s="13">
        <v>44461</v>
      </c>
      <c r="B487" s="97">
        <v>13581</v>
      </c>
      <c r="C487" t="s">
        <v>72</v>
      </c>
      <c r="D487" s="94" t="s">
        <v>486</v>
      </c>
      <c r="E487" t="s">
        <v>27</v>
      </c>
      <c r="F487" t="s">
        <v>551</v>
      </c>
      <c r="G487" s="50" t="s">
        <v>205</v>
      </c>
      <c r="H487" s="50">
        <v>2</v>
      </c>
      <c r="I487" s="100">
        <v>6.7391919697301583</v>
      </c>
      <c r="J487" s="52">
        <v>3834.68</v>
      </c>
      <c r="K487" s="67">
        <f t="shared" si="32"/>
        <v>350968.95716120664</v>
      </c>
      <c r="L487" s="95">
        <f>+VLOOKUP(E487,MARGEN!A:B,2,FALSE)</f>
        <v>0.1</v>
      </c>
      <c r="M487" s="112">
        <f t="shared" si="29"/>
        <v>35096.895716120664</v>
      </c>
      <c r="N487" s="113">
        <f t="shared" si="30"/>
        <v>1403.8758286448265</v>
      </c>
      <c r="O487" s="113">
        <f t="shared" si="31"/>
        <v>314468.18561644113</v>
      </c>
    </row>
    <row r="488" spans="1:15" x14ac:dyDescent="0.25">
      <c r="A488" s="13">
        <v>44462</v>
      </c>
      <c r="B488" s="97">
        <v>13580</v>
      </c>
      <c r="C488" t="s">
        <v>72</v>
      </c>
      <c r="D488" s="94" t="s">
        <v>486</v>
      </c>
      <c r="E488" t="s">
        <v>27</v>
      </c>
      <c r="F488" t="s">
        <v>562</v>
      </c>
      <c r="G488" s="50" t="s">
        <v>574</v>
      </c>
      <c r="H488" s="50">
        <v>2</v>
      </c>
      <c r="I488" s="100">
        <v>6.7391919697301583</v>
      </c>
      <c r="J488" s="52">
        <v>3834.68</v>
      </c>
      <c r="K488" s="67">
        <f t="shared" si="32"/>
        <v>350943.11451654416</v>
      </c>
      <c r="L488" s="95">
        <f>+VLOOKUP(E488,MARGEN!A:B,2,FALSE)</f>
        <v>0.1</v>
      </c>
      <c r="M488" s="112">
        <f t="shared" si="29"/>
        <v>35094.311451654416</v>
      </c>
      <c r="N488" s="113">
        <f t="shared" si="30"/>
        <v>1403.7724580661766</v>
      </c>
      <c r="O488" s="113">
        <f t="shared" si="31"/>
        <v>314445.03060682357</v>
      </c>
    </row>
    <row r="489" spans="1:15" x14ac:dyDescent="0.25">
      <c r="A489" s="13">
        <v>44463</v>
      </c>
      <c r="B489" s="97">
        <v>13582</v>
      </c>
      <c r="C489" t="s">
        <v>72</v>
      </c>
      <c r="D489" t="s">
        <v>486</v>
      </c>
      <c r="E489" t="s">
        <v>27</v>
      </c>
      <c r="F489" t="s">
        <v>558</v>
      </c>
      <c r="G489" s="50" t="s">
        <v>574</v>
      </c>
      <c r="H489" s="50">
        <v>2</v>
      </c>
      <c r="I489" s="100">
        <v>6.7391919697301583</v>
      </c>
      <c r="J489" s="52">
        <v>3834.68</v>
      </c>
      <c r="K489" s="67">
        <f t="shared" si="32"/>
        <v>350994.79980586912</v>
      </c>
      <c r="L489" s="95">
        <f>+VLOOKUP(E489,MARGEN!A:B,2,FALSE)</f>
        <v>0.1</v>
      </c>
      <c r="M489" s="112">
        <f t="shared" si="29"/>
        <v>35099.479980586912</v>
      </c>
      <c r="N489" s="113">
        <f t="shared" si="30"/>
        <v>1403.9791992234764</v>
      </c>
      <c r="O489" s="113">
        <f t="shared" si="31"/>
        <v>314491.34062605875</v>
      </c>
    </row>
    <row r="490" spans="1:15" x14ac:dyDescent="0.25">
      <c r="A490" s="43">
        <v>44467</v>
      </c>
      <c r="B490" s="51">
        <v>54975</v>
      </c>
      <c r="C490" s="66" t="s">
        <v>56</v>
      </c>
      <c r="D490" s="66" t="s">
        <v>423</v>
      </c>
      <c r="E490" t="s">
        <v>44</v>
      </c>
      <c r="F490" s="50" t="s">
        <v>566</v>
      </c>
      <c r="G490" s="50" t="s">
        <v>574</v>
      </c>
      <c r="H490" s="50">
        <v>2</v>
      </c>
      <c r="I490" s="100">
        <v>6.7391919697301583</v>
      </c>
      <c r="J490" s="52">
        <v>3834.68</v>
      </c>
      <c r="K490" s="67">
        <f t="shared" si="32"/>
        <v>1420699.3903201043</v>
      </c>
      <c r="L490" s="95">
        <f>+VLOOKUP(E490,MARGEN!A:B,2,FALSE)</f>
        <v>0.09</v>
      </c>
      <c r="M490" s="112">
        <f t="shared" si="29"/>
        <v>127862.94512880938</v>
      </c>
      <c r="N490" s="113">
        <f t="shared" si="30"/>
        <v>5682.7975612804175</v>
      </c>
      <c r="O490" s="113">
        <f t="shared" si="31"/>
        <v>1287153.6476300145</v>
      </c>
    </row>
    <row r="491" spans="1:15" x14ac:dyDescent="0.25">
      <c r="A491" s="43">
        <v>44468</v>
      </c>
      <c r="B491" s="51">
        <v>54977</v>
      </c>
      <c r="C491" s="66" t="s">
        <v>56</v>
      </c>
      <c r="D491" s="66" t="s">
        <v>423</v>
      </c>
      <c r="E491" t="s">
        <v>44</v>
      </c>
      <c r="F491" s="50" t="s">
        <v>558</v>
      </c>
      <c r="G491" s="50" t="s">
        <v>574</v>
      </c>
      <c r="H491" s="50">
        <v>2</v>
      </c>
      <c r="I491" s="100">
        <v>6.7391919697301583</v>
      </c>
      <c r="J491" s="52">
        <v>3834.68</v>
      </c>
      <c r="K491" s="67">
        <f t="shared" si="32"/>
        <v>1420751.075609429</v>
      </c>
      <c r="L491" s="95">
        <f>+VLOOKUP(E491,MARGEN!A:B,2,FALSE)</f>
        <v>0.09</v>
      </c>
      <c r="M491" s="112">
        <f t="shared" si="29"/>
        <v>127867.59680484861</v>
      </c>
      <c r="N491" s="113">
        <f t="shared" si="30"/>
        <v>5683.0043024377164</v>
      </c>
      <c r="O491" s="113">
        <f t="shared" si="31"/>
        <v>1287200.4745021428</v>
      </c>
    </row>
    <row r="492" spans="1:15" x14ac:dyDescent="0.25">
      <c r="A492" s="13">
        <v>44453</v>
      </c>
      <c r="B492" s="51">
        <v>24979</v>
      </c>
      <c r="C492" s="66" t="s">
        <v>57</v>
      </c>
      <c r="D492" s="66" t="s">
        <v>324</v>
      </c>
      <c r="E492" t="s">
        <v>48</v>
      </c>
      <c r="F492" s="50" t="s">
        <v>551</v>
      </c>
      <c r="G492" s="50" t="s">
        <v>205</v>
      </c>
      <c r="H492" s="50">
        <v>2</v>
      </c>
      <c r="I492" s="100">
        <v>6.7391919697301583</v>
      </c>
      <c r="J492" s="52">
        <v>3834.68</v>
      </c>
      <c r="K492" s="67">
        <f t="shared" si="32"/>
        <v>645523.42102420889</v>
      </c>
      <c r="L492" s="95">
        <f>+VLOOKUP(E492,MARGEN!A:B,2,FALSE)</f>
        <v>0.09</v>
      </c>
      <c r="M492" s="112">
        <f t="shared" si="29"/>
        <v>58097.107892178799</v>
      </c>
      <c r="N492" s="113">
        <f t="shared" si="30"/>
        <v>2582.0936840968357</v>
      </c>
      <c r="O492" s="113">
        <f t="shared" si="31"/>
        <v>584844.21944793325</v>
      </c>
    </row>
    <row r="493" spans="1:15" x14ac:dyDescent="0.25">
      <c r="A493" s="13">
        <v>44453</v>
      </c>
      <c r="B493" s="97">
        <v>14397</v>
      </c>
      <c r="C493" t="s">
        <v>57</v>
      </c>
      <c r="D493" s="94" t="s">
        <v>505</v>
      </c>
      <c r="E493" t="s">
        <v>48</v>
      </c>
      <c r="F493" t="s">
        <v>551</v>
      </c>
      <c r="G493" s="50" t="s">
        <v>205</v>
      </c>
      <c r="H493" s="50">
        <v>2</v>
      </c>
      <c r="I493" s="100">
        <v>6.7391919697301583</v>
      </c>
      <c r="J493" s="52">
        <v>3834.68</v>
      </c>
      <c r="K493" s="67">
        <f t="shared" si="32"/>
        <v>372056.55520579428</v>
      </c>
      <c r="L493" s="95">
        <f>+VLOOKUP(E493,MARGEN!A:B,2,FALSE)</f>
        <v>0.09</v>
      </c>
      <c r="M493" s="112">
        <f t="shared" si="29"/>
        <v>33485.089968521483</v>
      </c>
      <c r="N493" s="113">
        <f t="shared" si="30"/>
        <v>1488.2262208231771</v>
      </c>
      <c r="O493" s="113">
        <f t="shared" si="31"/>
        <v>337083.2390164496</v>
      </c>
    </row>
    <row r="494" spans="1:15" x14ac:dyDescent="0.25">
      <c r="A494" s="13">
        <v>44454</v>
      </c>
      <c r="B494" s="51">
        <v>24979</v>
      </c>
      <c r="C494" s="66" t="s">
        <v>57</v>
      </c>
      <c r="D494" s="66" t="s">
        <v>324</v>
      </c>
      <c r="E494" t="s">
        <v>48</v>
      </c>
      <c r="F494" s="50" t="s">
        <v>551</v>
      </c>
      <c r="G494" s="50" t="s">
        <v>205</v>
      </c>
      <c r="H494" s="50">
        <v>2</v>
      </c>
      <c r="I494" s="100">
        <v>6.7391919697301583</v>
      </c>
      <c r="J494" s="52">
        <v>3834.68</v>
      </c>
      <c r="K494" s="67">
        <f t="shared" si="32"/>
        <v>645523.42102420889</v>
      </c>
      <c r="L494" s="95">
        <f>+VLOOKUP(E494,MARGEN!A:B,2,FALSE)</f>
        <v>0.09</v>
      </c>
      <c r="M494" s="112">
        <f t="shared" si="29"/>
        <v>58097.107892178799</v>
      </c>
      <c r="N494" s="113">
        <f t="shared" si="30"/>
        <v>2582.0936840968357</v>
      </c>
      <c r="O494" s="113">
        <f t="shared" si="31"/>
        <v>584844.21944793325</v>
      </c>
    </row>
    <row r="495" spans="1:15" x14ac:dyDescent="0.25">
      <c r="A495" s="13">
        <v>44454</v>
      </c>
      <c r="B495" s="51">
        <v>14397</v>
      </c>
      <c r="C495" s="66" t="s">
        <v>57</v>
      </c>
      <c r="D495" s="66" t="s">
        <v>505</v>
      </c>
      <c r="E495" t="s">
        <v>48</v>
      </c>
      <c r="F495" s="50" t="s">
        <v>551</v>
      </c>
      <c r="G495" s="50" t="s">
        <v>205</v>
      </c>
      <c r="H495" s="50">
        <v>2</v>
      </c>
      <c r="I495" s="100">
        <v>6.7391919697301583</v>
      </c>
      <c r="J495" s="52">
        <v>3834.68</v>
      </c>
      <c r="K495" s="67">
        <f t="shared" si="32"/>
        <v>372056.55520579428</v>
      </c>
      <c r="L495" s="95">
        <f>+VLOOKUP(E495,MARGEN!A:B,2,FALSE)</f>
        <v>0.09</v>
      </c>
      <c r="M495" s="112">
        <f t="shared" si="29"/>
        <v>33485.089968521483</v>
      </c>
      <c r="N495" s="113">
        <f t="shared" si="30"/>
        <v>1488.2262208231771</v>
      </c>
      <c r="O495" s="113">
        <f t="shared" si="31"/>
        <v>337083.2390164496</v>
      </c>
    </row>
    <row r="496" spans="1:15" x14ac:dyDescent="0.25">
      <c r="A496" s="13">
        <v>44455</v>
      </c>
      <c r="B496" s="97">
        <v>24978</v>
      </c>
      <c r="C496" t="s">
        <v>57</v>
      </c>
      <c r="D496" s="94" t="s">
        <v>324</v>
      </c>
      <c r="E496" t="s">
        <v>48</v>
      </c>
      <c r="F496" t="s">
        <v>562</v>
      </c>
      <c r="G496" s="50" t="s">
        <v>559</v>
      </c>
      <c r="H496" s="50">
        <v>2</v>
      </c>
      <c r="I496" s="100">
        <v>6.7391919697301583</v>
      </c>
      <c r="J496" s="52">
        <v>3834.68</v>
      </c>
      <c r="K496" s="67">
        <f t="shared" si="32"/>
        <v>645497.57837954641</v>
      </c>
      <c r="L496" s="95">
        <f>+VLOOKUP(E496,MARGEN!A:B,2,FALSE)</f>
        <v>0.09</v>
      </c>
      <c r="M496" s="112">
        <f t="shared" si="29"/>
        <v>58094.782054159172</v>
      </c>
      <c r="N496" s="113">
        <f t="shared" si="30"/>
        <v>2581.9903135181858</v>
      </c>
      <c r="O496" s="113">
        <f t="shared" si="31"/>
        <v>584820.80601186899</v>
      </c>
    </row>
    <row r="497" spans="1:15" x14ac:dyDescent="0.25">
      <c r="A497" s="13">
        <v>44455</v>
      </c>
      <c r="B497" s="97">
        <v>14396</v>
      </c>
      <c r="C497" t="s">
        <v>57</v>
      </c>
      <c r="D497" s="94" t="s">
        <v>505</v>
      </c>
      <c r="E497" t="s">
        <v>48</v>
      </c>
      <c r="F497" t="s">
        <v>562</v>
      </c>
      <c r="G497" s="50" t="s">
        <v>559</v>
      </c>
      <c r="H497" s="50">
        <v>2</v>
      </c>
      <c r="I497" s="100">
        <v>6.7391919697301583</v>
      </c>
      <c r="J497" s="52">
        <v>3834.68</v>
      </c>
      <c r="K497" s="67">
        <f t="shared" si="32"/>
        <v>372030.7125611318</v>
      </c>
      <c r="L497" s="95">
        <f>+VLOOKUP(E497,MARGEN!A:B,2,FALSE)</f>
        <v>0.09</v>
      </c>
      <c r="M497" s="112">
        <f t="shared" si="29"/>
        <v>33482.764130501862</v>
      </c>
      <c r="N497" s="113">
        <f t="shared" si="30"/>
        <v>1488.1228502445272</v>
      </c>
      <c r="O497" s="113">
        <f t="shared" si="31"/>
        <v>337059.8255803854</v>
      </c>
    </row>
    <row r="498" spans="1:15" x14ac:dyDescent="0.25">
      <c r="A498" s="13">
        <v>44456</v>
      </c>
      <c r="B498" s="97">
        <v>24978</v>
      </c>
      <c r="C498" t="s">
        <v>57</v>
      </c>
      <c r="D498" s="94" t="s">
        <v>324</v>
      </c>
      <c r="E498" t="s">
        <v>48</v>
      </c>
      <c r="F498" t="s">
        <v>562</v>
      </c>
      <c r="G498" s="50" t="s">
        <v>559</v>
      </c>
      <c r="H498" s="50">
        <v>2</v>
      </c>
      <c r="I498" s="100">
        <v>6.7391919697301583</v>
      </c>
      <c r="J498" s="52">
        <v>3834.68</v>
      </c>
      <c r="K498" s="67">
        <f t="shared" si="32"/>
        <v>645497.57837954641</v>
      </c>
      <c r="L498" s="95">
        <f>+VLOOKUP(E498,MARGEN!A:B,2,FALSE)</f>
        <v>0.09</v>
      </c>
      <c r="M498" s="112">
        <f t="shared" si="29"/>
        <v>58094.782054159172</v>
      </c>
      <c r="N498" s="113">
        <f t="shared" si="30"/>
        <v>2581.9903135181858</v>
      </c>
      <c r="O498" s="113">
        <f t="shared" si="31"/>
        <v>584820.80601186899</v>
      </c>
    </row>
    <row r="499" spans="1:15" x14ac:dyDescent="0.25">
      <c r="A499" s="13">
        <v>44456</v>
      </c>
      <c r="B499" s="97">
        <v>14396</v>
      </c>
      <c r="C499" t="s">
        <v>57</v>
      </c>
      <c r="D499" s="94" t="s">
        <v>505</v>
      </c>
      <c r="E499" t="s">
        <v>48</v>
      </c>
      <c r="F499" t="s">
        <v>562</v>
      </c>
      <c r="G499" s="50" t="s">
        <v>559</v>
      </c>
      <c r="H499" s="50">
        <v>2</v>
      </c>
      <c r="I499" s="100">
        <v>6.7391919697301583</v>
      </c>
      <c r="J499" s="52">
        <v>3834.68</v>
      </c>
      <c r="K499" s="67">
        <f t="shared" si="32"/>
        <v>372030.7125611318</v>
      </c>
      <c r="L499" s="95">
        <f>+VLOOKUP(E499,MARGEN!A:B,2,FALSE)</f>
        <v>0.09</v>
      </c>
      <c r="M499" s="112">
        <f t="shared" si="29"/>
        <v>33482.764130501862</v>
      </c>
      <c r="N499" s="113">
        <f t="shared" si="30"/>
        <v>1488.1228502445272</v>
      </c>
      <c r="O499" s="113">
        <f t="shared" si="31"/>
        <v>337059.8255803854</v>
      </c>
    </row>
    <row r="500" spans="1:15" x14ac:dyDescent="0.25">
      <c r="A500" s="13">
        <v>44457</v>
      </c>
      <c r="B500" s="97">
        <v>24978</v>
      </c>
      <c r="C500" t="s">
        <v>57</v>
      </c>
      <c r="D500" s="94" t="s">
        <v>324</v>
      </c>
      <c r="E500" t="s">
        <v>48</v>
      </c>
      <c r="F500" t="s">
        <v>562</v>
      </c>
      <c r="G500" s="50" t="s">
        <v>559</v>
      </c>
      <c r="H500" s="50">
        <v>2</v>
      </c>
      <c r="I500" s="100">
        <v>6.7391919697301583</v>
      </c>
      <c r="J500" s="52">
        <v>3834.68</v>
      </c>
      <c r="K500" s="67">
        <f t="shared" si="32"/>
        <v>645497.57837954641</v>
      </c>
      <c r="L500" s="95">
        <f>+VLOOKUP(E500,MARGEN!A:B,2,FALSE)</f>
        <v>0.09</v>
      </c>
      <c r="M500" s="112">
        <f t="shared" si="29"/>
        <v>58094.782054159172</v>
      </c>
      <c r="N500" s="113">
        <f t="shared" si="30"/>
        <v>2581.9903135181858</v>
      </c>
      <c r="O500" s="113">
        <f t="shared" si="31"/>
        <v>584820.80601186899</v>
      </c>
    </row>
    <row r="501" spans="1:15" x14ac:dyDescent="0.25">
      <c r="A501" s="13">
        <v>44457</v>
      </c>
      <c r="B501" s="97">
        <v>14396</v>
      </c>
      <c r="C501" t="s">
        <v>57</v>
      </c>
      <c r="D501" s="94" t="s">
        <v>505</v>
      </c>
      <c r="E501" t="s">
        <v>48</v>
      </c>
      <c r="F501" t="s">
        <v>562</v>
      </c>
      <c r="G501" s="50" t="s">
        <v>559</v>
      </c>
      <c r="H501" s="50">
        <v>2</v>
      </c>
      <c r="I501" s="100">
        <v>6.7391919697301583</v>
      </c>
      <c r="J501" s="52">
        <v>3834.68</v>
      </c>
      <c r="K501" s="67">
        <f t="shared" si="32"/>
        <v>372030.7125611318</v>
      </c>
      <c r="L501" s="95">
        <f>+VLOOKUP(E501,MARGEN!A:B,2,FALSE)</f>
        <v>0.09</v>
      </c>
      <c r="M501" s="112">
        <f t="shared" si="29"/>
        <v>33482.764130501862</v>
      </c>
      <c r="N501" s="113">
        <f t="shared" si="30"/>
        <v>1488.1228502445272</v>
      </c>
      <c r="O501" s="113">
        <f t="shared" si="31"/>
        <v>337059.8255803854</v>
      </c>
    </row>
    <row r="502" spans="1:15" x14ac:dyDescent="0.25">
      <c r="A502" s="13">
        <v>44458</v>
      </c>
      <c r="B502" s="97">
        <v>24978</v>
      </c>
      <c r="C502" t="s">
        <v>57</v>
      </c>
      <c r="D502" s="94" t="s">
        <v>324</v>
      </c>
      <c r="E502" t="s">
        <v>48</v>
      </c>
      <c r="F502" t="s">
        <v>562</v>
      </c>
      <c r="G502" s="50" t="s">
        <v>559</v>
      </c>
      <c r="H502" s="50">
        <v>2</v>
      </c>
      <c r="I502" s="100">
        <v>6.7391919697301583</v>
      </c>
      <c r="J502" s="52">
        <v>3834.68</v>
      </c>
      <c r="K502" s="67">
        <f t="shared" si="32"/>
        <v>645497.57837954641</v>
      </c>
      <c r="L502" s="95">
        <f>+VLOOKUP(E502,MARGEN!A:B,2,FALSE)</f>
        <v>0.09</v>
      </c>
      <c r="M502" s="112">
        <f t="shared" si="29"/>
        <v>58094.782054159172</v>
      </c>
      <c r="N502" s="113">
        <f t="shared" si="30"/>
        <v>2581.9903135181858</v>
      </c>
      <c r="O502" s="113">
        <f t="shared" si="31"/>
        <v>584820.80601186899</v>
      </c>
    </row>
    <row r="503" spans="1:15" x14ac:dyDescent="0.25">
      <c r="A503" s="13">
        <v>44458</v>
      </c>
      <c r="B503" s="97">
        <v>14396</v>
      </c>
      <c r="C503" s="88" t="s">
        <v>57</v>
      </c>
      <c r="D503" t="s">
        <v>505</v>
      </c>
      <c r="E503" t="s">
        <v>48</v>
      </c>
      <c r="F503" t="s">
        <v>562</v>
      </c>
      <c r="G503" s="50" t="s">
        <v>559</v>
      </c>
      <c r="H503" s="50">
        <v>2</v>
      </c>
      <c r="I503" s="100">
        <v>6.7391919697301583</v>
      </c>
      <c r="J503" s="52">
        <v>3834.68</v>
      </c>
      <c r="K503" s="67">
        <f t="shared" si="32"/>
        <v>372030.7125611318</v>
      </c>
      <c r="L503" s="95">
        <f>+VLOOKUP(E503,MARGEN!A:B,2,FALSE)</f>
        <v>0.09</v>
      </c>
      <c r="M503" s="112">
        <f t="shared" si="29"/>
        <v>33482.764130501862</v>
      </c>
      <c r="N503" s="113">
        <f t="shared" si="30"/>
        <v>1488.1228502445272</v>
      </c>
      <c r="O503" s="113">
        <f t="shared" si="31"/>
        <v>337059.8255803854</v>
      </c>
    </row>
    <row r="504" spans="1:15" x14ac:dyDescent="0.25">
      <c r="A504" s="13">
        <v>44459</v>
      </c>
      <c r="B504" s="97">
        <v>24980</v>
      </c>
      <c r="C504" t="s">
        <v>57</v>
      </c>
      <c r="D504" s="94" t="s">
        <v>324</v>
      </c>
      <c r="E504" t="s">
        <v>48</v>
      </c>
      <c r="F504" t="s">
        <v>558</v>
      </c>
      <c r="G504" s="50" t="s">
        <v>574</v>
      </c>
      <c r="H504" s="50">
        <v>2</v>
      </c>
      <c r="I504" s="100">
        <v>6.7391919697301583</v>
      </c>
      <c r="J504" s="52">
        <v>3834.68</v>
      </c>
      <c r="K504" s="67">
        <f t="shared" si="32"/>
        <v>645549.26366887125</v>
      </c>
      <c r="L504" s="95">
        <f>+VLOOKUP(E504,MARGEN!A:B,2,FALSE)</f>
        <v>0.09</v>
      </c>
      <c r="M504" s="112">
        <f t="shared" si="29"/>
        <v>58099.433730198412</v>
      </c>
      <c r="N504" s="113">
        <f t="shared" si="30"/>
        <v>2582.1970546754851</v>
      </c>
      <c r="O504" s="113">
        <f t="shared" si="31"/>
        <v>584867.6328839974</v>
      </c>
    </row>
    <row r="505" spans="1:15" x14ac:dyDescent="0.25">
      <c r="A505" s="13">
        <v>44459</v>
      </c>
      <c r="B505" s="97">
        <v>14398</v>
      </c>
      <c r="C505" t="s">
        <v>57</v>
      </c>
      <c r="D505" s="94" t="s">
        <v>505</v>
      </c>
      <c r="E505" t="s">
        <v>48</v>
      </c>
      <c r="F505" t="s">
        <v>558</v>
      </c>
      <c r="G505" s="50" t="s">
        <v>574</v>
      </c>
      <c r="H505" s="50">
        <v>2</v>
      </c>
      <c r="I505" s="100">
        <v>6.7391919697301583</v>
      </c>
      <c r="J505" s="52">
        <v>3834.68</v>
      </c>
      <c r="K505" s="67">
        <f t="shared" si="32"/>
        <v>372082.39785045676</v>
      </c>
      <c r="L505" s="95">
        <f>+VLOOKUP(E505,MARGEN!A:B,2,FALSE)</f>
        <v>0.09</v>
      </c>
      <c r="M505" s="112">
        <f t="shared" si="29"/>
        <v>33487.41580654111</v>
      </c>
      <c r="N505" s="113">
        <f t="shared" si="30"/>
        <v>1488.329591401827</v>
      </c>
      <c r="O505" s="113">
        <f t="shared" si="31"/>
        <v>337106.65245251381</v>
      </c>
    </row>
    <row r="506" spans="1:15" x14ac:dyDescent="0.25">
      <c r="A506" s="13">
        <v>44460</v>
      </c>
      <c r="B506" s="97">
        <v>24978</v>
      </c>
      <c r="C506" t="s">
        <v>57</v>
      </c>
      <c r="D506" t="s">
        <v>324</v>
      </c>
      <c r="E506" t="s">
        <v>48</v>
      </c>
      <c r="F506" t="s">
        <v>562</v>
      </c>
      <c r="G506" s="50" t="s">
        <v>574</v>
      </c>
      <c r="H506" s="50">
        <v>2</v>
      </c>
      <c r="I506" s="100">
        <v>6.7391919697301583</v>
      </c>
      <c r="J506" s="52">
        <v>3834.68</v>
      </c>
      <c r="K506" s="67">
        <f t="shared" si="32"/>
        <v>645497.57837954641</v>
      </c>
      <c r="L506" s="95">
        <f>+VLOOKUP(E506,MARGEN!A:B,2,FALSE)</f>
        <v>0.09</v>
      </c>
      <c r="M506" s="112">
        <f t="shared" si="29"/>
        <v>58094.782054159172</v>
      </c>
      <c r="N506" s="113">
        <f t="shared" si="30"/>
        <v>2581.9903135181858</v>
      </c>
      <c r="O506" s="113">
        <f t="shared" si="31"/>
        <v>584820.80601186899</v>
      </c>
    </row>
    <row r="507" spans="1:15" x14ac:dyDescent="0.25">
      <c r="A507" s="13">
        <v>44460</v>
      </c>
      <c r="B507" s="97">
        <v>14396</v>
      </c>
      <c r="C507" t="s">
        <v>57</v>
      </c>
      <c r="D507" t="s">
        <v>505</v>
      </c>
      <c r="E507" t="s">
        <v>48</v>
      </c>
      <c r="F507" t="s">
        <v>562</v>
      </c>
      <c r="G507" s="50" t="s">
        <v>574</v>
      </c>
      <c r="H507" s="50">
        <v>2</v>
      </c>
      <c r="I507" s="100">
        <v>6.7391919697301583</v>
      </c>
      <c r="J507" s="52">
        <v>3834.68</v>
      </c>
      <c r="K507" s="67">
        <f t="shared" si="32"/>
        <v>372030.7125611318</v>
      </c>
      <c r="L507" s="95">
        <f>+VLOOKUP(E507,MARGEN!A:B,2,FALSE)</f>
        <v>0.09</v>
      </c>
      <c r="M507" s="112">
        <f t="shared" si="29"/>
        <v>33482.764130501862</v>
      </c>
      <c r="N507" s="113">
        <f t="shared" si="30"/>
        <v>1488.1228502445272</v>
      </c>
      <c r="O507" s="113">
        <f t="shared" si="31"/>
        <v>337059.8255803854</v>
      </c>
    </row>
    <row r="508" spans="1:15" x14ac:dyDescent="0.25">
      <c r="A508" s="13">
        <v>44461</v>
      </c>
      <c r="B508" s="97">
        <v>24978</v>
      </c>
      <c r="C508" t="s">
        <v>57</v>
      </c>
      <c r="D508" t="s">
        <v>324</v>
      </c>
      <c r="E508" t="s">
        <v>48</v>
      </c>
      <c r="F508" t="s">
        <v>562</v>
      </c>
      <c r="G508" s="50" t="s">
        <v>574</v>
      </c>
      <c r="H508" s="50">
        <v>2</v>
      </c>
      <c r="I508" s="100">
        <v>6.7391919697301583</v>
      </c>
      <c r="J508" s="52">
        <v>3834.68</v>
      </c>
      <c r="K508" s="67">
        <f t="shared" si="32"/>
        <v>645497.57837954641</v>
      </c>
      <c r="L508" s="95">
        <f>+VLOOKUP(E508,MARGEN!A:B,2,FALSE)</f>
        <v>0.09</v>
      </c>
      <c r="M508" s="112">
        <f t="shared" si="29"/>
        <v>58094.782054159172</v>
      </c>
      <c r="N508" s="113">
        <f t="shared" si="30"/>
        <v>2581.9903135181858</v>
      </c>
      <c r="O508" s="113">
        <f t="shared" si="31"/>
        <v>584820.80601186899</v>
      </c>
    </row>
    <row r="509" spans="1:15" x14ac:dyDescent="0.25">
      <c r="A509" s="13">
        <v>44461</v>
      </c>
      <c r="B509" s="97">
        <v>14396</v>
      </c>
      <c r="C509" t="s">
        <v>57</v>
      </c>
      <c r="D509" t="s">
        <v>505</v>
      </c>
      <c r="E509" t="s">
        <v>48</v>
      </c>
      <c r="F509" t="s">
        <v>562</v>
      </c>
      <c r="G509" s="50" t="s">
        <v>574</v>
      </c>
      <c r="H509" s="50">
        <v>2</v>
      </c>
      <c r="I509" s="100">
        <v>6.7391919697301583</v>
      </c>
      <c r="J509" s="52">
        <v>3834.68</v>
      </c>
      <c r="K509" s="67">
        <f t="shared" si="32"/>
        <v>372030.7125611318</v>
      </c>
      <c r="L509" s="95">
        <f>+VLOOKUP(E509,MARGEN!A:B,2,FALSE)</f>
        <v>0.09</v>
      </c>
      <c r="M509" s="112">
        <f t="shared" si="29"/>
        <v>33482.764130501862</v>
      </c>
      <c r="N509" s="113">
        <f t="shared" si="30"/>
        <v>1488.1228502445272</v>
      </c>
      <c r="O509" s="113">
        <f t="shared" si="31"/>
        <v>337059.8255803854</v>
      </c>
    </row>
    <row r="510" spans="1:15" x14ac:dyDescent="0.25">
      <c r="A510" s="13">
        <v>44462</v>
      </c>
      <c r="B510" s="97">
        <v>24980</v>
      </c>
      <c r="C510" t="s">
        <v>57</v>
      </c>
      <c r="D510" t="s">
        <v>324</v>
      </c>
      <c r="E510" t="s">
        <v>48</v>
      </c>
      <c r="F510" t="s">
        <v>558</v>
      </c>
      <c r="G510" s="50" t="s">
        <v>574</v>
      </c>
      <c r="H510" s="50">
        <v>2</v>
      </c>
      <c r="I510" s="100">
        <v>6.7391919697301583</v>
      </c>
      <c r="J510" s="52">
        <v>3834.68</v>
      </c>
      <c r="K510" s="67">
        <f t="shared" si="32"/>
        <v>645549.26366887125</v>
      </c>
      <c r="L510" s="95">
        <f>+VLOOKUP(E510,MARGEN!A:B,2,FALSE)</f>
        <v>0.09</v>
      </c>
      <c r="M510" s="112">
        <f t="shared" si="29"/>
        <v>58099.433730198412</v>
      </c>
      <c r="N510" s="113">
        <f t="shared" si="30"/>
        <v>2582.1970546754851</v>
      </c>
      <c r="O510" s="113">
        <f t="shared" si="31"/>
        <v>584867.6328839974</v>
      </c>
    </row>
    <row r="511" spans="1:15" x14ac:dyDescent="0.25">
      <c r="A511" s="13">
        <v>44462</v>
      </c>
      <c r="B511" s="97">
        <v>14398</v>
      </c>
      <c r="C511" t="s">
        <v>57</v>
      </c>
      <c r="D511" t="s">
        <v>505</v>
      </c>
      <c r="E511" t="s">
        <v>48</v>
      </c>
      <c r="F511" t="s">
        <v>558</v>
      </c>
      <c r="G511" s="50" t="s">
        <v>574</v>
      </c>
      <c r="H511" s="50">
        <v>2</v>
      </c>
      <c r="I511" s="100">
        <v>6.7391919697301583</v>
      </c>
      <c r="J511" s="52">
        <v>3834.68</v>
      </c>
      <c r="K511" s="67">
        <f t="shared" si="32"/>
        <v>372082.39785045676</v>
      </c>
      <c r="L511" s="95">
        <f>+VLOOKUP(E511,MARGEN!A:B,2,FALSE)</f>
        <v>0.09</v>
      </c>
      <c r="M511" s="112">
        <f t="shared" si="29"/>
        <v>33487.41580654111</v>
      </c>
      <c r="N511" s="113">
        <f t="shared" si="30"/>
        <v>1488.329591401827</v>
      </c>
      <c r="O511" s="113">
        <f t="shared" si="31"/>
        <v>337106.65245251381</v>
      </c>
    </row>
    <row r="512" spans="1:15" x14ac:dyDescent="0.25">
      <c r="A512" s="13">
        <v>44463</v>
      </c>
      <c r="B512" s="97">
        <v>24980</v>
      </c>
      <c r="C512" t="s">
        <v>57</v>
      </c>
      <c r="D512" t="s">
        <v>324</v>
      </c>
      <c r="E512" t="s">
        <v>48</v>
      </c>
      <c r="F512" t="s">
        <v>558</v>
      </c>
      <c r="G512" s="50" t="s">
        <v>574</v>
      </c>
      <c r="H512" s="50">
        <v>2</v>
      </c>
      <c r="I512" s="100">
        <v>6.7391919697301583</v>
      </c>
      <c r="J512" s="52">
        <v>3834.68</v>
      </c>
      <c r="K512" s="67">
        <f t="shared" si="32"/>
        <v>645549.26366887125</v>
      </c>
      <c r="L512" s="95">
        <f>+VLOOKUP(E512,MARGEN!A:B,2,FALSE)</f>
        <v>0.09</v>
      </c>
      <c r="M512" s="112">
        <f t="shared" si="29"/>
        <v>58099.433730198412</v>
      </c>
      <c r="N512" s="113">
        <f t="shared" si="30"/>
        <v>2582.1970546754851</v>
      </c>
      <c r="O512" s="113">
        <f t="shared" si="31"/>
        <v>584867.6328839974</v>
      </c>
    </row>
    <row r="513" spans="1:15" x14ac:dyDescent="0.25">
      <c r="A513" s="13">
        <v>44463</v>
      </c>
      <c r="B513" s="97">
        <v>14398</v>
      </c>
      <c r="C513" t="s">
        <v>57</v>
      </c>
      <c r="D513" t="s">
        <v>505</v>
      </c>
      <c r="E513" t="s">
        <v>48</v>
      </c>
      <c r="F513" t="s">
        <v>558</v>
      </c>
      <c r="G513" s="50" t="s">
        <v>574</v>
      </c>
      <c r="H513" s="50">
        <v>2</v>
      </c>
      <c r="I513" s="100">
        <v>6.7391919697301583</v>
      </c>
      <c r="J513" s="52">
        <v>3834.68</v>
      </c>
      <c r="K513" s="67">
        <f t="shared" si="32"/>
        <v>372082.39785045676</v>
      </c>
      <c r="L513" s="95">
        <f>+VLOOKUP(E513,MARGEN!A:B,2,FALSE)</f>
        <v>0.09</v>
      </c>
      <c r="M513" s="112">
        <f t="shared" si="29"/>
        <v>33487.41580654111</v>
      </c>
      <c r="N513" s="113">
        <f t="shared" si="30"/>
        <v>1488.329591401827</v>
      </c>
      <c r="O513" s="113">
        <f t="shared" si="31"/>
        <v>337106.65245251381</v>
      </c>
    </row>
    <row r="514" spans="1:15" x14ac:dyDescent="0.25">
      <c r="A514" s="13">
        <v>44464</v>
      </c>
      <c r="B514" s="97">
        <v>24980</v>
      </c>
      <c r="C514" t="s">
        <v>57</v>
      </c>
      <c r="D514" t="s">
        <v>324</v>
      </c>
      <c r="E514" t="s">
        <v>48</v>
      </c>
      <c r="F514" t="s">
        <v>558</v>
      </c>
      <c r="G514" s="50" t="s">
        <v>574</v>
      </c>
      <c r="H514" s="50">
        <v>2</v>
      </c>
      <c r="I514" s="100">
        <v>6.7391919697301583</v>
      </c>
      <c r="J514" s="52">
        <v>3834.68</v>
      </c>
      <c r="K514" s="67">
        <f t="shared" si="32"/>
        <v>645549.26366887125</v>
      </c>
      <c r="L514" s="95">
        <f>+VLOOKUP(E514,MARGEN!A:B,2,FALSE)</f>
        <v>0.09</v>
      </c>
      <c r="M514" s="112">
        <f t="shared" si="29"/>
        <v>58099.433730198412</v>
      </c>
      <c r="N514" s="113">
        <f t="shared" si="30"/>
        <v>2582.1970546754851</v>
      </c>
      <c r="O514" s="113">
        <f t="shared" si="31"/>
        <v>584867.6328839974</v>
      </c>
    </row>
    <row r="515" spans="1:15" x14ac:dyDescent="0.25">
      <c r="A515" s="13">
        <v>44464</v>
      </c>
      <c r="B515" s="97">
        <v>14398</v>
      </c>
      <c r="C515" t="s">
        <v>57</v>
      </c>
      <c r="D515" t="s">
        <v>505</v>
      </c>
      <c r="E515" t="s">
        <v>48</v>
      </c>
      <c r="F515" t="s">
        <v>558</v>
      </c>
      <c r="G515" s="50" t="s">
        <v>574</v>
      </c>
      <c r="H515" s="50">
        <v>2</v>
      </c>
      <c r="I515" s="100">
        <v>6.7391919697301583</v>
      </c>
      <c r="J515" s="52">
        <v>3834.68</v>
      </c>
      <c r="K515" s="67">
        <f t="shared" si="32"/>
        <v>372082.39785045676</v>
      </c>
      <c r="L515" s="95">
        <f>+VLOOKUP(E515,MARGEN!A:B,2,FALSE)</f>
        <v>0.09</v>
      </c>
      <c r="M515" s="112">
        <f t="shared" ref="M515:M578" si="33">+K515*L515</f>
        <v>33487.41580654111</v>
      </c>
      <c r="N515" s="113">
        <f t="shared" ref="N515:N578" si="34">+K515*4/1000</f>
        <v>1488.329591401827</v>
      </c>
      <c r="O515" s="113">
        <f t="shared" ref="O515:O578" si="35">+K515-M515-N515</f>
        <v>337106.65245251381</v>
      </c>
    </row>
    <row r="516" spans="1:15" x14ac:dyDescent="0.25">
      <c r="A516" s="43">
        <v>44465</v>
      </c>
      <c r="B516" s="51">
        <v>24980</v>
      </c>
      <c r="C516" s="66" t="s">
        <v>57</v>
      </c>
      <c r="D516" s="66" t="s">
        <v>324</v>
      </c>
      <c r="E516" t="s">
        <v>48</v>
      </c>
      <c r="F516" s="50" t="s">
        <v>566</v>
      </c>
      <c r="G516" s="50" t="s">
        <v>574</v>
      </c>
      <c r="H516" s="50">
        <v>2</v>
      </c>
      <c r="I516" s="100">
        <v>6.7391919697301583</v>
      </c>
      <c r="J516" s="52">
        <v>3834.68</v>
      </c>
      <c r="K516" s="67">
        <f t="shared" si="32"/>
        <v>645549.26366887125</v>
      </c>
      <c r="L516" s="95">
        <f>+VLOOKUP(E516,MARGEN!A:B,2,FALSE)</f>
        <v>0.09</v>
      </c>
      <c r="M516" s="112">
        <f t="shared" si="33"/>
        <v>58099.433730198412</v>
      </c>
      <c r="N516" s="113">
        <f t="shared" si="34"/>
        <v>2582.1970546754851</v>
      </c>
      <c r="O516" s="113">
        <f t="shared" si="35"/>
        <v>584867.6328839974</v>
      </c>
    </row>
    <row r="517" spans="1:15" x14ac:dyDescent="0.25">
      <c r="A517" s="43">
        <v>44465</v>
      </c>
      <c r="B517" s="51">
        <v>14397</v>
      </c>
      <c r="C517" s="66" t="s">
        <v>57</v>
      </c>
      <c r="D517" s="66" t="s">
        <v>505</v>
      </c>
      <c r="E517" t="s">
        <v>48</v>
      </c>
      <c r="F517" s="50" t="s">
        <v>566</v>
      </c>
      <c r="G517" s="50" t="s">
        <v>574</v>
      </c>
      <c r="H517" s="50">
        <v>2</v>
      </c>
      <c r="I517" s="100">
        <v>6.7391919697301583</v>
      </c>
      <c r="J517" s="52">
        <v>3834.68</v>
      </c>
      <c r="K517" s="67">
        <f t="shared" si="32"/>
        <v>372056.55520579428</v>
      </c>
      <c r="L517" s="95">
        <f>+VLOOKUP(E517,MARGEN!A:B,2,FALSE)</f>
        <v>0.09</v>
      </c>
      <c r="M517" s="112">
        <f t="shared" si="33"/>
        <v>33485.089968521483</v>
      </c>
      <c r="N517" s="113">
        <f t="shared" si="34"/>
        <v>1488.2262208231771</v>
      </c>
      <c r="O517" s="113">
        <f t="shared" si="35"/>
        <v>337083.2390164496</v>
      </c>
    </row>
    <row r="518" spans="1:15" x14ac:dyDescent="0.25">
      <c r="A518" s="43">
        <v>44466</v>
      </c>
      <c r="B518" s="51">
        <v>24980</v>
      </c>
      <c r="C518" s="66" t="s">
        <v>57</v>
      </c>
      <c r="D518" s="66" t="s">
        <v>324</v>
      </c>
      <c r="E518" t="s">
        <v>48</v>
      </c>
      <c r="F518" s="50" t="s">
        <v>558</v>
      </c>
      <c r="G518" s="50" t="s">
        <v>574</v>
      </c>
      <c r="H518" s="50">
        <v>2</v>
      </c>
      <c r="I518" s="100">
        <v>6.7391919697301583</v>
      </c>
      <c r="J518" s="52">
        <v>3834.68</v>
      </c>
      <c r="K518" s="67">
        <f t="shared" si="32"/>
        <v>645549.26366887125</v>
      </c>
      <c r="L518" s="95">
        <f>+VLOOKUP(E518,MARGEN!A:B,2,FALSE)</f>
        <v>0.09</v>
      </c>
      <c r="M518" s="112">
        <f t="shared" si="33"/>
        <v>58099.433730198412</v>
      </c>
      <c r="N518" s="113">
        <f t="shared" si="34"/>
        <v>2582.1970546754851</v>
      </c>
      <c r="O518" s="113">
        <f t="shared" si="35"/>
        <v>584867.6328839974</v>
      </c>
    </row>
    <row r="519" spans="1:15" x14ac:dyDescent="0.25">
      <c r="A519" s="43">
        <v>44466</v>
      </c>
      <c r="B519" s="51">
        <v>14398</v>
      </c>
      <c r="C519" s="66" t="s">
        <v>57</v>
      </c>
      <c r="D519" s="66" t="s">
        <v>505</v>
      </c>
      <c r="E519" t="s">
        <v>48</v>
      </c>
      <c r="F519" s="50" t="s">
        <v>558</v>
      </c>
      <c r="G519" s="50" t="s">
        <v>574</v>
      </c>
      <c r="H519" s="50">
        <v>2</v>
      </c>
      <c r="I519" s="100">
        <v>6.7391919697301583</v>
      </c>
      <c r="J519" s="52">
        <v>3834.68</v>
      </c>
      <c r="K519" s="67">
        <f t="shared" si="32"/>
        <v>372082.39785045676</v>
      </c>
      <c r="L519" s="95">
        <f>+VLOOKUP(E519,MARGEN!A:B,2,FALSE)</f>
        <v>0.09</v>
      </c>
      <c r="M519" s="112">
        <f t="shared" si="33"/>
        <v>33487.41580654111</v>
      </c>
      <c r="N519" s="113">
        <f t="shared" si="34"/>
        <v>1488.329591401827</v>
      </c>
      <c r="O519" s="113">
        <f t="shared" si="35"/>
        <v>337106.65245251381</v>
      </c>
    </row>
    <row r="520" spans="1:15" x14ac:dyDescent="0.25">
      <c r="A520" s="43">
        <v>44467</v>
      </c>
      <c r="B520" s="51">
        <v>24980</v>
      </c>
      <c r="C520" s="66" t="s">
        <v>57</v>
      </c>
      <c r="D520" s="66" t="s">
        <v>324</v>
      </c>
      <c r="E520" t="s">
        <v>48</v>
      </c>
      <c r="F520" s="50" t="s">
        <v>566</v>
      </c>
      <c r="G520" s="50" t="s">
        <v>574</v>
      </c>
      <c r="H520" s="50">
        <v>2</v>
      </c>
      <c r="I520" s="100">
        <v>6.7391919697301583</v>
      </c>
      <c r="J520" s="52">
        <v>3834.68</v>
      </c>
      <c r="K520" s="67">
        <f t="shared" si="32"/>
        <v>645549.26366887125</v>
      </c>
      <c r="L520" s="95">
        <f>+VLOOKUP(E520,MARGEN!A:B,2,FALSE)</f>
        <v>0.09</v>
      </c>
      <c r="M520" s="112">
        <f t="shared" si="33"/>
        <v>58099.433730198412</v>
      </c>
      <c r="N520" s="113">
        <f t="shared" si="34"/>
        <v>2582.1970546754851</v>
      </c>
      <c r="O520" s="113">
        <f t="shared" si="35"/>
        <v>584867.6328839974</v>
      </c>
    </row>
    <row r="521" spans="1:15" x14ac:dyDescent="0.25">
      <c r="A521" s="43">
        <v>44467</v>
      </c>
      <c r="B521" s="51">
        <v>14397</v>
      </c>
      <c r="C521" s="66" t="s">
        <v>57</v>
      </c>
      <c r="D521" s="66" t="s">
        <v>505</v>
      </c>
      <c r="E521" t="s">
        <v>48</v>
      </c>
      <c r="F521" s="50" t="s">
        <v>566</v>
      </c>
      <c r="G521" s="50" t="s">
        <v>574</v>
      </c>
      <c r="H521" s="50">
        <v>2</v>
      </c>
      <c r="I521" s="100">
        <v>6.7391919697301583</v>
      </c>
      <c r="J521" s="52">
        <v>3834.68</v>
      </c>
      <c r="K521" s="67">
        <f t="shared" ref="K521:K584" si="36">+B521*I521*J521/1000</f>
        <v>372056.55520579428</v>
      </c>
      <c r="L521" s="95">
        <f>+VLOOKUP(E521,MARGEN!A:B,2,FALSE)</f>
        <v>0.09</v>
      </c>
      <c r="M521" s="112">
        <f t="shared" si="33"/>
        <v>33485.089968521483</v>
      </c>
      <c r="N521" s="113">
        <f t="shared" si="34"/>
        <v>1488.2262208231771</v>
      </c>
      <c r="O521" s="113">
        <f t="shared" si="35"/>
        <v>337083.2390164496</v>
      </c>
    </row>
    <row r="522" spans="1:15" x14ac:dyDescent="0.25">
      <c r="A522" s="43">
        <v>44468</v>
      </c>
      <c r="B522" s="51">
        <v>24980</v>
      </c>
      <c r="C522" s="66" t="s">
        <v>57</v>
      </c>
      <c r="D522" s="66" t="s">
        <v>324</v>
      </c>
      <c r="E522" t="s">
        <v>48</v>
      </c>
      <c r="F522" s="50" t="s">
        <v>558</v>
      </c>
      <c r="G522" s="50" t="s">
        <v>574</v>
      </c>
      <c r="H522" s="50">
        <v>2</v>
      </c>
      <c r="I522" s="100">
        <v>6.7391919697301583</v>
      </c>
      <c r="J522" s="52">
        <v>3834.68</v>
      </c>
      <c r="K522" s="67">
        <f t="shared" si="36"/>
        <v>645549.26366887125</v>
      </c>
      <c r="L522" s="95">
        <f>+VLOOKUP(E522,MARGEN!A:B,2,FALSE)</f>
        <v>0.09</v>
      </c>
      <c r="M522" s="112">
        <f t="shared" si="33"/>
        <v>58099.433730198412</v>
      </c>
      <c r="N522" s="113">
        <f t="shared" si="34"/>
        <v>2582.1970546754851</v>
      </c>
      <c r="O522" s="113">
        <f t="shared" si="35"/>
        <v>584867.6328839974</v>
      </c>
    </row>
    <row r="523" spans="1:15" x14ac:dyDescent="0.25">
      <c r="A523" s="43">
        <v>44468</v>
      </c>
      <c r="B523" s="51">
        <v>14398</v>
      </c>
      <c r="C523" s="66" t="s">
        <v>57</v>
      </c>
      <c r="D523" s="66" t="s">
        <v>505</v>
      </c>
      <c r="E523" t="s">
        <v>48</v>
      </c>
      <c r="F523" s="50" t="s">
        <v>558</v>
      </c>
      <c r="G523" s="50" t="s">
        <v>574</v>
      </c>
      <c r="H523" s="50">
        <v>2</v>
      </c>
      <c r="I523" s="100">
        <v>6.7391919697301583</v>
      </c>
      <c r="J523" s="52">
        <v>3834.68</v>
      </c>
      <c r="K523" s="67">
        <f t="shared" si="36"/>
        <v>372082.39785045676</v>
      </c>
      <c r="L523" s="95">
        <f>+VLOOKUP(E523,MARGEN!A:B,2,FALSE)</f>
        <v>0.09</v>
      </c>
      <c r="M523" s="112">
        <f t="shared" si="33"/>
        <v>33487.41580654111</v>
      </c>
      <c r="N523" s="113">
        <f t="shared" si="34"/>
        <v>1488.329591401827</v>
      </c>
      <c r="O523" s="113">
        <f t="shared" si="35"/>
        <v>337106.65245251381</v>
      </c>
    </row>
    <row r="524" spans="1:15" x14ac:dyDescent="0.25">
      <c r="A524" s="43">
        <v>44469</v>
      </c>
      <c r="B524" s="51">
        <v>24983</v>
      </c>
      <c r="C524" s="66" t="s">
        <v>57</v>
      </c>
      <c r="D524" s="66" t="s">
        <v>324</v>
      </c>
      <c r="E524" t="s">
        <v>48</v>
      </c>
      <c r="F524" s="50" t="s">
        <v>573</v>
      </c>
      <c r="G524" s="50" t="s">
        <v>574</v>
      </c>
      <c r="H524" s="50">
        <v>2</v>
      </c>
      <c r="I524" s="100">
        <v>6.7391919697301583</v>
      </c>
      <c r="J524" s="52">
        <v>3834.68</v>
      </c>
      <c r="K524" s="67">
        <f t="shared" si="36"/>
        <v>645626.79160285881</v>
      </c>
      <c r="L524" s="95">
        <f>+VLOOKUP(E524,MARGEN!A:B,2,FALSE)</f>
        <v>0.09</v>
      </c>
      <c r="M524" s="112">
        <f t="shared" si="33"/>
        <v>58106.411244257288</v>
      </c>
      <c r="N524" s="113">
        <f t="shared" si="34"/>
        <v>2582.5071664114353</v>
      </c>
      <c r="O524" s="113">
        <f t="shared" si="35"/>
        <v>584937.87319219019</v>
      </c>
    </row>
    <row r="525" spans="1:15" x14ac:dyDescent="0.25">
      <c r="A525" s="43">
        <v>44469</v>
      </c>
      <c r="B525" s="51">
        <v>14399</v>
      </c>
      <c r="C525" s="66" t="s">
        <v>57</v>
      </c>
      <c r="D525" s="66" t="s">
        <v>505</v>
      </c>
      <c r="E525" t="s">
        <v>48</v>
      </c>
      <c r="F525" s="50" t="s">
        <v>573</v>
      </c>
      <c r="G525" s="50" t="s">
        <v>574</v>
      </c>
      <c r="H525" s="50">
        <v>2</v>
      </c>
      <c r="I525" s="100">
        <v>6.7391919697301583</v>
      </c>
      <c r="J525" s="52">
        <v>3834.68</v>
      </c>
      <c r="K525" s="67">
        <f t="shared" si="36"/>
        <v>372108.24049511919</v>
      </c>
      <c r="L525" s="95">
        <f>+VLOOKUP(E525,MARGEN!A:B,2,FALSE)</f>
        <v>0.09</v>
      </c>
      <c r="M525" s="112">
        <f t="shared" si="33"/>
        <v>33489.741644560723</v>
      </c>
      <c r="N525" s="113">
        <f t="shared" si="34"/>
        <v>1488.4329619804766</v>
      </c>
      <c r="O525" s="113">
        <f t="shared" si="35"/>
        <v>337130.06588857801</v>
      </c>
    </row>
    <row r="526" spans="1:15" x14ac:dyDescent="0.25">
      <c r="A526" s="13">
        <v>44440</v>
      </c>
      <c r="B526" s="97">
        <v>96996</v>
      </c>
      <c r="C526" t="s">
        <v>224</v>
      </c>
      <c r="D526" s="94" t="s">
        <v>386</v>
      </c>
      <c r="E526" t="s">
        <v>229</v>
      </c>
      <c r="F526" t="s">
        <v>558</v>
      </c>
      <c r="G526" s="50" t="s">
        <v>559</v>
      </c>
      <c r="H526" s="50">
        <v>2</v>
      </c>
      <c r="I526" s="100">
        <v>6.7391919697301583</v>
      </c>
      <c r="J526" s="52">
        <v>3834.68</v>
      </c>
      <c r="K526" s="67">
        <f t="shared" si="36"/>
        <v>2506633.1616823799</v>
      </c>
      <c r="L526" s="95">
        <f>+VLOOKUP(E526,MARGEN!A:B,2,FALSE)</f>
        <v>0.1</v>
      </c>
      <c r="M526" s="112">
        <f t="shared" si="33"/>
        <v>250663.316168238</v>
      </c>
      <c r="N526" s="113">
        <f t="shared" si="34"/>
        <v>10026.53264672952</v>
      </c>
      <c r="O526" s="113">
        <f t="shared" si="35"/>
        <v>2245943.3128674123</v>
      </c>
    </row>
    <row r="527" spans="1:15" x14ac:dyDescent="0.25">
      <c r="A527" s="13">
        <v>44441</v>
      </c>
      <c r="B527" s="51">
        <v>96996</v>
      </c>
      <c r="C527" s="66" t="s">
        <v>224</v>
      </c>
      <c r="D527" s="66" t="s">
        <v>386</v>
      </c>
      <c r="E527" t="s">
        <v>229</v>
      </c>
      <c r="F527" s="50" t="s">
        <v>558</v>
      </c>
      <c r="G527" s="50" t="s">
        <v>559</v>
      </c>
      <c r="H527" s="50">
        <v>2</v>
      </c>
      <c r="I527" s="100">
        <v>6.7391919697301583</v>
      </c>
      <c r="J527" s="52">
        <v>3834.68</v>
      </c>
      <c r="K527" s="67">
        <f t="shared" si="36"/>
        <v>2506633.1616823799</v>
      </c>
      <c r="L527" s="95">
        <f>+VLOOKUP(E527,MARGEN!A:B,2,FALSE)</f>
        <v>0.1</v>
      </c>
      <c r="M527" s="112">
        <f t="shared" si="33"/>
        <v>250663.316168238</v>
      </c>
      <c r="N527" s="113">
        <f t="shared" si="34"/>
        <v>10026.53264672952</v>
      </c>
      <c r="O527" s="113">
        <f t="shared" si="35"/>
        <v>2245943.3128674123</v>
      </c>
    </row>
    <row r="528" spans="1:15" x14ac:dyDescent="0.25">
      <c r="A528" s="13">
        <v>44442</v>
      </c>
      <c r="B528" s="97">
        <v>96996</v>
      </c>
      <c r="C528" t="s">
        <v>224</v>
      </c>
      <c r="D528" s="94" t="s">
        <v>386</v>
      </c>
      <c r="E528" t="s">
        <v>229</v>
      </c>
      <c r="F528" t="s">
        <v>558</v>
      </c>
      <c r="G528" s="50" t="s">
        <v>559</v>
      </c>
      <c r="H528" s="50">
        <v>2</v>
      </c>
      <c r="I528" s="100">
        <v>6.7391919697301583</v>
      </c>
      <c r="J528" s="52">
        <v>3834.68</v>
      </c>
      <c r="K528" s="67">
        <f t="shared" si="36"/>
        <v>2506633.1616823799</v>
      </c>
      <c r="L528" s="95">
        <f>+VLOOKUP(E528,MARGEN!A:B,2,FALSE)</f>
        <v>0.1</v>
      </c>
      <c r="M528" s="112">
        <f t="shared" si="33"/>
        <v>250663.316168238</v>
      </c>
      <c r="N528" s="113">
        <f t="shared" si="34"/>
        <v>10026.53264672952</v>
      </c>
      <c r="O528" s="113">
        <f t="shared" si="35"/>
        <v>2245943.3128674123</v>
      </c>
    </row>
    <row r="529" spans="1:15" x14ac:dyDescent="0.25">
      <c r="A529" s="13">
        <v>44454</v>
      </c>
      <c r="B529" s="97">
        <v>96989</v>
      </c>
      <c r="C529" t="s">
        <v>224</v>
      </c>
      <c r="D529" s="94" t="s">
        <v>386</v>
      </c>
      <c r="E529" t="s">
        <v>229</v>
      </c>
      <c r="F529" t="s">
        <v>551</v>
      </c>
      <c r="G529" s="50" t="s">
        <v>205</v>
      </c>
      <c r="H529" s="50">
        <v>2</v>
      </c>
      <c r="I529" s="100">
        <v>6.7391919697301583</v>
      </c>
      <c r="J529" s="52">
        <v>3834.68</v>
      </c>
      <c r="K529" s="67">
        <f t="shared" si="36"/>
        <v>2506452.2631697422</v>
      </c>
      <c r="L529" s="95">
        <f>+VLOOKUP(E529,MARGEN!A:B,2,FALSE)</f>
        <v>0.1</v>
      </c>
      <c r="M529" s="112">
        <f t="shared" si="33"/>
        <v>250645.22631697424</v>
      </c>
      <c r="N529" s="113">
        <f t="shared" si="34"/>
        <v>10025.809052678969</v>
      </c>
      <c r="O529" s="113">
        <f t="shared" si="35"/>
        <v>2245781.2278000894</v>
      </c>
    </row>
    <row r="530" spans="1:15" x14ac:dyDescent="0.25">
      <c r="A530" s="13">
        <v>44455</v>
      </c>
      <c r="B530" s="51">
        <v>96993</v>
      </c>
      <c r="C530" s="66" t="s">
        <v>224</v>
      </c>
      <c r="D530" s="66" t="s">
        <v>386</v>
      </c>
      <c r="E530" t="s">
        <v>229</v>
      </c>
      <c r="F530" s="50" t="s">
        <v>566</v>
      </c>
      <c r="G530" s="50" t="s">
        <v>559</v>
      </c>
      <c r="H530" s="50">
        <v>2</v>
      </c>
      <c r="I530" s="100">
        <v>6.7391919697301583</v>
      </c>
      <c r="J530" s="52">
        <v>3834.68</v>
      </c>
      <c r="K530" s="67">
        <f t="shared" si="36"/>
        <v>2506555.6337483926</v>
      </c>
      <c r="L530" s="95">
        <f>+VLOOKUP(E530,MARGEN!A:B,2,FALSE)</f>
        <v>0.1</v>
      </c>
      <c r="M530" s="112">
        <f t="shared" si="33"/>
        <v>250655.56337483926</v>
      </c>
      <c r="N530" s="113">
        <f t="shared" si="34"/>
        <v>10026.222534993571</v>
      </c>
      <c r="O530" s="113">
        <f t="shared" si="35"/>
        <v>2245873.8478385597</v>
      </c>
    </row>
    <row r="531" spans="1:15" x14ac:dyDescent="0.25">
      <c r="A531" s="13">
        <v>44456</v>
      </c>
      <c r="B531" s="97">
        <v>96993</v>
      </c>
      <c r="C531" t="s">
        <v>224</v>
      </c>
      <c r="D531" s="94" t="s">
        <v>386</v>
      </c>
      <c r="E531" t="s">
        <v>229</v>
      </c>
      <c r="F531" t="s">
        <v>566</v>
      </c>
      <c r="G531" s="50" t="s">
        <v>559</v>
      </c>
      <c r="H531" s="50">
        <v>2</v>
      </c>
      <c r="I531" s="100">
        <v>6.7391919697301583</v>
      </c>
      <c r="J531" s="52">
        <v>3834.68</v>
      </c>
      <c r="K531" s="67">
        <f t="shared" si="36"/>
        <v>2506555.6337483926</v>
      </c>
      <c r="L531" s="95">
        <f>+VLOOKUP(E531,MARGEN!A:B,2,FALSE)</f>
        <v>0.1</v>
      </c>
      <c r="M531" s="112">
        <f t="shared" si="33"/>
        <v>250655.56337483926</v>
      </c>
      <c r="N531" s="113">
        <f t="shared" si="34"/>
        <v>10026.222534993571</v>
      </c>
      <c r="O531" s="113">
        <f t="shared" si="35"/>
        <v>2245873.8478385597</v>
      </c>
    </row>
    <row r="532" spans="1:15" x14ac:dyDescent="0.25">
      <c r="A532" s="13">
        <v>44457</v>
      </c>
      <c r="B532" s="97">
        <v>96993</v>
      </c>
      <c r="C532" t="s">
        <v>224</v>
      </c>
      <c r="D532" s="94" t="s">
        <v>386</v>
      </c>
      <c r="E532" t="s">
        <v>229</v>
      </c>
      <c r="F532" t="s">
        <v>566</v>
      </c>
      <c r="G532" s="50" t="s">
        <v>559</v>
      </c>
      <c r="H532" s="50">
        <v>2</v>
      </c>
      <c r="I532" s="100">
        <v>6.7391919697301583</v>
      </c>
      <c r="J532" s="52">
        <v>3834.68</v>
      </c>
      <c r="K532" s="67">
        <f t="shared" si="36"/>
        <v>2506555.6337483926</v>
      </c>
      <c r="L532" s="95">
        <f>+VLOOKUP(E532,MARGEN!A:B,2,FALSE)</f>
        <v>0.1</v>
      </c>
      <c r="M532" s="112">
        <f t="shared" si="33"/>
        <v>250655.56337483926</v>
      </c>
      <c r="N532" s="113">
        <f t="shared" si="34"/>
        <v>10026.222534993571</v>
      </c>
      <c r="O532" s="113">
        <f t="shared" si="35"/>
        <v>2245873.8478385597</v>
      </c>
    </row>
    <row r="533" spans="1:15" x14ac:dyDescent="0.25">
      <c r="A533" s="13">
        <v>44458</v>
      </c>
      <c r="B533" s="97">
        <v>96873</v>
      </c>
      <c r="C533" t="s">
        <v>224</v>
      </c>
      <c r="D533" s="94" t="s">
        <v>386</v>
      </c>
      <c r="E533" t="s">
        <v>229</v>
      </c>
      <c r="F533" t="s">
        <v>566</v>
      </c>
      <c r="G533" s="50" t="s">
        <v>559</v>
      </c>
      <c r="H533" s="50">
        <v>2</v>
      </c>
      <c r="I533" s="100">
        <v>6.7391919697301583</v>
      </c>
      <c r="J533" s="52">
        <v>3834.68</v>
      </c>
      <c r="K533" s="67">
        <f t="shared" si="36"/>
        <v>2503454.5163888941</v>
      </c>
      <c r="L533" s="95">
        <f>+VLOOKUP(E533,MARGEN!A:B,2,FALSE)</f>
        <v>0.1</v>
      </c>
      <c r="M533" s="112">
        <f t="shared" si="33"/>
        <v>250345.45163888941</v>
      </c>
      <c r="N533" s="113">
        <f t="shared" si="34"/>
        <v>10013.818065555577</v>
      </c>
      <c r="O533" s="113">
        <f t="shared" si="35"/>
        <v>2243095.2466844488</v>
      </c>
    </row>
    <row r="534" spans="1:15" x14ac:dyDescent="0.25">
      <c r="A534" s="13">
        <v>44459</v>
      </c>
      <c r="B534" s="97">
        <v>96996</v>
      </c>
      <c r="C534" t="s">
        <v>224</v>
      </c>
      <c r="D534" s="94" t="s">
        <v>386</v>
      </c>
      <c r="E534" t="s">
        <v>229</v>
      </c>
      <c r="F534" t="s">
        <v>558</v>
      </c>
      <c r="G534" s="50" t="s">
        <v>574</v>
      </c>
      <c r="H534" s="50">
        <v>2</v>
      </c>
      <c r="I534" s="100">
        <v>6.7391919697301583</v>
      </c>
      <c r="J534" s="52">
        <v>3834.68</v>
      </c>
      <c r="K534" s="67">
        <f t="shared" si="36"/>
        <v>2506633.1616823799</v>
      </c>
      <c r="L534" s="95">
        <f>+VLOOKUP(E534,MARGEN!A:B,2,FALSE)</f>
        <v>0.1</v>
      </c>
      <c r="M534" s="112">
        <f t="shared" si="33"/>
        <v>250663.316168238</v>
      </c>
      <c r="N534" s="113">
        <f t="shared" si="34"/>
        <v>10026.53264672952</v>
      </c>
      <c r="O534" s="113">
        <f t="shared" si="35"/>
        <v>2245943.3128674123</v>
      </c>
    </row>
    <row r="535" spans="1:15" x14ac:dyDescent="0.25">
      <c r="A535" s="13">
        <v>44460</v>
      </c>
      <c r="B535" s="97">
        <v>96993</v>
      </c>
      <c r="C535" t="s">
        <v>224</v>
      </c>
      <c r="D535" t="s">
        <v>386</v>
      </c>
      <c r="E535" t="s">
        <v>229</v>
      </c>
      <c r="F535" t="s">
        <v>566</v>
      </c>
      <c r="G535" s="50" t="s">
        <v>574</v>
      </c>
      <c r="H535" s="50">
        <v>2</v>
      </c>
      <c r="I535" s="100">
        <v>6.7391919697301583</v>
      </c>
      <c r="J535" s="52">
        <v>3834.68</v>
      </c>
      <c r="K535" s="67">
        <f t="shared" si="36"/>
        <v>2506555.6337483926</v>
      </c>
      <c r="L535" s="95">
        <f>+VLOOKUP(E535,MARGEN!A:B,2,FALSE)</f>
        <v>0.1</v>
      </c>
      <c r="M535" s="112">
        <f t="shared" si="33"/>
        <v>250655.56337483926</v>
      </c>
      <c r="N535" s="113">
        <f t="shared" si="34"/>
        <v>10026.222534993571</v>
      </c>
      <c r="O535" s="113">
        <f t="shared" si="35"/>
        <v>2245873.8478385597</v>
      </c>
    </row>
    <row r="536" spans="1:15" x14ac:dyDescent="0.25">
      <c r="A536" s="13">
        <v>44461</v>
      </c>
      <c r="B536" s="97">
        <v>96996</v>
      </c>
      <c r="C536" t="s">
        <v>224</v>
      </c>
      <c r="D536" t="s">
        <v>386</v>
      </c>
      <c r="E536" t="s">
        <v>229</v>
      </c>
      <c r="F536" t="s">
        <v>558</v>
      </c>
      <c r="G536" s="50" t="s">
        <v>574</v>
      </c>
      <c r="H536" s="50">
        <v>2</v>
      </c>
      <c r="I536" s="100">
        <v>6.7391919697301583</v>
      </c>
      <c r="J536" s="52">
        <v>3834.68</v>
      </c>
      <c r="K536" s="67">
        <f t="shared" si="36"/>
        <v>2506633.1616823799</v>
      </c>
      <c r="L536" s="95">
        <f>+VLOOKUP(E536,MARGEN!A:B,2,FALSE)</f>
        <v>0.1</v>
      </c>
      <c r="M536" s="112">
        <f t="shared" si="33"/>
        <v>250663.316168238</v>
      </c>
      <c r="N536" s="113">
        <f t="shared" si="34"/>
        <v>10026.53264672952</v>
      </c>
      <c r="O536" s="113">
        <f t="shared" si="35"/>
        <v>2245943.3128674123</v>
      </c>
    </row>
    <row r="537" spans="1:15" x14ac:dyDescent="0.25">
      <c r="A537" s="13">
        <v>44462</v>
      </c>
      <c r="B537" s="97">
        <v>96996</v>
      </c>
      <c r="C537" t="s">
        <v>224</v>
      </c>
      <c r="D537" t="s">
        <v>386</v>
      </c>
      <c r="E537" t="s">
        <v>229</v>
      </c>
      <c r="F537" t="s">
        <v>558</v>
      </c>
      <c r="G537" s="50" t="s">
        <v>574</v>
      </c>
      <c r="H537" s="50">
        <v>2</v>
      </c>
      <c r="I537" s="100">
        <v>6.7391919697301583</v>
      </c>
      <c r="J537" s="52">
        <v>3834.68</v>
      </c>
      <c r="K537" s="67">
        <f t="shared" si="36"/>
        <v>2506633.1616823799</v>
      </c>
      <c r="L537" s="95">
        <f>+VLOOKUP(E537,MARGEN!A:B,2,FALSE)</f>
        <v>0.1</v>
      </c>
      <c r="M537" s="112">
        <f t="shared" si="33"/>
        <v>250663.316168238</v>
      </c>
      <c r="N537" s="113">
        <f t="shared" si="34"/>
        <v>10026.53264672952</v>
      </c>
      <c r="O537" s="113">
        <f t="shared" si="35"/>
        <v>2245943.3128674123</v>
      </c>
    </row>
    <row r="538" spans="1:15" x14ac:dyDescent="0.25">
      <c r="A538" s="13">
        <v>44463</v>
      </c>
      <c r="B538" s="97">
        <v>96996</v>
      </c>
      <c r="C538" t="s">
        <v>224</v>
      </c>
      <c r="D538" t="s">
        <v>386</v>
      </c>
      <c r="E538" t="s">
        <v>229</v>
      </c>
      <c r="F538" t="s">
        <v>558</v>
      </c>
      <c r="G538" s="50" t="s">
        <v>574</v>
      </c>
      <c r="H538" s="50">
        <v>2</v>
      </c>
      <c r="I538" s="100">
        <v>6.7391919697301583</v>
      </c>
      <c r="J538" s="52">
        <v>3834.68</v>
      </c>
      <c r="K538" s="67">
        <f t="shared" si="36"/>
        <v>2506633.1616823799</v>
      </c>
      <c r="L538" s="95">
        <f>+VLOOKUP(E538,MARGEN!A:B,2,FALSE)</f>
        <v>0.1</v>
      </c>
      <c r="M538" s="112">
        <f t="shared" si="33"/>
        <v>250663.316168238</v>
      </c>
      <c r="N538" s="113">
        <f t="shared" si="34"/>
        <v>10026.53264672952</v>
      </c>
      <c r="O538" s="113">
        <f t="shared" si="35"/>
        <v>2245943.3128674123</v>
      </c>
    </row>
    <row r="539" spans="1:15" x14ac:dyDescent="0.25">
      <c r="A539" s="13">
        <v>44464</v>
      </c>
      <c r="B539" s="97">
        <v>96996</v>
      </c>
      <c r="C539" t="s">
        <v>224</v>
      </c>
      <c r="D539" t="s">
        <v>386</v>
      </c>
      <c r="E539" t="s">
        <v>229</v>
      </c>
      <c r="F539" t="s">
        <v>558</v>
      </c>
      <c r="G539" s="50" t="s">
        <v>574</v>
      </c>
      <c r="H539" s="50">
        <v>2</v>
      </c>
      <c r="I539" s="100">
        <v>6.7391919697301583</v>
      </c>
      <c r="J539" s="52">
        <v>3834.68</v>
      </c>
      <c r="K539" s="67">
        <f t="shared" si="36"/>
        <v>2506633.1616823799</v>
      </c>
      <c r="L539" s="95">
        <f>+VLOOKUP(E539,MARGEN!A:B,2,FALSE)</f>
        <v>0.1</v>
      </c>
      <c r="M539" s="112">
        <f t="shared" si="33"/>
        <v>250663.316168238</v>
      </c>
      <c r="N539" s="113">
        <f t="shared" si="34"/>
        <v>10026.53264672952</v>
      </c>
      <c r="O539" s="113">
        <f t="shared" si="35"/>
        <v>2245943.3128674123</v>
      </c>
    </row>
    <row r="540" spans="1:15" x14ac:dyDescent="0.25">
      <c r="A540" s="13">
        <v>44465</v>
      </c>
      <c r="B540" s="97">
        <v>96989</v>
      </c>
      <c r="C540" t="s">
        <v>224</v>
      </c>
      <c r="D540" s="94" t="s">
        <v>386</v>
      </c>
      <c r="E540" t="s">
        <v>229</v>
      </c>
      <c r="F540" t="s">
        <v>551</v>
      </c>
      <c r="G540" s="50" t="s">
        <v>205</v>
      </c>
      <c r="H540" s="50">
        <v>2</v>
      </c>
      <c r="I540" s="100">
        <v>6.7391919697301583</v>
      </c>
      <c r="J540" s="52">
        <v>3834.68</v>
      </c>
      <c r="K540" s="67">
        <f t="shared" si="36"/>
        <v>2506452.2631697422</v>
      </c>
      <c r="L540" s="95">
        <f>+VLOOKUP(E540,MARGEN!A:B,2,FALSE)</f>
        <v>0.1</v>
      </c>
      <c r="M540" s="112">
        <f t="shared" si="33"/>
        <v>250645.22631697424</v>
      </c>
      <c r="N540" s="113">
        <f t="shared" si="34"/>
        <v>10025.809052678969</v>
      </c>
      <c r="O540" s="113">
        <f t="shared" si="35"/>
        <v>2245781.2278000894</v>
      </c>
    </row>
    <row r="541" spans="1:15" x14ac:dyDescent="0.25">
      <c r="A541" s="43">
        <v>44466</v>
      </c>
      <c r="B541" s="51">
        <v>96996</v>
      </c>
      <c r="C541" s="66" t="s">
        <v>224</v>
      </c>
      <c r="D541" s="66" t="s">
        <v>386</v>
      </c>
      <c r="E541" t="s">
        <v>229</v>
      </c>
      <c r="F541" s="50" t="s">
        <v>558</v>
      </c>
      <c r="G541" s="50" t="s">
        <v>574</v>
      </c>
      <c r="H541" s="50">
        <v>2</v>
      </c>
      <c r="I541" s="100">
        <v>6.7391919697301583</v>
      </c>
      <c r="J541" s="52">
        <v>3834.68</v>
      </c>
      <c r="K541" s="67">
        <f t="shared" si="36"/>
        <v>2506633.1616823799</v>
      </c>
      <c r="L541" s="95">
        <f>+VLOOKUP(E541,MARGEN!A:B,2,FALSE)</f>
        <v>0.1</v>
      </c>
      <c r="M541" s="112">
        <f t="shared" si="33"/>
        <v>250663.316168238</v>
      </c>
      <c r="N541" s="113">
        <f t="shared" si="34"/>
        <v>10026.53264672952</v>
      </c>
      <c r="O541" s="113">
        <f t="shared" si="35"/>
        <v>2245943.3128674123</v>
      </c>
    </row>
    <row r="542" spans="1:15" x14ac:dyDescent="0.25">
      <c r="A542" s="43">
        <v>44467</v>
      </c>
      <c r="B542" s="51">
        <v>96986</v>
      </c>
      <c r="C542" s="66" t="s">
        <v>224</v>
      </c>
      <c r="D542" s="66" t="s">
        <v>386</v>
      </c>
      <c r="E542" t="s">
        <v>229</v>
      </c>
      <c r="F542" s="50" t="s">
        <v>562</v>
      </c>
      <c r="G542" s="50" t="s">
        <v>574</v>
      </c>
      <c r="H542" s="50">
        <v>2</v>
      </c>
      <c r="I542" s="100">
        <v>6.7391919697301583</v>
      </c>
      <c r="J542" s="52">
        <v>3834.68</v>
      </c>
      <c r="K542" s="67">
        <f t="shared" si="36"/>
        <v>2506374.7352357544</v>
      </c>
      <c r="L542" s="95">
        <f>+VLOOKUP(E542,MARGEN!A:B,2,FALSE)</f>
        <v>0.1</v>
      </c>
      <c r="M542" s="112">
        <f t="shared" si="33"/>
        <v>250637.47352357546</v>
      </c>
      <c r="N542" s="113">
        <f t="shared" si="34"/>
        <v>10025.498940943018</v>
      </c>
      <c r="O542" s="113">
        <f t="shared" si="35"/>
        <v>2245711.7627712362</v>
      </c>
    </row>
    <row r="543" spans="1:15" x14ac:dyDescent="0.25">
      <c r="A543" s="13">
        <v>44440</v>
      </c>
      <c r="B543" s="97">
        <v>31196</v>
      </c>
      <c r="C543" t="s">
        <v>147</v>
      </c>
      <c r="D543" s="94" t="s">
        <v>449</v>
      </c>
      <c r="E543" t="s">
        <v>60</v>
      </c>
      <c r="F543" t="s">
        <v>558</v>
      </c>
      <c r="G543" s="50" t="s">
        <v>559</v>
      </c>
      <c r="H543" s="50">
        <v>2</v>
      </c>
      <c r="I543" s="100">
        <v>6.7391919697301583</v>
      </c>
      <c r="J543" s="52">
        <v>3834.68</v>
      </c>
      <c r="K543" s="67">
        <f t="shared" si="36"/>
        <v>806187.14289087709</v>
      </c>
      <c r="L543" s="95">
        <f>+VLOOKUP(E543,MARGEN!A:B,2,FALSE)</f>
        <v>0.1</v>
      </c>
      <c r="M543" s="112">
        <f t="shared" si="33"/>
        <v>80618.714289087715</v>
      </c>
      <c r="N543" s="113">
        <f t="shared" si="34"/>
        <v>3224.7485715635084</v>
      </c>
      <c r="O543" s="113">
        <f t="shared" si="35"/>
        <v>722343.68003022589</v>
      </c>
    </row>
    <row r="544" spans="1:15" x14ac:dyDescent="0.25">
      <c r="A544" s="13">
        <v>44441</v>
      </c>
      <c r="B544" s="97">
        <v>31196</v>
      </c>
      <c r="C544" t="s">
        <v>147</v>
      </c>
      <c r="D544" s="94" t="s">
        <v>449</v>
      </c>
      <c r="E544" t="s">
        <v>60</v>
      </c>
      <c r="F544" t="s">
        <v>558</v>
      </c>
      <c r="G544" s="50" t="s">
        <v>559</v>
      </c>
      <c r="H544" s="50">
        <v>2</v>
      </c>
      <c r="I544" s="100">
        <v>6.7391919697301583</v>
      </c>
      <c r="J544" s="52">
        <v>3834.68</v>
      </c>
      <c r="K544" s="67">
        <f t="shared" si="36"/>
        <v>806187.14289087709</v>
      </c>
      <c r="L544" s="95">
        <f>+VLOOKUP(E544,MARGEN!A:B,2,FALSE)</f>
        <v>0.1</v>
      </c>
      <c r="M544" s="112">
        <f t="shared" si="33"/>
        <v>80618.714289087715</v>
      </c>
      <c r="N544" s="113">
        <f t="shared" si="34"/>
        <v>3224.7485715635084</v>
      </c>
      <c r="O544" s="113">
        <f t="shared" si="35"/>
        <v>722343.68003022589</v>
      </c>
    </row>
    <row r="545" spans="1:15" x14ac:dyDescent="0.25">
      <c r="A545" s="13">
        <v>44442</v>
      </c>
      <c r="B545" s="51">
        <v>31196</v>
      </c>
      <c r="C545" s="66" t="s">
        <v>147</v>
      </c>
      <c r="D545" s="66" t="s">
        <v>449</v>
      </c>
      <c r="E545" t="s">
        <v>60</v>
      </c>
      <c r="F545" s="50" t="s">
        <v>558</v>
      </c>
      <c r="G545" s="50" t="s">
        <v>559</v>
      </c>
      <c r="H545" s="50">
        <v>2</v>
      </c>
      <c r="I545" s="100">
        <v>6.7391919697301583</v>
      </c>
      <c r="J545" s="52">
        <v>3834.68</v>
      </c>
      <c r="K545" s="67">
        <f t="shared" si="36"/>
        <v>806187.14289087709</v>
      </c>
      <c r="L545" s="95">
        <f>+VLOOKUP(E545,MARGEN!A:B,2,FALSE)</f>
        <v>0.1</v>
      </c>
      <c r="M545" s="112">
        <f t="shared" si="33"/>
        <v>80618.714289087715</v>
      </c>
      <c r="N545" s="113">
        <f t="shared" si="34"/>
        <v>3224.7485715635084</v>
      </c>
      <c r="O545" s="113">
        <f t="shared" si="35"/>
        <v>722343.68003022589</v>
      </c>
    </row>
    <row r="546" spans="1:15" x14ac:dyDescent="0.25">
      <c r="A546" s="13">
        <v>44454</v>
      </c>
      <c r="B546" s="97">
        <v>31196</v>
      </c>
      <c r="C546" t="s">
        <v>147</v>
      </c>
      <c r="D546" s="94" t="s">
        <v>449</v>
      </c>
      <c r="E546" t="s">
        <v>60</v>
      </c>
      <c r="F546" t="s">
        <v>558</v>
      </c>
      <c r="G546" s="50" t="s">
        <v>559</v>
      </c>
      <c r="H546" s="50">
        <v>2</v>
      </c>
      <c r="I546" s="100">
        <v>6.7391919697301583</v>
      </c>
      <c r="J546" s="52">
        <v>3834.68</v>
      </c>
      <c r="K546" s="67">
        <f t="shared" si="36"/>
        <v>806187.14289087709</v>
      </c>
      <c r="L546" s="95">
        <f>+VLOOKUP(E546,MARGEN!A:B,2,FALSE)</f>
        <v>0.1</v>
      </c>
      <c r="M546" s="112">
        <f t="shared" si="33"/>
        <v>80618.714289087715</v>
      </c>
      <c r="N546" s="113">
        <f t="shared" si="34"/>
        <v>3224.7485715635084</v>
      </c>
      <c r="O546" s="113">
        <f t="shared" si="35"/>
        <v>722343.68003022589</v>
      </c>
    </row>
    <row r="547" spans="1:15" x14ac:dyDescent="0.25">
      <c r="A547" s="13">
        <v>44455</v>
      </c>
      <c r="B547" s="97">
        <v>31195</v>
      </c>
      <c r="C547" t="s">
        <v>147</v>
      </c>
      <c r="D547" s="94" t="s">
        <v>449</v>
      </c>
      <c r="E547" t="s">
        <v>60</v>
      </c>
      <c r="F547" t="s">
        <v>566</v>
      </c>
      <c r="G547" s="50" t="s">
        <v>559</v>
      </c>
      <c r="H547" s="50">
        <v>2</v>
      </c>
      <c r="I547" s="100">
        <v>6.7391919697301583</v>
      </c>
      <c r="J547" s="52">
        <v>3834.68</v>
      </c>
      <c r="K547" s="67">
        <f t="shared" si="36"/>
        <v>806161.30024621461</v>
      </c>
      <c r="L547" s="95">
        <f>+VLOOKUP(E547,MARGEN!A:B,2,FALSE)</f>
        <v>0.1</v>
      </c>
      <c r="M547" s="112">
        <f t="shared" si="33"/>
        <v>80616.130024621467</v>
      </c>
      <c r="N547" s="113">
        <f t="shared" si="34"/>
        <v>3224.6452009848585</v>
      </c>
      <c r="O547" s="113">
        <f t="shared" si="35"/>
        <v>722320.52502060821</v>
      </c>
    </row>
    <row r="548" spans="1:15" x14ac:dyDescent="0.25">
      <c r="A548" s="13">
        <v>44456</v>
      </c>
      <c r="B548" s="97">
        <v>31195</v>
      </c>
      <c r="C548" t="s">
        <v>147</v>
      </c>
      <c r="D548" s="94" t="s">
        <v>449</v>
      </c>
      <c r="E548" t="s">
        <v>60</v>
      </c>
      <c r="F548" t="s">
        <v>566</v>
      </c>
      <c r="G548" s="50" t="s">
        <v>559</v>
      </c>
      <c r="H548" s="50">
        <v>2</v>
      </c>
      <c r="I548" s="100">
        <v>6.7391919697301583</v>
      </c>
      <c r="J548" s="52">
        <v>3834.68</v>
      </c>
      <c r="K548" s="67">
        <f t="shared" si="36"/>
        <v>806161.30024621461</v>
      </c>
      <c r="L548" s="95">
        <f>+VLOOKUP(E548,MARGEN!A:B,2,FALSE)</f>
        <v>0.1</v>
      </c>
      <c r="M548" s="112">
        <f t="shared" si="33"/>
        <v>80616.130024621467</v>
      </c>
      <c r="N548" s="113">
        <f t="shared" si="34"/>
        <v>3224.6452009848585</v>
      </c>
      <c r="O548" s="113">
        <f t="shared" si="35"/>
        <v>722320.52502060821</v>
      </c>
    </row>
    <row r="549" spans="1:15" x14ac:dyDescent="0.25">
      <c r="A549" s="13">
        <v>44457</v>
      </c>
      <c r="B549" s="97">
        <v>31195</v>
      </c>
      <c r="C549" t="s">
        <v>147</v>
      </c>
      <c r="D549" s="94" t="s">
        <v>449</v>
      </c>
      <c r="E549" t="s">
        <v>60</v>
      </c>
      <c r="F549" t="s">
        <v>566</v>
      </c>
      <c r="G549" s="50" t="s">
        <v>559</v>
      </c>
      <c r="H549" s="50">
        <v>2</v>
      </c>
      <c r="I549" s="100">
        <v>6.7391919697301583</v>
      </c>
      <c r="J549" s="52">
        <v>3834.68</v>
      </c>
      <c r="K549" s="67">
        <f t="shared" si="36"/>
        <v>806161.30024621461</v>
      </c>
      <c r="L549" s="95">
        <f>+VLOOKUP(E549,MARGEN!A:B,2,FALSE)</f>
        <v>0.1</v>
      </c>
      <c r="M549" s="112">
        <f t="shared" si="33"/>
        <v>80616.130024621467</v>
      </c>
      <c r="N549" s="113">
        <f t="shared" si="34"/>
        <v>3224.6452009848585</v>
      </c>
      <c r="O549" s="113">
        <f t="shared" si="35"/>
        <v>722320.52502060821</v>
      </c>
    </row>
    <row r="550" spans="1:15" x14ac:dyDescent="0.25">
      <c r="A550" s="13">
        <v>44458</v>
      </c>
      <c r="B550" s="97">
        <v>31195</v>
      </c>
      <c r="C550" t="s">
        <v>147</v>
      </c>
      <c r="D550" s="94" t="s">
        <v>449</v>
      </c>
      <c r="E550" t="s">
        <v>60</v>
      </c>
      <c r="F550" t="s">
        <v>566</v>
      </c>
      <c r="G550" s="50" t="s">
        <v>559</v>
      </c>
      <c r="H550" s="50">
        <v>2</v>
      </c>
      <c r="I550" s="100">
        <v>6.7391919697301583</v>
      </c>
      <c r="J550" s="52">
        <v>3834.68</v>
      </c>
      <c r="K550" s="67">
        <f t="shared" si="36"/>
        <v>806161.30024621461</v>
      </c>
      <c r="L550" s="95">
        <f>+VLOOKUP(E550,MARGEN!A:B,2,FALSE)</f>
        <v>0.1</v>
      </c>
      <c r="M550" s="112">
        <f t="shared" si="33"/>
        <v>80616.130024621467</v>
      </c>
      <c r="N550" s="113">
        <f t="shared" si="34"/>
        <v>3224.6452009848585</v>
      </c>
      <c r="O550" s="113">
        <f t="shared" si="35"/>
        <v>722320.52502060821</v>
      </c>
    </row>
    <row r="551" spans="1:15" x14ac:dyDescent="0.25">
      <c r="A551" s="13">
        <v>44459</v>
      </c>
      <c r="B551" s="97">
        <v>31196</v>
      </c>
      <c r="C551" t="s">
        <v>147</v>
      </c>
      <c r="D551" s="94" t="s">
        <v>449</v>
      </c>
      <c r="E551" t="s">
        <v>60</v>
      </c>
      <c r="F551" t="s">
        <v>558</v>
      </c>
      <c r="G551" s="50" t="s">
        <v>574</v>
      </c>
      <c r="H551" s="50">
        <v>2</v>
      </c>
      <c r="I551" s="100">
        <v>6.7391919697301583</v>
      </c>
      <c r="J551" s="52">
        <v>3834.68</v>
      </c>
      <c r="K551" s="67">
        <f t="shared" si="36"/>
        <v>806187.14289087709</v>
      </c>
      <c r="L551" s="95">
        <f>+VLOOKUP(E551,MARGEN!A:B,2,FALSE)</f>
        <v>0.1</v>
      </c>
      <c r="M551" s="112">
        <f t="shared" si="33"/>
        <v>80618.714289087715</v>
      </c>
      <c r="N551" s="113">
        <f t="shared" si="34"/>
        <v>3224.7485715635084</v>
      </c>
      <c r="O551" s="113">
        <f t="shared" si="35"/>
        <v>722343.68003022589</v>
      </c>
    </row>
    <row r="552" spans="1:15" x14ac:dyDescent="0.25">
      <c r="A552" s="13">
        <v>44460</v>
      </c>
      <c r="B552" s="97">
        <v>31195</v>
      </c>
      <c r="C552" t="s">
        <v>147</v>
      </c>
      <c r="D552" t="s">
        <v>449</v>
      </c>
      <c r="E552" t="s">
        <v>60</v>
      </c>
      <c r="F552" t="s">
        <v>566</v>
      </c>
      <c r="G552" s="50" t="s">
        <v>574</v>
      </c>
      <c r="H552" s="50">
        <v>2</v>
      </c>
      <c r="I552" s="100">
        <v>6.7391919697301583</v>
      </c>
      <c r="J552" s="52">
        <v>3834.68</v>
      </c>
      <c r="K552" s="67">
        <f t="shared" si="36"/>
        <v>806161.30024621461</v>
      </c>
      <c r="L552" s="95">
        <f>+VLOOKUP(E552,MARGEN!A:B,2,FALSE)</f>
        <v>0.1</v>
      </c>
      <c r="M552" s="112">
        <f t="shared" si="33"/>
        <v>80616.130024621467</v>
      </c>
      <c r="N552" s="113">
        <f t="shared" si="34"/>
        <v>3224.6452009848585</v>
      </c>
      <c r="O552" s="113">
        <f t="shared" si="35"/>
        <v>722320.52502060821</v>
      </c>
    </row>
    <row r="553" spans="1:15" x14ac:dyDescent="0.25">
      <c r="A553" s="13">
        <v>44461</v>
      </c>
      <c r="B553" s="97">
        <v>31196</v>
      </c>
      <c r="C553" t="s">
        <v>147</v>
      </c>
      <c r="D553" t="s">
        <v>449</v>
      </c>
      <c r="E553" t="s">
        <v>60</v>
      </c>
      <c r="F553" t="s">
        <v>558</v>
      </c>
      <c r="G553" s="50" t="s">
        <v>574</v>
      </c>
      <c r="H553" s="50">
        <v>2</v>
      </c>
      <c r="I553" s="100">
        <v>6.7391919697301583</v>
      </c>
      <c r="J553" s="52">
        <v>3834.68</v>
      </c>
      <c r="K553" s="67">
        <f t="shared" si="36"/>
        <v>806187.14289087709</v>
      </c>
      <c r="L553" s="95">
        <f>+VLOOKUP(E553,MARGEN!A:B,2,FALSE)</f>
        <v>0.1</v>
      </c>
      <c r="M553" s="112">
        <f t="shared" si="33"/>
        <v>80618.714289087715</v>
      </c>
      <c r="N553" s="113">
        <f t="shared" si="34"/>
        <v>3224.7485715635084</v>
      </c>
      <c r="O553" s="113">
        <f t="shared" si="35"/>
        <v>722343.68003022589</v>
      </c>
    </row>
    <row r="554" spans="1:15" x14ac:dyDescent="0.25">
      <c r="A554" s="13">
        <v>44462</v>
      </c>
      <c r="B554" s="97">
        <v>31195</v>
      </c>
      <c r="C554" t="s">
        <v>147</v>
      </c>
      <c r="D554" t="s">
        <v>449</v>
      </c>
      <c r="E554" t="s">
        <v>60</v>
      </c>
      <c r="F554" t="s">
        <v>566</v>
      </c>
      <c r="G554" s="50" t="s">
        <v>574</v>
      </c>
      <c r="H554" s="50">
        <v>2</v>
      </c>
      <c r="I554" s="100">
        <v>6.7391919697301583</v>
      </c>
      <c r="J554" s="52">
        <v>3834.68</v>
      </c>
      <c r="K554" s="67">
        <f t="shared" si="36"/>
        <v>806161.30024621461</v>
      </c>
      <c r="L554" s="95">
        <f>+VLOOKUP(E554,MARGEN!A:B,2,FALSE)</f>
        <v>0.1</v>
      </c>
      <c r="M554" s="112">
        <f t="shared" si="33"/>
        <v>80616.130024621467</v>
      </c>
      <c r="N554" s="113">
        <f t="shared" si="34"/>
        <v>3224.6452009848585</v>
      </c>
      <c r="O554" s="113">
        <f t="shared" si="35"/>
        <v>722320.52502060821</v>
      </c>
    </row>
    <row r="555" spans="1:15" x14ac:dyDescent="0.25">
      <c r="A555" s="13">
        <v>44463</v>
      </c>
      <c r="B555" s="97">
        <v>31196</v>
      </c>
      <c r="C555" t="s">
        <v>147</v>
      </c>
      <c r="D555" t="s">
        <v>449</v>
      </c>
      <c r="E555" t="s">
        <v>60</v>
      </c>
      <c r="F555" t="s">
        <v>558</v>
      </c>
      <c r="G555" s="50" t="s">
        <v>574</v>
      </c>
      <c r="H555" s="50">
        <v>2</v>
      </c>
      <c r="I555" s="100">
        <v>6.7391919697301583</v>
      </c>
      <c r="J555" s="52">
        <v>3834.68</v>
      </c>
      <c r="K555" s="67">
        <f t="shared" si="36"/>
        <v>806187.14289087709</v>
      </c>
      <c r="L555" s="95">
        <f>+VLOOKUP(E555,MARGEN!A:B,2,FALSE)</f>
        <v>0.1</v>
      </c>
      <c r="M555" s="112">
        <f t="shared" si="33"/>
        <v>80618.714289087715</v>
      </c>
      <c r="N555" s="113">
        <f t="shared" si="34"/>
        <v>3224.7485715635084</v>
      </c>
      <c r="O555" s="113">
        <f t="shared" si="35"/>
        <v>722343.68003022589</v>
      </c>
    </row>
    <row r="556" spans="1:15" x14ac:dyDescent="0.25">
      <c r="A556" s="13">
        <v>44464</v>
      </c>
      <c r="B556" s="97">
        <v>31196</v>
      </c>
      <c r="C556" t="s">
        <v>147</v>
      </c>
      <c r="D556" t="s">
        <v>449</v>
      </c>
      <c r="E556" t="s">
        <v>60</v>
      </c>
      <c r="F556" t="s">
        <v>558</v>
      </c>
      <c r="G556" s="50" t="s">
        <v>574</v>
      </c>
      <c r="H556" s="50">
        <v>2</v>
      </c>
      <c r="I556" s="100">
        <v>6.7391919697301583</v>
      </c>
      <c r="J556" s="52">
        <v>3834.68</v>
      </c>
      <c r="K556" s="67">
        <f t="shared" si="36"/>
        <v>806187.14289087709</v>
      </c>
      <c r="L556" s="95">
        <f>+VLOOKUP(E556,MARGEN!A:B,2,FALSE)</f>
        <v>0.1</v>
      </c>
      <c r="M556" s="112">
        <f t="shared" si="33"/>
        <v>80618.714289087715</v>
      </c>
      <c r="N556" s="113">
        <f t="shared" si="34"/>
        <v>3224.7485715635084</v>
      </c>
      <c r="O556" s="113">
        <f t="shared" si="35"/>
        <v>722343.68003022589</v>
      </c>
    </row>
    <row r="557" spans="1:15" x14ac:dyDescent="0.25">
      <c r="A557" s="13">
        <v>44465</v>
      </c>
      <c r="B557" s="97">
        <v>31196</v>
      </c>
      <c r="C557" t="s">
        <v>147</v>
      </c>
      <c r="D557" s="94" t="s">
        <v>449</v>
      </c>
      <c r="E557" t="s">
        <v>60</v>
      </c>
      <c r="F557" t="s">
        <v>558</v>
      </c>
      <c r="G557" s="50" t="s">
        <v>559</v>
      </c>
      <c r="H557" s="50">
        <v>2</v>
      </c>
      <c r="I557" s="100">
        <v>6.7391919697301583</v>
      </c>
      <c r="J557" s="52">
        <v>3834.68</v>
      </c>
      <c r="K557" s="67">
        <f t="shared" si="36"/>
        <v>806187.14289087709</v>
      </c>
      <c r="L557" s="95">
        <f>+VLOOKUP(E557,MARGEN!A:B,2,FALSE)</f>
        <v>0.1</v>
      </c>
      <c r="M557" s="112">
        <f t="shared" si="33"/>
        <v>80618.714289087715</v>
      </c>
      <c r="N557" s="113">
        <f t="shared" si="34"/>
        <v>3224.7485715635084</v>
      </c>
      <c r="O557" s="113">
        <f t="shared" si="35"/>
        <v>722343.68003022589</v>
      </c>
    </row>
    <row r="558" spans="1:15" x14ac:dyDescent="0.25">
      <c r="A558" s="43">
        <v>44466</v>
      </c>
      <c r="B558" s="51">
        <v>31196</v>
      </c>
      <c r="C558" s="66" t="s">
        <v>147</v>
      </c>
      <c r="D558" s="66" t="s">
        <v>449</v>
      </c>
      <c r="E558" t="s">
        <v>60</v>
      </c>
      <c r="F558" s="50" t="s">
        <v>558</v>
      </c>
      <c r="G558" s="50" t="s">
        <v>574</v>
      </c>
      <c r="H558" s="50">
        <v>2</v>
      </c>
      <c r="I558" s="100">
        <v>6.7391919697301583</v>
      </c>
      <c r="J558" s="52">
        <v>3834.68</v>
      </c>
      <c r="K558" s="67">
        <f t="shared" si="36"/>
        <v>806187.14289087709</v>
      </c>
      <c r="L558" s="95">
        <f>+VLOOKUP(E558,MARGEN!A:B,2,FALSE)</f>
        <v>0.1</v>
      </c>
      <c r="M558" s="112">
        <f t="shared" si="33"/>
        <v>80618.714289087715</v>
      </c>
      <c r="N558" s="113">
        <f t="shared" si="34"/>
        <v>3224.7485715635084</v>
      </c>
      <c r="O558" s="113">
        <f t="shared" si="35"/>
        <v>722343.68003022589</v>
      </c>
    </row>
    <row r="559" spans="1:15" x14ac:dyDescent="0.25">
      <c r="A559" s="43">
        <v>44467</v>
      </c>
      <c r="B559" s="51">
        <v>31195</v>
      </c>
      <c r="C559" s="66" t="s">
        <v>147</v>
      </c>
      <c r="D559" s="66" t="s">
        <v>449</v>
      </c>
      <c r="E559" t="s">
        <v>60</v>
      </c>
      <c r="F559" s="50" t="s">
        <v>566</v>
      </c>
      <c r="G559" s="50" t="s">
        <v>574</v>
      </c>
      <c r="H559" s="50">
        <v>2</v>
      </c>
      <c r="I559" s="100">
        <v>6.7391919697301583</v>
      </c>
      <c r="J559" s="52">
        <v>3834.68</v>
      </c>
      <c r="K559" s="67">
        <f t="shared" si="36"/>
        <v>806161.30024621461</v>
      </c>
      <c r="L559" s="95">
        <f>+VLOOKUP(E559,MARGEN!A:B,2,FALSE)</f>
        <v>0.1</v>
      </c>
      <c r="M559" s="112">
        <f t="shared" si="33"/>
        <v>80616.130024621467</v>
      </c>
      <c r="N559" s="113">
        <f t="shared" si="34"/>
        <v>3224.6452009848585</v>
      </c>
      <c r="O559" s="113">
        <f t="shared" si="35"/>
        <v>722320.52502060821</v>
      </c>
    </row>
    <row r="560" spans="1:15" x14ac:dyDescent="0.25">
      <c r="A560" s="13">
        <v>44454</v>
      </c>
      <c r="B560" s="97">
        <v>6094</v>
      </c>
      <c r="C560" t="s">
        <v>266</v>
      </c>
      <c r="D560" s="94" t="s">
        <v>506</v>
      </c>
      <c r="E560" t="s">
        <v>571</v>
      </c>
      <c r="F560" t="s">
        <v>551</v>
      </c>
      <c r="G560" s="50" t="s">
        <v>205</v>
      </c>
      <c r="H560" s="50">
        <v>2</v>
      </c>
      <c r="I560" s="100">
        <v>6.7391919697301583</v>
      </c>
      <c r="J560" s="52">
        <v>3834.68</v>
      </c>
      <c r="K560" s="67">
        <f t="shared" si="36"/>
        <v>157485.07657318265</v>
      </c>
      <c r="L560" s="95">
        <f>+VLOOKUP(E560,MARGEN!A:B,2,FALSE)</f>
        <v>0.1</v>
      </c>
      <c r="M560" s="112">
        <f t="shared" si="33"/>
        <v>15748.507657318267</v>
      </c>
      <c r="N560" s="113">
        <f t="shared" si="34"/>
        <v>629.94030629273061</v>
      </c>
      <c r="O560" s="113">
        <f t="shared" si="35"/>
        <v>141106.62860957166</v>
      </c>
    </row>
    <row r="561" spans="1:15" x14ac:dyDescent="0.25">
      <c r="A561" s="13">
        <v>44455</v>
      </c>
      <c r="B561" s="97">
        <v>6094</v>
      </c>
      <c r="C561" t="s">
        <v>266</v>
      </c>
      <c r="D561" s="94" t="s">
        <v>506</v>
      </c>
      <c r="E561" t="s">
        <v>571</v>
      </c>
      <c r="F561" t="s">
        <v>562</v>
      </c>
      <c r="G561" s="50" t="s">
        <v>559</v>
      </c>
      <c r="H561" s="50">
        <v>2</v>
      </c>
      <c r="I561" s="100">
        <v>6.7391919697301583</v>
      </c>
      <c r="J561" s="52">
        <v>3834.68</v>
      </c>
      <c r="K561" s="67">
        <f t="shared" si="36"/>
        <v>157485.07657318265</v>
      </c>
      <c r="L561" s="95">
        <f>+VLOOKUP(E561,MARGEN!A:B,2,FALSE)</f>
        <v>0.1</v>
      </c>
      <c r="M561" s="112">
        <f t="shared" si="33"/>
        <v>15748.507657318267</v>
      </c>
      <c r="N561" s="113">
        <f t="shared" si="34"/>
        <v>629.94030629273061</v>
      </c>
      <c r="O561" s="113">
        <f t="shared" si="35"/>
        <v>141106.62860957166</v>
      </c>
    </row>
    <row r="562" spans="1:15" x14ac:dyDescent="0.25">
      <c r="A562" s="13">
        <v>44456</v>
      </c>
      <c r="B562" s="97">
        <v>6094</v>
      </c>
      <c r="C562" t="s">
        <v>266</v>
      </c>
      <c r="D562" s="94" t="s">
        <v>506</v>
      </c>
      <c r="E562" t="s">
        <v>571</v>
      </c>
      <c r="F562" t="s">
        <v>562</v>
      </c>
      <c r="G562" s="50" t="s">
        <v>559</v>
      </c>
      <c r="H562" s="50">
        <v>2</v>
      </c>
      <c r="I562" s="100">
        <v>6.7391919697301583</v>
      </c>
      <c r="J562" s="52">
        <v>3834.68</v>
      </c>
      <c r="K562" s="67">
        <f t="shared" si="36"/>
        <v>157485.07657318265</v>
      </c>
      <c r="L562" s="95">
        <f>+VLOOKUP(E562,MARGEN!A:B,2,FALSE)</f>
        <v>0.1</v>
      </c>
      <c r="M562" s="112">
        <f t="shared" si="33"/>
        <v>15748.507657318267</v>
      </c>
      <c r="N562" s="113">
        <f t="shared" si="34"/>
        <v>629.94030629273061</v>
      </c>
      <c r="O562" s="113">
        <f t="shared" si="35"/>
        <v>141106.62860957166</v>
      </c>
    </row>
    <row r="563" spans="1:15" x14ac:dyDescent="0.25">
      <c r="A563" s="13">
        <v>44457</v>
      </c>
      <c r="B563" s="97">
        <v>6094</v>
      </c>
      <c r="C563" t="s">
        <v>266</v>
      </c>
      <c r="D563" s="94" t="s">
        <v>506</v>
      </c>
      <c r="E563" t="s">
        <v>571</v>
      </c>
      <c r="F563" t="s">
        <v>562</v>
      </c>
      <c r="G563" s="50" t="s">
        <v>559</v>
      </c>
      <c r="H563" s="50">
        <v>2</v>
      </c>
      <c r="I563" s="100">
        <v>6.7391919697301583</v>
      </c>
      <c r="J563" s="52">
        <v>3834.68</v>
      </c>
      <c r="K563" s="67">
        <f t="shared" si="36"/>
        <v>157485.07657318265</v>
      </c>
      <c r="L563" s="95">
        <f>+VLOOKUP(E563,MARGEN!A:B,2,FALSE)</f>
        <v>0.1</v>
      </c>
      <c r="M563" s="112">
        <f t="shared" si="33"/>
        <v>15748.507657318267</v>
      </c>
      <c r="N563" s="113">
        <f t="shared" si="34"/>
        <v>629.94030629273061</v>
      </c>
      <c r="O563" s="113">
        <f t="shared" si="35"/>
        <v>141106.62860957166</v>
      </c>
    </row>
    <row r="564" spans="1:15" x14ac:dyDescent="0.25">
      <c r="A564" s="13">
        <v>44458</v>
      </c>
      <c r="B564" s="97">
        <v>6094</v>
      </c>
      <c r="C564" t="s">
        <v>266</v>
      </c>
      <c r="D564" s="94" t="s">
        <v>506</v>
      </c>
      <c r="E564" t="s">
        <v>571</v>
      </c>
      <c r="F564" t="s">
        <v>562</v>
      </c>
      <c r="G564" s="50" t="s">
        <v>559</v>
      </c>
      <c r="H564" s="50">
        <v>2</v>
      </c>
      <c r="I564" s="100">
        <v>6.7391919697301583</v>
      </c>
      <c r="J564" s="52">
        <v>3834.68</v>
      </c>
      <c r="K564" s="67">
        <f t="shared" si="36"/>
        <v>157485.07657318265</v>
      </c>
      <c r="L564" s="95">
        <f>+VLOOKUP(E564,MARGEN!A:B,2,FALSE)</f>
        <v>0.1</v>
      </c>
      <c r="M564" s="112">
        <f t="shared" si="33"/>
        <v>15748.507657318267</v>
      </c>
      <c r="N564" s="113">
        <f t="shared" si="34"/>
        <v>629.94030629273061</v>
      </c>
      <c r="O564" s="113">
        <f t="shared" si="35"/>
        <v>141106.62860957166</v>
      </c>
    </row>
    <row r="565" spans="1:15" x14ac:dyDescent="0.25">
      <c r="A565" s="13">
        <v>44459</v>
      </c>
      <c r="B565" s="97">
        <v>6095</v>
      </c>
      <c r="C565" t="s">
        <v>266</v>
      </c>
      <c r="D565" s="94" t="s">
        <v>506</v>
      </c>
      <c r="E565" t="s">
        <v>571</v>
      </c>
      <c r="F565" t="s">
        <v>558</v>
      </c>
      <c r="G565" s="50" t="s">
        <v>574</v>
      </c>
      <c r="H565" s="50">
        <v>2</v>
      </c>
      <c r="I565" s="100">
        <v>6.7391919697301583</v>
      </c>
      <c r="J565" s="52">
        <v>3834.68</v>
      </c>
      <c r="K565" s="67">
        <f t="shared" si="36"/>
        <v>157510.9192178451</v>
      </c>
      <c r="L565" s="95">
        <f>+VLOOKUP(E565,MARGEN!A:B,2,FALSE)</f>
        <v>0.1</v>
      </c>
      <c r="M565" s="112">
        <f t="shared" si="33"/>
        <v>15751.091921784511</v>
      </c>
      <c r="N565" s="113">
        <f t="shared" si="34"/>
        <v>630.0436768713804</v>
      </c>
      <c r="O565" s="113">
        <f t="shared" si="35"/>
        <v>141129.78361918923</v>
      </c>
    </row>
    <row r="566" spans="1:15" x14ac:dyDescent="0.25">
      <c r="A566" s="13">
        <v>44460</v>
      </c>
      <c r="B566" s="97">
        <v>6095</v>
      </c>
      <c r="C566" t="s">
        <v>266</v>
      </c>
      <c r="D566" t="s">
        <v>506</v>
      </c>
      <c r="E566" t="s">
        <v>571</v>
      </c>
      <c r="F566" t="s">
        <v>558</v>
      </c>
      <c r="G566" s="50" t="s">
        <v>574</v>
      </c>
      <c r="H566" s="50">
        <v>2</v>
      </c>
      <c r="I566" s="100">
        <v>6.7391919697301583</v>
      </c>
      <c r="J566" s="52">
        <v>3834.68</v>
      </c>
      <c r="K566" s="67">
        <f t="shared" si="36"/>
        <v>157510.9192178451</v>
      </c>
      <c r="L566" s="95">
        <f>+VLOOKUP(E566,MARGEN!A:B,2,FALSE)</f>
        <v>0.1</v>
      </c>
      <c r="M566" s="112">
        <f t="shared" si="33"/>
        <v>15751.091921784511</v>
      </c>
      <c r="N566" s="113">
        <f t="shared" si="34"/>
        <v>630.0436768713804</v>
      </c>
      <c r="O566" s="113">
        <f t="shared" si="35"/>
        <v>141129.78361918923</v>
      </c>
    </row>
    <row r="567" spans="1:15" x14ac:dyDescent="0.25">
      <c r="A567" s="13">
        <v>44461</v>
      </c>
      <c r="B567" s="97">
        <v>6094</v>
      </c>
      <c r="C567" t="s">
        <v>266</v>
      </c>
      <c r="D567" t="s">
        <v>506</v>
      </c>
      <c r="E567" t="s">
        <v>571</v>
      </c>
      <c r="F567" t="s">
        <v>562</v>
      </c>
      <c r="G567" s="50" t="s">
        <v>574</v>
      </c>
      <c r="H567" s="50">
        <v>2</v>
      </c>
      <c r="I567" s="100">
        <v>6.7391919697301583</v>
      </c>
      <c r="J567" s="52">
        <v>3834.68</v>
      </c>
      <c r="K567" s="67">
        <f t="shared" si="36"/>
        <v>157485.07657318265</v>
      </c>
      <c r="L567" s="95">
        <f>+VLOOKUP(E567,MARGEN!A:B,2,FALSE)</f>
        <v>0.1</v>
      </c>
      <c r="M567" s="112">
        <f t="shared" si="33"/>
        <v>15748.507657318267</v>
      </c>
      <c r="N567" s="113">
        <f t="shared" si="34"/>
        <v>629.94030629273061</v>
      </c>
      <c r="O567" s="113">
        <f t="shared" si="35"/>
        <v>141106.62860957166</v>
      </c>
    </row>
    <row r="568" spans="1:15" x14ac:dyDescent="0.25">
      <c r="A568" s="13">
        <v>44462</v>
      </c>
      <c r="B568" s="97">
        <v>6095</v>
      </c>
      <c r="C568" t="s">
        <v>266</v>
      </c>
      <c r="D568" t="s">
        <v>506</v>
      </c>
      <c r="E568" t="s">
        <v>571</v>
      </c>
      <c r="F568" t="s">
        <v>558</v>
      </c>
      <c r="G568" s="50" t="s">
        <v>574</v>
      </c>
      <c r="H568" s="50">
        <v>2</v>
      </c>
      <c r="I568" s="100">
        <v>6.7391919697301583</v>
      </c>
      <c r="J568" s="52">
        <v>3834.68</v>
      </c>
      <c r="K568" s="67">
        <f t="shared" si="36"/>
        <v>157510.9192178451</v>
      </c>
      <c r="L568" s="95">
        <f>+VLOOKUP(E568,MARGEN!A:B,2,FALSE)</f>
        <v>0.1</v>
      </c>
      <c r="M568" s="112">
        <f t="shared" si="33"/>
        <v>15751.091921784511</v>
      </c>
      <c r="N568" s="113">
        <f t="shared" si="34"/>
        <v>630.0436768713804</v>
      </c>
      <c r="O568" s="113">
        <f t="shared" si="35"/>
        <v>141129.78361918923</v>
      </c>
    </row>
    <row r="569" spans="1:15" x14ac:dyDescent="0.25">
      <c r="A569" s="13">
        <v>44463</v>
      </c>
      <c r="B569" s="97">
        <v>6095</v>
      </c>
      <c r="C569" t="s">
        <v>266</v>
      </c>
      <c r="D569" t="s">
        <v>506</v>
      </c>
      <c r="E569" t="s">
        <v>571</v>
      </c>
      <c r="F569" t="s">
        <v>558</v>
      </c>
      <c r="G569" s="50" t="s">
        <v>574</v>
      </c>
      <c r="H569" s="50">
        <v>2</v>
      </c>
      <c r="I569" s="100">
        <v>6.7391919697301583</v>
      </c>
      <c r="J569" s="52">
        <v>3834.68</v>
      </c>
      <c r="K569" s="67">
        <f t="shared" si="36"/>
        <v>157510.9192178451</v>
      </c>
      <c r="L569" s="95">
        <f>+VLOOKUP(E569,MARGEN!A:B,2,FALSE)</f>
        <v>0.1</v>
      </c>
      <c r="M569" s="112">
        <f t="shared" si="33"/>
        <v>15751.091921784511</v>
      </c>
      <c r="N569" s="113">
        <f t="shared" si="34"/>
        <v>630.0436768713804</v>
      </c>
      <c r="O569" s="113">
        <f t="shared" si="35"/>
        <v>141129.78361918923</v>
      </c>
    </row>
    <row r="570" spans="1:15" x14ac:dyDescent="0.25">
      <c r="A570" s="13">
        <v>44464</v>
      </c>
      <c r="B570" s="97">
        <v>6095</v>
      </c>
      <c r="C570" t="s">
        <v>266</v>
      </c>
      <c r="D570" t="s">
        <v>506</v>
      </c>
      <c r="E570" t="s">
        <v>571</v>
      </c>
      <c r="F570" t="s">
        <v>558</v>
      </c>
      <c r="G570" s="50" t="s">
        <v>574</v>
      </c>
      <c r="H570" s="50">
        <v>2</v>
      </c>
      <c r="I570" s="100">
        <v>6.7391919697301583</v>
      </c>
      <c r="J570" s="52">
        <v>3834.68</v>
      </c>
      <c r="K570" s="67">
        <f t="shared" si="36"/>
        <v>157510.9192178451</v>
      </c>
      <c r="L570" s="95">
        <f>+VLOOKUP(E570,MARGEN!A:B,2,FALSE)</f>
        <v>0.1</v>
      </c>
      <c r="M570" s="112">
        <f t="shared" si="33"/>
        <v>15751.091921784511</v>
      </c>
      <c r="N570" s="113">
        <f t="shared" si="34"/>
        <v>630.0436768713804</v>
      </c>
      <c r="O570" s="113">
        <f t="shared" si="35"/>
        <v>141129.78361918923</v>
      </c>
    </row>
    <row r="571" spans="1:15" x14ac:dyDescent="0.25">
      <c r="A571" s="13">
        <v>44465</v>
      </c>
      <c r="B571" s="97">
        <v>6094</v>
      </c>
      <c r="C571" t="s">
        <v>266</v>
      </c>
      <c r="D571" s="94" t="s">
        <v>506</v>
      </c>
      <c r="E571" t="s">
        <v>571</v>
      </c>
      <c r="F571" t="s">
        <v>551</v>
      </c>
      <c r="G571" s="50" t="s">
        <v>205</v>
      </c>
      <c r="H571" s="50">
        <v>2</v>
      </c>
      <c r="I571" s="100">
        <v>6.7391919697301583</v>
      </c>
      <c r="J571" s="52">
        <v>3834.68</v>
      </c>
      <c r="K571" s="67">
        <f t="shared" si="36"/>
        <v>157485.07657318265</v>
      </c>
      <c r="L571" s="95">
        <f>+VLOOKUP(E571,MARGEN!A:B,2,FALSE)</f>
        <v>0.1</v>
      </c>
      <c r="M571" s="112">
        <f t="shared" si="33"/>
        <v>15748.507657318267</v>
      </c>
      <c r="N571" s="113">
        <f t="shared" si="34"/>
        <v>629.94030629273061</v>
      </c>
      <c r="O571" s="113">
        <f t="shared" si="35"/>
        <v>141106.62860957166</v>
      </c>
    </row>
    <row r="572" spans="1:15" x14ac:dyDescent="0.25">
      <c r="A572" s="43">
        <v>44466</v>
      </c>
      <c r="B572" s="51">
        <v>6095</v>
      </c>
      <c r="C572" s="66" t="s">
        <v>266</v>
      </c>
      <c r="D572" s="66" t="s">
        <v>506</v>
      </c>
      <c r="E572" t="s">
        <v>571</v>
      </c>
      <c r="F572" s="50" t="s">
        <v>558</v>
      </c>
      <c r="G572" s="50" t="s">
        <v>574</v>
      </c>
      <c r="H572" s="50">
        <v>2</v>
      </c>
      <c r="I572" s="100">
        <v>6.7391919697301583</v>
      </c>
      <c r="J572" s="52">
        <v>3834.68</v>
      </c>
      <c r="K572" s="67">
        <f t="shared" si="36"/>
        <v>157510.9192178451</v>
      </c>
      <c r="L572" s="95">
        <f>+VLOOKUP(E572,MARGEN!A:B,2,FALSE)</f>
        <v>0.1</v>
      </c>
      <c r="M572" s="112">
        <f t="shared" si="33"/>
        <v>15751.091921784511</v>
      </c>
      <c r="N572" s="113">
        <f t="shared" si="34"/>
        <v>630.0436768713804</v>
      </c>
      <c r="O572" s="113">
        <f t="shared" si="35"/>
        <v>141129.78361918923</v>
      </c>
    </row>
    <row r="573" spans="1:15" x14ac:dyDescent="0.25">
      <c r="A573" s="43">
        <v>44467</v>
      </c>
      <c r="B573" s="51">
        <v>6095</v>
      </c>
      <c r="C573" s="66" t="s">
        <v>266</v>
      </c>
      <c r="D573" s="66" t="s">
        <v>506</v>
      </c>
      <c r="E573" t="s">
        <v>571</v>
      </c>
      <c r="F573" s="50" t="s">
        <v>566</v>
      </c>
      <c r="G573" s="50" t="s">
        <v>574</v>
      </c>
      <c r="H573" s="50">
        <v>2</v>
      </c>
      <c r="I573" s="100">
        <v>6.7391919697301583</v>
      </c>
      <c r="J573" s="52">
        <v>3834.68</v>
      </c>
      <c r="K573" s="67">
        <f t="shared" si="36"/>
        <v>157510.9192178451</v>
      </c>
      <c r="L573" s="95">
        <f>+VLOOKUP(E573,MARGEN!A:B,2,FALSE)</f>
        <v>0.1</v>
      </c>
      <c r="M573" s="112">
        <f t="shared" si="33"/>
        <v>15751.091921784511</v>
      </c>
      <c r="N573" s="113">
        <f t="shared" si="34"/>
        <v>630.0436768713804</v>
      </c>
      <c r="O573" s="113">
        <f t="shared" si="35"/>
        <v>141129.78361918923</v>
      </c>
    </row>
    <row r="574" spans="1:15" x14ac:dyDescent="0.25">
      <c r="A574" s="43">
        <v>44468</v>
      </c>
      <c r="B574" s="51">
        <v>6095</v>
      </c>
      <c r="C574" s="66" t="s">
        <v>266</v>
      </c>
      <c r="D574" s="66" t="s">
        <v>506</v>
      </c>
      <c r="E574" t="s">
        <v>571</v>
      </c>
      <c r="F574" s="50" t="s">
        <v>558</v>
      </c>
      <c r="G574" s="50" t="s">
        <v>574</v>
      </c>
      <c r="H574" s="50">
        <v>2</v>
      </c>
      <c r="I574" s="100">
        <v>6.7391919697301583</v>
      </c>
      <c r="J574" s="52">
        <v>3834.68</v>
      </c>
      <c r="K574" s="67">
        <f t="shared" si="36"/>
        <v>157510.9192178451</v>
      </c>
      <c r="L574" s="95">
        <f>+VLOOKUP(E574,MARGEN!A:B,2,FALSE)</f>
        <v>0.1</v>
      </c>
      <c r="M574" s="112">
        <f t="shared" si="33"/>
        <v>15751.091921784511</v>
      </c>
      <c r="N574" s="113">
        <f t="shared" si="34"/>
        <v>630.0436768713804</v>
      </c>
      <c r="O574" s="113">
        <f t="shared" si="35"/>
        <v>141129.78361918923</v>
      </c>
    </row>
    <row r="575" spans="1:15" x14ac:dyDescent="0.25">
      <c r="A575" s="43">
        <v>44440</v>
      </c>
      <c r="B575" s="97">
        <v>10390</v>
      </c>
      <c r="C575" t="s">
        <v>251</v>
      </c>
      <c r="D575" s="94" t="s">
        <v>465</v>
      </c>
      <c r="E575" t="s">
        <v>256</v>
      </c>
      <c r="F575" t="s">
        <v>558</v>
      </c>
      <c r="G575" s="50" t="s">
        <v>559</v>
      </c>
      <c r="H575" s="50">
        <v>2</v>
      </c>
      <c r="I575" s="100">
        <v>6.7391919697301583</v>
      </c>
      <c r="J575" s="52">
        <v>3834.68</v>
      </c>
      <c r="K575" s="67">
        <f t="shared" si="36"/>
        <v>268505.07804321748</v>
      </c>
      <c r="L575" s="95">
        <f>+VLOOKUP(E575,MARGEN!A:B,2,FALSE)</f>
        <v>0.1</v>
      </c>
      <c r="M575" s="112">
        <f t="shared" si="33"/>
        <v>26850.507804321751</v>
      </c>
      <c r="N575" s="113">
        <f t="shared" si="34"/>
        <v>1074.0203121728698</v>
      </c>
      <c r="O575" s="113">
        <f t="shared" si="35"/>
        <v>240580.54992672286</v>
      </c>
    </row>
    <row r="576" spans="1:15" x14ac:dyDescent="0.25">
      <c r="A576" s="13">
        <v>44441</v>
      </c>
      <c r="B576" s="97">
        <v>10390</v>
      </c>
      <c r="C576" t="s">
        <v>251</v>
      </c>
      <c r="D576" s="94" t="s">
        <v>465</v>
      </c>
      <c r="E576" t="s">
        <v>256</v>
      </c>
      <c r="F576" t="s">
        <v>558</v>
      </c>
      <c r="G576" s="50" t="s">
        <v>559</v>
      </c>
      <c r="H576" s="50">
        <v>2</v>
      </c>
      <c r="I576" s="100">
        <v>6.7391919697301583</v>
      </c>
      <c r="J576" s="52">
        <v>3834.68</v>
      </c>
      <c r="K576" s="67">
        <f t="shared" si="36"/>
        <v>268505.07804321748</v>
      </c>
      <c r="L576" s="95">
        <f>+VLOOKUP(E576,MARGEN!A:B,2,FALSE)</f>
        <v>0.1</v>
      </c>
      <c r="M576" s="112">
        <f t="shared" si="33"/>
        <v>26850.507804321751</v>
      </c>
      <c r="N576" s="113">
        <f t="shared" si="34"/>
        <v>1074.0203121728698</v>
      </c>
      <c r="O576" s="113">
        <f t="shared" si="35"/>
        <v>240580.54992672286</v>
      </c>
    </row>
    <row r="577" spans="1:15" x14ac:dyDescent="0.25">
      <c r="A577" s="13">
        <v>44442</v>
      </c>
      <c r="B577" s="97">
        <v>10390</v>
      </c>
      <c r="C577" t="s">
        <v>251</v>
      </c>
      <c r="D577" t="s">
        <v>465</v>
      </c>
      <c r="E577" t="s">
        <v>256</v>
      </c>
      <c r="F577" t="s">
        <v>558</v>
      </c>
      <c r="G577" s="50" t="s">
        <v>559</v>
      </c>
      <c r="H577" s="50">
        <v>2</v>
      </c>
      <c r="I577" s="100">
        <v>6.7391919697301583</v>
      </c>
      <c r="J577" s="52">
        <v>3834.68</v>
      </c>
      <c r="K577" s="67">
        <f t="shared" si="36"/>
        <v>268505.07804321748</v>
      </c>
      <c r="L577" s="95">
        <f>+VLOOKUP(E577,MARGEN!A:B,2,FALSE)</f>
        <v>0.1</v>
      </c>
      <c r="M577" s="112">
        <f t="shared" si="33"/>
        <v>26850.507804321751</v>
      </c>
      <c r="N577" s="113">
        <f t="shared" si="34"/>
        <v>1074.0203121728698</v>
      </c>
      <c r="O577" s="113">
        <f t="shared" si="35"/>
        <v>240580.54992672286</v>
      </c>
    </row>
    <row r="578" spans="1:15" x14ac:dyDescent="0.25">
      <c r="A578" s="13">
        <v>44454</v>
      </c>
      <c r="B578" s="97">
        <v>10390</v>
      </c>
      <c r="C578" t="s">
        <v>251</v>
      </c>
      <c r="D578" s="94" t="s">
        <v>465</v>
      </c>
      <c r="E578" t="s">
        <v>256</v>
      </c>
      <c r="F578" t="s">
        <v>551</v>
      </c>
      <c r="G578" s="50" t="s">
        <v>205</v>
      </c>
      <c r="H578" s="50">
        <v>2</v>
      </c>
      <c r="I578" s="100">
        <v>6.7391919697301583</v>
      </c>
      <c r="J578" s="52">
        <v>3834.68</v>
      </c>
      <c r="K578" s="67">
        <f t="shared" si="36"/>
        <v>268505.07804321748</v>
      </c>
      <c r="L578" s="95">
        <f>+VLOOKUP(E578,MARGEN!A:B,2,FALSE)</f>
        <v>0.1</v>
      </c>
      <c r="M578" s="112">
        <f t="shared" si="33"/>
        <v>26850.507804321751</v>
      </c>
      <c r="N578" s="113">
        <f t="shared" si="34"/>
        <v>1074.0203121728698</v>
      </c>
      <c r="O578" s="113">
        <f t="shared" si="35"/>
        <v>240580.54992672286</v>
      </c>
    </row>
    <row r="579" spans="1:15" x14ac:dyDescent="0.25">
      <c r="A579" s="13">
        <v>44455</v>
      </c>
      <c r="B579" s="97">
        <v>10390</v>
      </c>
      <c r="C579" t="s">
        <v>251</v>
      </c>
      <c r="D579" s="94" t="s">
        <v>465</v>
      </c>
      <c r="E579" t="s">
        <v>256</v>
      </c>
      <c r="F579" t="s">
        <v>558</v>
      </c>
      <c r="G579" s="50" t="s">
        <v>559</v>
      </c>
      <c r="H579" s="50">
        <v>2</v>
      </c>
      <c r="I579" s="100">
        <v>6.7391919697301583</v>
      </c>
      <c r="J579" s="52">
        <v>3834.68</v>
      </c>
      <c r="K579" s="67">
        <f t="shared" si="36"/>
        <v>268505.07804321748</v>
      </c>
      <c r="L579" s="95">
        <f>+VLOOKUP(E579,MARGEN!A:B,2,FALSE)</f>
        <v>0.1</v>
      </c>
      <c r="M579" s="112">
        <f t="shared" ref="M579:M642" si="37">+K579*L579</f>
        <v>26850.507804321751</v>
      </c>
      <c r="N579" s="113">
        <f t="shared" ref="N579:N642" si="38">+K579*4/1000</f>
        <v>1074.0203121728698</v>
      </c>
      <c r="O579" s="113">
        <f t="shared" ref="O579:O642" si="39">+K579-M579-N579</f>
        <v>240580.54992672286</v>
      </c>
    </row>
    <row r="580" spans="1:15" x14ac:dyDescent="0.25">
      <c r="A580" s="13">
        <v>44456</v>
      </c>
      <c r="B580" s="97">
        <v>10390</v>
      </c>
      <c r="C580" t="s">
        <v>251</v>
      </c>
      <c r="D580" s="94" t="s">
        <v>465</v>
      </c>
      <c r="E580" t="s">
        <v>256</v>
      </c>
      <c r="F580" t="s">
        <v>558</v>
      </c>
      <c r="G580" s="50" t="s">
        <v>559</v>
      </c>
      <c r="H580" s="50">
        <v>2</v>
      </c>
      <c r="I580" s="100">
        <v>6.7391919697301583</v>
      </c>
      <c r="J580" s="52">
        <v>3834.68</v>
      </c>
      <c r="K580" s="67">
        <f t="shared" si="36"/>
        <v>268505.07804321748</v>
      </c>
      <c r="L580" s="95">
        <f>+VLOOKUP(E580,MARGEN!A:B,2,FALSE)</f>
        <v>0.1</v>
      </c>
      <c r="M580" s="112">
        <f t="shared" si="37"/>
        <v>26850.507804321751</v>
      </c>
      <c r="N580" s="113">
        <f t="shared" si="38"/>
        <v>1074.0203121728698</v>
      </c>
      <c r="O580" s="113">
        <f t="shared" si="39"/>
        <v>240580.54992672286</v>
      </c>
    </row>
    <row r="581" spans="1:15" x14ac:dyDescent="0.25">
      <c r="A581" s="13">
        <v>44457</v>
      </c>
      <c r="B581" s="97">
        <v>10390</v>
      </c>
      <c r="C581" t="s">
        <v>251</v>
      </c>
      <c r="D581" s="94" t="s">
        <v>465</v>
      </c>
      <c r="E581" t="s">
        <v>256</v>
      </c>
      <c r="F581" t="s">
        <v>558</v>
      </c>
      <c r="G581" s="50" t="s">
        <v>559</v>
      </c>
      <c r="H581" s="50">
        <v>2</v>
      </c>
      <c r="I581" s="100">
        <v>6.7391919697301583</v>
      </c>
      <c r="J581" s="52">
        <v>3834.68</v>
      </c>
      <c r="K581" s="67">
        <f t="shared" si="36"/>
        <v>268505.07804321748</v>
      </c>
      <c r="L581" s="95">
        <f>+VLOOKUP(E581,MARGEN!A:B,2,FALSE)</f>
        <v>0.1</v>
      </c>
      <c r="M581" s="112">
        <f t="shared" si="37"/>
        <v>26850.507804321751</v>
      </c>
      <c r="N581" s="113">
        <f t="shared" si="38"/>
        <v>1074.0203121728698</v>
      </c>
      <c r="O581" s="113">
        <f t="shared" si="39"/>
        <v>240580.54992672286</v>
      </c>
    </row>
    <row r="582" spans="1:15" x14ac:dyDescent="0.25">
      <c r="A582" s="13">
        <v>44458</v>
      </c>
      <c r="B582" s="97">
        <v>10389</v>
      </c>
      <c r="C582" t="s">
        <v>251</v>
      </c>
      <c r="D582" s="94" t="s">
        <v>465</v>
      </c>
      <c r="E582" t="s">
        <v>256</v>
      </c>
      <c r="F582" t="s">
        <v>562</v>
      </c>
      <c r="G582" s="50" t="s">
        <v>559</v>
      </c>
      <c r="H582" s="50">
        <v>2</v>
      </c>
      <c r="I582" s="100">
        <v>6.7391919697301583</v>
      </c>
      <c r="J582" s="52">
        <v>3834.68</v>
      </c>
      <c r="K582" s="67">
        <f t="shared" si="36"/>
        <v>268479.23539855506</v>
      </c>
      <c r="L582" s="95">
        <f>+VLOOKUP(E582,MARGEN!A:B,2,FALSE)</f>
        <v>0.1</v>
      </c>
      <c r="M582" s="112">
        <f t="shared" si="37"/>
        <v>26847.923539855507</v>
      </c>
      <c r="N582" s="113">
        <f t="shared" si="38"/>
        <v>1073.9169415942201</v>
      </c>
      <c r="O582" s="113">
        <f t="shared" si="39"/>
        <v>240557.39491710532</v>
      </c>
    </row>
    <row r="583" spans="1:15" x14ac:dyDescent="0.25">
      <c r="A583" s="13">
        <v>44459</v>
      </c>
      <c r="B583" s="51">
        <v>10390</v>
      </c>
      <c r="C583" s="66" t="s">
        <v>251</v>
      </c>
      <c r="D583" s="66" t="s">
        <v>465</v>
      </c>
      <c r="E583" t="s">
        <v>256</v>
      </c>
      <c r="F583" s="50" t="s">
        <v>551</v>
      </c>
      <c r="G583" s="50" t="s">
        <v>205</v>
      </c>
      <c r="H583" s="50">
        <v>2</v>
      </c>
      <c r="I583" s="100">
        <v>6.7391919697301583</v>
      </c>
      <c r="J583" s="52">
        <v>3834.68</v>
      </c>
      <c r="K583" s="67">
        <f t="shared" si="36"/>
        <v>268505.07804321748</v>
      </c>
      <c r="L583" s="95">
        <f>+VLOOKUP(E583,MARGEN!A:B,2,FALSE)</f>
        <v>0.1</v>
      </c>
      <c r="M583" s="112">
        <f t="shared" si="37"/>
        <v>26850.507804321751</v>
      </c>
      <c r="N583" s="113">
        <f t="shared" si="38"/>
        <v>1074.0203121728698</v>
      </c>
      <c r="O583" s="113">
        <f t="shared" si="39"/>
        <v>240580.54992672286</v>
      </c>
    </row>
    <row r="584" spans="1:15" x14ac:dyDescent="0.25">
      <c r="A584" s="13">
        <v>44460</v>
      </c>
      <c r="B584" s="97">
        <v>10389</v>
      </c>
      <c r="C584" t="s">
        <v>251</v>
      </c>
      <c r="D584" s="94" t="s">
        <v>465</v>
      </c>
      <c r="E584" t="s">
        <v>256</v>
      </c>
      <c r="F584" t="s">
        <v>562</v>
      </c>
      <c r="G584" s="50" t="s">
        <v>574</v>
      </c>
      <c r="H584" s="50">
        <v>2</v>
      </c>
      <c r="I584" s="100">
        <v>6.7391919697301583</v>
      </c>
      <c r="J584" s="52">
        <v>3834.68</v>
      </c>
      <c r="K584" s="67">
        <f t="shared" si="36"/>
        <v>268479.23539855506</v>
      </c>
      <c r="L584" s="95">
        <f>+VLOOKUP(E584,MARGEN!A:B,2,FALSE)</f>
        <v>0.1</v>
      </c>
      <c r="M584" s="112">
        <f t="shared" si="37"/>
        <v>26847.923539855507</v>
      </c>
      <c r="N584" s="113">
        <f t="shared" si="38"/>
        <v>1073.9169415942201</v>
      </c>
      <c r="O584" s="113">
        <f t="shared" si="39"/>
        <v>240557.39491710532</v>
      </c>
    </row>
    <row r="585" spans="1:15" x14ac:dyDescent="0.25">
      <c r="A585" s="13">
        <v>44454</v>
      </c>
      <c r="B585" s="97">
        <v>8302</v>
      </c>
      <c r="C585" s="88" t="s">
        <v>222</v>
      </c>
      <c r="D585" t="s">
        <v>463</v>
      </c>
      <c r="E585" t="s">
        <v>228</v>
      </c>
      <c r="F585" t="s">
        <v>551</v>
      </c>
      <c r="G585" s="50" t="s">
        <v>205</v>
      </c>
      <c r="H585" s="50">
        <v>2</v>
      </c>
      <c r="I585" s="100">
        <v>6.7391919697301583</v>
      </c>
      <c r="J585" s="52">
        <v>3834.68</v>
      </c>
      <c r="K585" s="67">
        <f t="shared" ref="K585:K648" si="40">+B585*I585*J585/1000</f>
        <v>214545.63598794915</v>
      </c>
      <c r="L585" s="95">
        <f>+VLOOKUP(E585,MARGEN!A:B,2,FALSE)</f>
        <v>0.1</v>
      </c>
      <c r="M585" s="112">
        <f t="shared" si="37"/>
        <v>21454.563598794917</v>
      </c>
      <c r="N585" s="113">
        <f t="shared" si="38"/>
        <v>858.18254395179656</v>
      </c>
      <c r="O585" s="113">
        <f t="shared" si="39"/>
        <v>192232.88984520244</v>
      </c>
    </row>
    <row r="586" spans="1:15" x14ac:dyDescent="0.25">
      <c r="A586" s="13">
        <v>44455</v>
      </c>
      <c r="B586" s="97">
        <v>8302</v>
      </c>
      <c r="C586" t="s">
        <v>222</v>
      </c>
      <c r="D586" s="94" t="s">
        <v>463</v>
      </c>
      <c r="E586" t="s">
        <v>228</v>
      </c>
      <c r="F586" t="s">
        <v>551</v>
      </c>
      <c r="G586" s="50" t="s">
        <v>205</v>
      </c>
      <c r="H586" s="50">
        <v>2</v>
      </c>
      <c r="I586" s="100">
        <v>6.7391919697301583</v>
      </c>
      <c r="J586" s="52">
        <v>3834.68</v>
      </c>
      <c r="K586" s="67">
        <f t="shared" si="40"/>
        <v>214545.63598794915</v>
      </c>
      <c r="L586" s="95">
        <f>+VLOOKUP(E586,MARGEN!A:B,2,FALSE)</f>
        <v>0.1</v>
      </c>
      <c r="M586" s="112">
        <f t="shared" si="37"/>
        <v>21454.563598794917</v>
      </c>
      <c r="N586" s="113">
        <f t="shared" si="38"/>
        <v>858.18254395179656</v>
      </c>
      <c r="O586" s="113">
        <f t="shared" si="39"/>
        <v>192232.88984520244</v>
      </c>
    </row>
    <row r="587" spans="1:15" x14ac:dyDescent="0.25">
      <c r="A587" s="13">
        <v>44456</v>
      </c>
      <c r="B587" s="97">
        <v>8302</v>
      </c>
      <c r="C587" t="s">
        <v>222</v>
      </c>
      <c r="D587" s="94" t="s">
        <v>463</v>
      </c>
      <c r="E587" t="s">
        <v>228</v>
      </c>
      <c r="F587" t="s">
        <v>551</v>
      </c>
      <c r="G587" s="50" t="s">
        <v>205</v>
      </c>
      <c r="H587" s="50">
        <v>2</v>
      </c>
      <c r="I587" s="100">
        <v>6.7391919697301583</v>
      </c>
      <c r="J587" s="52">
        <v>3834.68</v>
      </c>
      <c r="K587" s="67">
        <f t="shared" si="40"/>
        <v>214545.63598794915</v>
      </c>
      <c r="L587" s="95">
        <f>+VLOOKUP(E587,MARGEN!A:B,2,FALSE)</f>
        <v>0.1</v>
      </c>
      <c r="M587" s="112">
        <f t="shared" si="37"/>
        <v>21454.563598794917</v>
      </c>
      <c r="N587" s="113">
        <f t="shared" si="38"/>
        <v>858.18254395179656</v>
      </c>
      <c r="O587" s="113">
        <f t="shared" si="39"/>
        <v>192232.88984520244</v>
      </c>
    </row>
    <row r="588" spans="1:15" x14ac:dyDescent="0.25">
      <c r="A588" s="13">
        <v>44457</v>
      </c>
      <c r="B588" s="97">
        <v>8302</v>
      </c>
      <c r="C588" t="s">
        <v>222</v>
      </c>
      <c r="D588" t="s">
        <v>463</v>
      </c>
      <c r="E588" t="s">
        <v>228</v>
      </c>
      <c r="F588" t="s">
        <v>562</v>
      </c>
      <c r="G588" s="50" t="s">
        <v>559</v>
      </c>
      <c r="H588" s="50">
        <v>2</v>
      </c>
      <c r="I588" s="100">
        <v>6.7391919697301583</v>
      </c>
      <c r="J588" s="52">
        <v>3834.68</v>
      </c>
      <c r="K588" s="67">
        <f t="shared" si="40"/>
        <v>214545.63598794915</v>
      </c>
      <c r="L588" s="95">
        <f>+VLOOKUP(E588,MARGEN!A:B,2,FALSE)</f>
        <v>0.1</v>
      </c>
      <c r="M588" s="112">
        <f t="shared" si="37"/>
        <v>21454.563598794917</v>
      </c>
      <c r="N588" s="113">
        <f t="shared" si="38"/>
        <v>858.18254395179656</v>
      </c>
      <c r="O588" s="113">
        <f t="shared" si="39"/>
        <v>192232.88984520244</v>
      </c>
    </row>
    <row r="589" spans="1:15" x14ac:dyDescent="0.25">
      <c r="A589" s="13">
        <v>44458</v>
      </c>
      <c r="B589" s="97">
        <v>8302</v>
      </c>
      <c r="C589" t="s">
        <v>222</v>
      </c>
      <c r="D589" s="94" t="s">
        <v>463</v>
      </c>
      <c r="E589" t="s">
        <v>228</v>
      </c>
      <c r="F589" t="s">
        <v>551</v>
      </c>
      <c r="G589" s="50" t="s">
        <v>205</v>
      </c>
      <c r="H589" s="50">
        <v>2</v>
      </c>
      <c r="I589" s="100">
        <v>6.7391919697301583</v>
      </c>
      <c r="J589" s="52">
        <v>3834.68</v>
      </c>
      <c r="K589" s="67">
        <f t="shared" si="40"/>
        <v>214545.63598794915</v>
      </c>
      <c r="L589" s="95">
        <f>+VLOOKUP(E589,MARGEN!A:B,2,FALSE)</f>
        <v>0.1</v>
      </c>
      <c r="M589" s="112">
        <f t="shared" si="37"/>
        <v>21454.563598794917</v>
      </c>
      <c r="N589" s="113">
        <f t="shared" si="38"/>
        <v>858.18254395179656</v>
      </c>
      <c r="O589" s="113">
        <f t="shared" si="39"/>
        <v>192232.88984520244</v>
      </c>
    </row>
    <row r="590" spans="1:15" x14ac:dyDescent="0.25">
      <c r="A590" s="13">
        <v>44459</v>
      </c>
      <c r="B590" s="97">
        <v>8303</v>
      </c>
      <c r="C590" t="s">
        <v>222</v>
      </c>
      <c r="D590" s="94" t="s">
        <v>463</v>
      </c>
      <c r="E590" t="s">
        <v>228</v>
      </c>
      <c r="F590" t="s">
        <v>573</v>
      </c>
      <c r="G590" s="50" t="s">
        <v>574</v>
      </c>
      <c r="H590" s="50">
        <v>2</v>
      </c>
      <c r="I590" s="100">
        <v>6.7391919697301583</v>
      </c>
      <c r="J590" s="52">
        <v>3834.68</v>
      </c>
      <c r="K590" s="67">
        <f t="shared" si="40"/>
        <v>214571.47863261166</v>
      </c>
      <c r="L590" s="95">
        <f>+VLOOKUP(E590,MARGEN!A:B,2,FALSE)</f>
        <v>0.1</v>
      </c>
      <c r="M590" s="112">
        <f t="shared" si="37"/>
        <v>21457.147863261169</v>
      </c>
      <c r="N590" s="113">
        <f t="shared" si="38"/>
        <v>858.28591453044669</v>
      </c>
      <c r="O590" s="113">
        <f t="shared" si="39"/>
        <v>192256.04485482004</v>
      </c>
    </row>
    <row r="591" spans="1:15" x14ac:dyDescent="0.25">
      <c r="A591" s="13">
        <v>44460</v>
      </c>
      <c r="B591" s="51">
        <v>8303</v>
      </c>
      <c r="C591" s="66" t="s">
        <v>222</v>
      </c>
      <c r="D591" s="66" t="s">
        <v>463</v>
      </c>
      <c r="E591" t="s">
        <v>228</v>
      </c>
      <c r="F591" s="50" t="s">
        <v>573</v>
      </c>
      <c r="G591" s="50" t="s">
        <v>574</v>
      </c>
      <c r="H591" s="50">
        <v>2</v>
      </c>
      <c r="I591" s="100">
        <v>6.7391919697301583</v>
      </c>
      <c r="J591" s="52">
        <v>3834.68</v>
      </c>
      <c r="K591" s="67">
        <f t="shared" si="40"/>
        <v>214571.47863261166</v>
      </c>
      <c r="L591" s="95">
        <f>+VLOOKUP(E591,MARGEN!A:B,2,FALSE)</f>
        <v>0.1</v>
      </c>
      <c r="M591" s="112">
        <f t="shared" si="37"/>
        <v>21457.147863261169</v>
      </c>
      <c r="N591" s="113">
        <f t="shared" si="38"/>
        <v>858.28591453044669</v>
      </c>
      <c r="O591" s="113">
        <f t="shared" si="39"/>
        <v>192256.04485482004</v>
      </c>
    </row>
    <row r="592" spans="1:15" x14ac:dyDescent="0.25">
      <c r="A592" s="13">
        <v>44461</v>
      </c>
      <c r="B592" s="97">
        <v>8303</v>
      </c>
      <c r="C592" t="s">
        <v>222</v>
      </c>
      <c r="D592" t="s">
        <v>463</v>
      </c>
      <c r="E592" t="s">
        <v>228</v>
      </c>
      <c r="F592" t="s">
        <v>573</v>
      </c>
      <c r="G592" s="50" t="s">
        <v>574</v>
      </c>
      <c r="H592" s="50">
        <v>2</v>
      </c>
      <c r="I592" s="100">
        <v>6.7391919697301583</v>
      </c>
      <c r="J592" s="52">
        <v>3834.68</v>
      </c>
      <c r="K592" s="67">
        <f t="shared" si="40"/>
        <v>214571.47863261166</v>
      </c>
      <c r="L592" s="95">
        <f>+VLOOKUP(E592,MARGEN!A:B,2,FALSE)</f>
        <v>0.1</v>
      </c>
      <c r="M592" s="112">
        <f t="shared" si="37"/>
        <v>21457.147863261169</v>
      </c>
      <c r="N592" s="113">
        <f t="shared" si="38"/>
        <v>858.28591453044669</v>
      </c>
      <c r="O592" s="113">
        <f t="shared" si="39"/>
        <v>192256.04485482004</v>
      </c>
    </row>
    <row r="593" spans="1:15" x14ac:dyDescent="0.25">
      <c r="A593" s="13">
        <v>44462</v>
      </c>
      <c r="B593" s="97">
        <v>8303</v>
      </c>
      <c r="C593" t="s">
        <v>222</v>
      </c>
      <c r="D593" t="s">
        <v>463</v>
      </c>
      <c r="E593" t="s">
        <v>228</v>
      </c>
      <c r="F593" t="s">
        <v>573</v>
      </c>
      <c r="G593" s="50" t="s">
        <v>574</v>
      </c>
      <c r="H593" s="50">
        <v>2</v>
      </c>
      <c r="I593" s="100">
        <v>6.7391919697301583</v>
      </c>
      <c r="J593" s="52">
        <v>3834.68</v>
      </c>
      <c r="K593" s="67">
        <f t="shared" si="40"/>
        <v>214571.47863261166</v>
      </c>
      <c r="L593" s="95">
        <f>+VLOOKUP(E593,MARGEN!A:B,2,FALSE)</f>
        <v>0.1</v>
      </c>
      <c r="M593" s="112">
        <f t="shared" si="37"/>
        <v>21457.147863261169</v>
      </c>
      <c r="N593" s="113">
        <f t="shared" si="38"/>
        <v>858.28591453044669</v>
      </c>
      <c r="O593" s="113">
        <f t="shared" si="39"/>
        <v>192256.04485482004</v>
      </c>
    </row>
    <row r="594" spans="1:15" x14ac:dyDescent="0.25">
      <c r="A594" s="13">
        <v>44463</v>
      </c>
      <c r="B594" s="97">
        <v>8303</v>
      </c>
      <c r="C594" t="s">
        <v>222</v>
      </c>
      <c r="D594" t="s">
        <v>463</v>
      </c>
      <c r="E594" t="s">
        <v>228</v>
      </c>
      <c r="F594" t="s">
        <v>573</v>
      </c>
      <c r="G594" s="50" t="s">
        <v>574</v>
      </c>
      <c r="H594" s="50">
        <v>2</v>
      </c>
      <c r="I594" s="100">
        <v>6.7391919697301583</v>
      </c>
      <c r="J594" s="52">
        <v>3834.68</v>
      </c>
      <c r="K594" s="67">
        <f t="shared" si="40"/>
        <v>214571.47863261166</v>
      </c>
      <c r="L594" s="95">
        <f>+VLOOKUP(E594,MARGEN!A:B,2,FALSE)</f>
        <v>0.1</v>
      </c>
      <c r="M594" s="112">
        <f t="shared" si="37"/>
        <v>21457.147863261169</v>
      </c>
      <c r="N594" s="113">
        <f t="shared" si="38"/>
        <v>858.28591453044669</v>
      </c>
      <c r="O594" s="113">
        <f t="shared" si="39"/>
        <v>192256.04485482004</v>
      </c>
    </row>
    <row r="595" spans="1:15" x14ac:dyDescent="0.25">
      <c r="A595" s="43">
        <v>44464</v>
      </c>
      <c r="B595" s="51">
        <v>8303</v>
      </c>
      <c r="C595" s="66" t="s">
        <v>222</v>
      </c>
      <c r="D595" s="66" t="s">
        <v>463</v>
      </c>
      <c r="E595" t="s">
        <v>228</v>
      </c>
      <c r="F595" s="50" t="s">
        <v>573</v>
      </c>
      <c r="G595" s="50" t="s">
        <v>574</v>
      </c>
      <c r="H595" s="50">
        <v>2</v>
      </c>
      <c r="I595" s="100">
        <v>6.7391919697301583</v>
      </c>
      <c r="J595" s="52">
        <v>3834.68</v>
      </c>
      <c r="K595" s="67">
        <f t="shared" si="40"/>
        <v>214571.47863261166</v>
      </c>
      <c r="L595" s="95">
        <f>+VLOOKUP(E595,MARGEN!A:B,2,FALSE)</f>
        <v>0.1</v>
      </c>
      <c r="M595" s="112">
        <f t="shared" si="37"/>
        <v>21457.147863261169</v>
      </c>
      <c r="N595" s="113">
        <f t="shared" si="38"/>
        <v>858.28591453044669</v>
      </c>
      <c r="O595" s="113">
        <f t="shared" si="39"/>
        <v>192256.04485482004</v>
      </c>
    </row>
    <row r="596" spans="1:15" x14ac:dyDescent="0.25">
      <c r="A596" s="43">
        <v>44465</v>
      </c>
      <c r="B596" s="51">
        <v>8303</v>
      </c>
      <c r="C596" s="66" t="s">
        <v>222</v>
      </c>
      <c r="D596" s="66" t="s">
        <v>463</v>
      </c>
      <c r="E596" t="s">
        <v>228</v>
      </c>
      <c r="F596" s="50" t="s">
        <v>573</v>
      </c>
      <c r="G596" s="50" t="s">
        <v>574</v>
      </c>
      <c r="H596" s="50">
        <v>2</v>
      </c>
      <c r="I596" s="100">
        <v>6.7391919697301583</v>
      </c>
      <c r="J596" s="52">
        <v>3834.68</v>
      </c>
      <c r="K596" s="67">
        <f t="shared" si="40"/>
        <v>214571.47863261166</v>
      </c>
      <c r="L596" s="95">
        <f>+VLOOKUP(E596,MARGEN!A:B,2,FALSE)</f>
        <v>0.1</v>
      </c>
      <c r="M596" s="112">
        <f t="shared" si="37"/>
        <v>21457.147863261169</v>
      </c>
      <c r="N596" s="113">
        <f t="shared" si="38"/>
        <v>858.28591453044669</v>
      </c>
      <c r="O596" s="113">
        <f t="shared" si="39"/>
        <v>192256.04485482004</v>
      </c>
    </row>
    <row r="597" spans="1:15" x14ac:dyDescent="0.25">
      <c r="A597" s="43">
        <v>44466</v>
      </c>
      <c r="B597" s="51">
        <v>8303</v>
      </c>
      <c r="C597" s="66" t="s">
        <v>222</v>
      </c>
      <c r="D597" s="66" t="s">
        <v>463</v>
      </c>
      <c r="E597" t="s">
        <v>228</v>
      </c>
      <c r="F597" s="50" t="s">
        <v>573</v>
      </c>
      <c r="G597" s="50" t="s">
        <v>574</v>
      </c>
      <c r="H597" s="50">
        <v>2</v>
      </c>
      <c r="I597" s="100">
        <v>6.7391919697301583</v>
      </c>
      <c r="J597" s="52">
        <v>3834.68</v>
      </c>
      <c r="K597" s="67">
        <f t="shared" si="40"/>
        <v>214571.47863261166</v>
      </c>
      <c r="L597" s="95">
        <f>+VLOOKUP(E597,MARGEN!A:B,2,FALSE)</f>
        <v>0.1</v>
      </c>
      <c r="M597" s="112">
        <f t="shared" si="37"/>
        <v>21457.147863261169</v>
      </c>
      <c r="N597" s="113">
        <f t="shared" si="38"/>
        <v>858.28591453044669</v>
      </c>
      <c r="O597" s="113">
        <f t="shared" si="39"/>
        <v>192256.04485482004</v>
      </c>
    </row>
    <row r="598" spans="1:15" x14ac:dyDescent="0.25">
      <c r="A598" s="43">
        <v>44467</v>
      </c>
      <c r="B598" s="51">
        <v>8303</v>
      </c>
      <c r="C598" s="66" t="s">
        <v>222</v>
      </c>
      <c r="D598" s="66" t="s">
        <v>463</v>
      </c>
      <c r="E598" t="s">
        <v>228</v>
      </c>
      <c r="F598" s="50" t="s">
        <v>573</v>
      </c>
      <c r="G598" s="50" t="s">
        <v>574</v>
      </c>
      <c r="H598" s="50">
        <v>2</v>
      </c>
      <c r="I598" s="100">
        <v>6.7391919697301583</v>
      </c>
      <c r="J598" s="52">
        <v>3834.68</v>
      </c>
      <c r="K598" s="67">
        <f t="shared" si="40"/>
        <v>214571.47863261166</v>
      </c>
      <c r="L598" s="95">
        <f>+VLOOKUP(E598,MARGEN!A:B,2,FALSE)</f>
        <v>0.1</v>
      </c>
      <c r="M598" s="112">
        <f t="shared" si="37"/>
        <v>21457.147863261169</v>
      </c>
      <c r="N598" s="113">
        <f t="shared" si="38"/>
        <v>858.28591453044669</v>
      </c>
      <c r="O598" s="113">
        <f t="shared" si="39"/>
        <v>192256.04485482004</v>
      </c>
    </row>
    <row r="599" spans="1:15" x14ac:dyDescent="0.25">
      <c r="A599" s="43">
        <v>44468</v>
      </c>
      <c r="B599" s="51">
        <v>8303</v>
      </c>
      <c r="C599" s="66" t="s">
        <v>222</v>
      </c>
      <c r="D599" s="66" t="s">
        <v>463</v>
      </c>
      <c r="E599" t="s">
        <v>228</v>
      </c>
      <c r="F599" s="50" t="s">
        <v>573</v>
      </c>
      <c r="G599" s="50" t="s">
        <v>574</v>
      </c>
      <c r="H599" s="50">
        <v>2</v>
      </c>
      <c r="I599" s="100">
        <v>6.7391919697301583</v>
      </c>
      <c r="J599" s="52">
        <v>3834.68</v>
      </c>
      <c r="K599" s="67">
        <f t="shared" si="40"/>
        <v>214571.47863261166</v>
      </c>
      <c r="L599" s="95">
        <f>+VLOOKUP(E599,MARGEN!A:B,2,FALSE)</f>
        <v>0.1</v>
      </c>
      <c r="M599" s="112">
        <f t="shared" si="37"/>
        <v>21457.147863261169</v>
      </c>
      <c r="N599" s="113">
        <f t="shared" si="38"/>
        <v>858.28591453044669</v>
      </c>
      <c r="O599" s="113">
        <f t="shared" si="39"/>
        <v>192256.04485482004</v>
      </c>
    </row>
    <row r="600" spans="1:15" x14ac:dyDescent="0.25">
      <c r="A600" s="43">
        <v>44469</v>
      </c>
      <c r="B600" s="51">
        <v>8303</v>
      </c>
      <c r="C600" s="66" t="s">
        <v>222</v>
      </c>
      <c r="D600" s="66" t="s">
        <v>463</v>
      </c>
      <c r="E600" t="s">
        <v>228</v>
      </c>
      <c r="F600" s="50" t="s">
        <v>573</v>
      </c>
      <c r="G600" s="50" t="s">
        <v>574</v>
      </c>
      <c r="H600" s="50">
        <v>2</v>
      </c>
      <c r="I600" s="100">
        <v>6.7391919697301583</v>
      </c>
      <c r="J600" s="52">
        <v>3834.68</v>
      </c>
      <c r="K600" s="67">
        <f t="shared" si="40"/>
        <v>214571.47863261166</v>
      </c>
      <c r="L600" s="95">
        <f>+VLOOKUP(E600,MARGEN!A:B,2,FALSE)</f>
        <v>0.1</v>
      </c>
      <c r="M600" s="112">
        <f t="shared" si="37"/>
        <v>21457.147863261169</v>
      </c>
      <c r="N600" s="113">
        <f t="shared" si="38"/>
        <v>858.28591453044669</v>
      </c>
      <c r="O600" s="113">
        <f t="shared" si="39"/>
        <v>192256.04485482004</v>
      </c>
    </row>
    <row r="601" spans="1:15" x14ac:dyDescent="0.25">
      <c r="A601" s="13">
        <v>44454</v>
      </c>
      <c r="B601" s="97">
        <v>5015</v>
      </c>
      <c r="C601" s="88" t="s">
        <v>267</v>
      </c>
      <c r="D601" s="94" t="s">
        <v>507</v>
      </c>
      <c r="E601" t="s">
        <v>257</v>
      </c>
      <c r="F601" t="s">
        <v>551</v>
      </c>
      <c r="G601" s="50" t="s">
        <v>205</v>
      </c>
      <c r="H601" s="50">
        <v>2</v>
      </c>
      <c r="I601" s="100">
        <v>6.7391919697301583</v>
      </c>
      <c r="J601" s="52">
        <v>3834.68</v>
      </c>
      <c r="K601" s="67">
        <f t="shared" si="40"/>
        <v>129600.86298236149</v>
      </c>
      <c r="L601" s="95">
        <f>+VLOOKUP(E601,MARGEN!A:B,2,FALSE)</f>
        <v>0.1</v>
      </c>
      <c r="M601" s="112">
        <f t="shared" si="37"/>
        <v>12960.08629823615</v>
      </c>
      <c r="N601" s="113">
        <f t="shared" si="38"/>
        <v>518.40345192944596</v>
      </c>
      <c r="O601" s="113">
        <f t="shared" si="39"/>
        <v>116122.37323219588</v>
      </c>
    </row>
    <row r="602" spans="1:15" x14ac:dyDescent="0.25">
      <c r="A602" s="13">
        <v>44455</v>
      </c>
      <c r="B602" s="97">
        <v>5014</v>
      </c>
      <c r="C602" t="s">
        <v>267</v>
      </c>
      <c r="D602" s="94" t="s">
        <v>507</v>
      </c>
      <c r="E602" t="s">
        <v>257</v>
      </c>
      <c r="F602" t="s">
        <v>562</v>
      </c>
      <c r="G602" s="50" t="s">
        <v>559</v>
      </c>
      <c r="H602" s="50">
        <v>2</v>
      </c>
      <c r="I602" s="100">
        <v>6.7391919697301583</v>
      </c>
      <c r="J602" s="52">
        <v>3834.68</v>
      </c>
      <c r="K602" s="67">
        <f t="shared" si="40"/>
        <v>129575.020337699</v>
      </c>
      <c r="L602" s="95">
        <f>+VLOOKUP(E602,MARGEN!A:B,2,FALSE)</f>
        <v>0.1</v>
      </c>
      <c r="M602" s="112">
        <f t="shared" si="37"/>
        <v>12957.502033769901</v>
      </c>
      <c r="N602" s="113">
        <f t="shared" si="38"/>
        <v>518.30008135079595</v>
      </c>
      <c r="O602" s="113">
        <f t="shared" si="39"/>
        <v>116099.2182225783</v>
      </c>
    </row>
    <row r="603" spans="1:15" x14ac:dyDescent="0.25">
      <c r="A603" s="13">
        <v>44456</v>
      </c>
      <c r="B603" s="97">
        <v>5014</v>
      </c>
      <c r="C603" t="s">
        <v>267</v>
      </c>
      <c r="D603" s="94" t="s">
        <v>507</v>
      </c>
      <c r="E603" t="s">
        <v>257</v>
      </c>
      <c r="F603" t="s">
        <v>562</v>
      </c>
      <c r="G603" s="50" t="s">
        <v>559</v>
      </c>
      <c r="H603" s="50">
        <v>2</v>
      </c>
      <c r="I603" s="100">
        <v>6.7391919697301583</v>
      </c>
      <c r="J603" s="52">
        <v>3834.68</v>
      </c>
      <c r="K603" s="67">
        <f t="shared" si="40"/>
        <v>129575.020337699</v>
      </c>
      <c r="L603" s="95">
        <f>+VLOOKUP(E603,MARGEN!A:B,2,FALSE)</f>
        <v>0.1</v>
      </c>
      <c r="M603" s="112">
        <f t="shared" si="37"/>
        <v>12957.502033769901</v>
      </c>
      <c r="N603" s="113">
        <f t="shared" si="38"/>
        <v>518.30008135079595</v>
      </c>
      <c r="O603" s="113">
        <f t="shared" si="39"/>
        <v>116099.2182225783</v>
      </c>
    </row>
    <row r="604" spans="1:15" x14ac:dyDescent="0.25">
      <c r="A604" s="13">
        <v>44457</v>
      </c>
      <c r="B604" s="97">
        <v>5014</v>
      </c>
      <c r="C604" t="s">
        <v>267</v>
      </c>
      <c r="D604" s="94" t="s">
        <v>507</v>
      </c>
      <c r="E604" t="s">
        <v>257</v>
      </c>
      <c r="F604" t="s">
        <v>562</v>
      </c>
      <c r="G604" s="50" t="s">
        <v>559</v>
      </c>
      <c r="H604" s="50">
        <v>2</v>
      </c>
      <c r="I604" s="100">
        <v>6.7391919697301583</v>
      </c>
      <c r="J604" s="52">
        <v>3834.68</v>
      </c>
      <c r="K604" s="67">
        <f t="shared" si="40"/>
        <v>129575.020337699</v>
      </c>
      <c r="L604" s="95">
        <f>+VLOOKUP(E604,MARGEN!A:B,2,FALSE)</f>
        <v>0.1</v>
      </c>
      <c r="M604" s="112">
        <f t="shared" si="37"/>
        <v>12957.502033769901</v>
      </c>
      <c r="N604" s="113">
        <f t="shared" si="38"/>
        <v>518.30008135079595</v>
      </c>
      <c r="O604" s="113">
        <f t="shared" si="39"/>
        <v>116099.2182225783</v>
      </c>
    </row>
    <row r="605" spans="1:15" x14ac:dyDescent="0.25">
      <c r="A605" s="13">
        <v>44458</v>
      </c>
      <c r="B605" s="97">
        <v>5014</v>
      </c>
      <c r="C605" t="s">
        <v>267</v>
      </c>
      <c r="D605" s="94" t="s">
        <v>507</v>
      </c>
      <c r="E605" t="s">
        <v>257</v>
      </c>
      <c r="F605" t="s">
        <v>562</v>
      </c>
      <c r="G605" s="50" t="s">
        <v>559</v>
      </c>
      <c r="H605" s="50">
        <v>2</v>
      </c>
      <c r="I605" s="100">
        <v>6.7391919697301583</v>
      </c>
      <c r="J605" s="52">
        <v>3834.68</v>
      </c>
      <c r="K605" s="67">
        <f t="shared" si="40"/>
        <v>129575.020337699</v>
      </c>
      <c r="L605" s="95">
        <f>+VLOOKUP(E605,MARGEN!A:B,2,FALSE)</f>
        <v>0.1</v>
      </c>
      <c r="M605" s="112">
        <f t="shared" si="37"/>
        <v>12957.502033769901</v>
      </c>
      <c r="N605" s="113">
        <f t="shared" si="38"/>
        <v>518.30008135079595</v>
      </c>
      <c r="O605" s="113">
        <f t="shared" si="39"/>
        <v>116099.2182225783</v>
      </c>
    </row>
    <row r="606" spans="1:15" x14ac:dyDescent="0.25">
      <c r="A606" s="13">
        <v>44459</v>
      </c>
      <c r="B606" s="97">
        <v>5015</v>
      </c>
      <c r="C606" t="s">
        <v>267</v>
      </c>
      <c r="D606" s="94" t="s">
        <v>507</v>
      </c>
      <c r="E606" t="s">
        <v>257</v>
      </c>
      <c r="F606" t="s">
        <v>558</v>
      </c>
      <c r="G606" s="50" t="s">
        <v>574</v>
      </c>
      <c r="H606" s="50">
        <v>2</v>
      </c>
      <c r="I606" s="100">
        <v>6.7391919697301583</v>
      </c>
      <c r="J606" s="52">
        <v>3834.68</v>
      </c>
      <c r="K606" s="67">
        <f t="shared" si="40"/>
        <v>129600.86298236149</v>
      </c>
      <c r="L606" s="95">
        <f>+VLOOKUP(E606,MARGEN!A:B,2,FALSE)</f>
        <v>0.1</v>
      </c>
      <c r="M606" s="112">
        <f t="shared" si="37"/>
        <v>12960.08629823615</v>
      </c>
      <c r="N606" s="113">
        <f t="shared" si="38"/>
        <v>518.40345192944596</v>
      </c>
      <c r="O606" s="113">
        <f t="shared" si="39"/>
        <v>116122.37323219588</v>
      </c>
    </row>
    <row r="607" spans="1:15" x14ac:dyDescent="0.25">
      <c r="A607" s="13">
        <v>44460</v>
      </c>
      <c r="B607" s="97">
        <v>5015</v>
      </c>
      <c r="C607" t="s">
        <v>267</v>
      </c>
      <c r="D607" t="s">
        <v>507</v>
      </c>
      <c r="E607" t="s">
        <v>257</v>
      </c>
      <c r="F607" t="s">
        <v>558</v>
      </c>
      <c r="G607" s="50" t="s">
        <v>574</v>
      </c>
      <c r="H607" s="50">
        <v>2</v>
      </c>
      <c r="I607" s="100">
        <v>6.7391919697301583</v>
      </c>
      <c r="J607" s="52">
        <v>3834.68</v>
      </c>
      <c r="K607" s="67">
        <f t="shared" si="40"/>
        <v>129600.86298236149</v>
      </c>
      <c r="L607" s="95">
        <f>+VLOOKUP(E607,MARGEN!A:B,2,FALSE)</f>
        <v>0.1</v>
      </c>
      <c r="M607" s="112">
        <f t="shared" si="37"/>
        <v>12960.08629823615</v>
      </c>
      <c r="N607" s="113">
        <f t="shared" si="38"/>
        <v>518.40345192944596</v>
      </c>
      <c r="O607" s="113">
        <f t="shared" si="39"/>
        <v>116122.37323219588</v>
      </c>
    </row>
    <row r="608" spans="1:15" x14ac:dyDescent="0.25">
      <c r="A608" s="13">
        <v>44461</v>
      </c>
      <c r="B608" s="97">
        <v>5014</v>
      </c>
      <c r="C608" t="s">
        <v>267</v>
      </c>
      <c r="D608" t="s">
        <v>507</v>
      </c>
      <c r="E608" t="s">
        <v>257</v>
      </c>
      <c r="F608" t="s">
        <v>562</v>
      </c>
      <c r="G608" s="50" t="s">
        <v>574</v>
      </c>
      <c r="H608" s="50">
        <v>2</v>
      </c>
      <c r="I608" s="100">
        <v>6.7391919697301583</v>
      </c>
      <c r="J608" s="52">
        <v>3834.68</v>
      </c>
      <c r="K608" s="67">
        <f t="shared" si="40"/>
        <v>129575.020337699</v>
      </c>
      <c r="L608" s="95">
        <f>+VLOOKUP(E608,MARGEN!A:B,2,FALSE)</f>
        <v>0.1</v>
      </c>
      <c r="M608" s="112">
        <f t="shared" si="37"/>
        <v>12957.502033769901</v>
      </c>
      <c r="N608" s="113">
        <f t="shared" si="38"/>
        <v>518.30008135079595</v>
      </c>
      <c r="O608" s="113">
        <f t="shared" si="39"/>
        <v>116099.2182225783</v>
      </c>
    </row>
    <row r="609" spans="1:15" x14ac:dyDescent="0.25">
      <c r="A609" s="13">
        <v>44462</v>
      </c>
      <c r="B609" s="97">
        <v>5015</v>
      </c>
      <c r="C609" t="s">
        <v>267</v>
      </c>
      <c r="D609" t="s">
        <v>507</v>
      </c>
      <c r="E609" t="s">
        <v>257</v>
      </c>
      <c r="F609" t="s">
        <v>558</v>
      </c>
      <c r="G609" s="50" t="s">
        <v>574</v>
      </c>
      <c r="H609" s="50">
        <v>2</v>
      </c>
      <c r="I609" s="100">
        <v>6.7391919697301583</v>
      </c>
      <c r="J609" s="52">
        <v>3834.68</v>
      </c>
      <c r="K609" s="67">
        <f t="shared" si="40"/>
        <v>129600.86298236149</v>
      </c>
      <c r="L609" s="95">
        <f>+VLOOKUP(E609,MARGEN!A:B,2,FALSE)</f>
        <v>0.1</v>
      </c>
      <c r="M609" s="112">
        <f t="shared" si="37"/>
        <v>12960.08629823615</v>
      </c>
      <c r="N609" s="113">
        <f t="shared" si="38"/>
        <v>518.40345192944596</v>
      </c>
      <c r="O609" s="113">
        <f t="shared" si="39"/>
        <v>116122.37323219588</v>
      </c>
    </row>
    <row r="610" spans="1:15" x14ac:dyDescent="0.25">
      <c r="A610" s="13">
        <v>44463</v>
      </c>
      <c r="B610" s="97">
        <v>5015</v>
      </c>
      <c r="C610" t="s">
        <v>267</v>
      </c>
      <c r="D610" t="s">
        <v>507</v>
      </c>
      <c r="E610" t="s">
        <v>257</v>
      </c>
      <c r="F610" t="s">
        <v>558</v>
      </c>
      <c r="G610" s="50" t="s">
        <v>574</v>
      </c>
      <c r="H610" s="50">
        <v>2</v>
      </c>
      <c r="I610" s="100">
        <v>6.7391919697301583</v>
      </c>
      <c r="J610" s="52">
        <v>3834.68</v>
      </c>
      <c r="K610" s="67">
        <f t="shared" si="40"/>
        <v>129600.86298236149</v>
      </c>
      <c r="L610" s="95">
        <f>+VLOOKUP(E610,MARGEN!A:B,2,FALSE)</f>
        <v>0.1</v>
      </c>
      <c r="M610" s="112">
        <f t="shared" si="37"/>
        <v>12960.08629823615</v>
      </c>
      <c r="N610" s="113">
        <f t="shared" si="38"/>
        <v>518.40345192944596</v>
      </c>
      <c r="O610" s="113">
        <f t="shared" si="39"/>
        <v>116122.37323219588</v>
      </c>
    </row>
    <row r="611" spans="1:15" x14ac:dyDescent="0.25">
      <c r="A611" s="13">
        <v>44464</v>
      </c>
      <c r="B611" s="97">
        <v>5015</v>
      </c>
      <c r="C611" t="s">
        <v>267</v>
      </c>
      <c r="D611" t="s">
        <v>507</v>
      </c>
      <c r="E611" t="s">
        <v>257</v>
      </c>
      <c r="F611" t="s">
        <v>566</v>
      </c>
      <c r="G611" s="50" t="s">
        <v>574</v>
      </c>
      <c r="H611" s="50">
        <v>2</v>
      </c>
      <c r="I611" s="100">
        <v>6.7391919697301583</v>
      </c>
      <c r="J611" s="52">
        <v>3834.68</v>
      </c>
      <c r="K611" s="67">
        <f t="shared" si="40"/>
        <v>129600.86298236149</v>
      </c>
      <c r="L611" s="95">
        <f>+VLOOKUP(E611,MARGEN!A:B,2,FALSE)</f>
        <v>0.1</v>
      </c>
      <c r="M611" s="112">
        <f t="shared" si="37"/>
        <v>12960.08629823615</v>
      </c>
      <c r="N611" s="113">
        <f t="shared" si="38"/>
        <v>518.40345192944596</v>
      </c>
      <c r="O611" s="113">
        <f t="shared" si="39"/>
        <v>116122.37323219588</v>
      </c>
    </row>
    <row r="612" spans="1:15" x14ac:dyDescent="0.25">
      <c r="A612" s="43">
        <v>44465</v>
      </c>
      <c r="B612" s="51">
        <v>5015</v>
      </c>
      <c r="C612" s="66" t="s">
        <v>267</v>
      </c>
      <c r="D612" s="66" t="s">
        <v>507</v>
      </c>
      <c r="E612" t="s">
        <v>257</v>
      </c>
      <c r="F612" s="50" t="s">
        <v>566</v>
      </c>
      <c r="G612" s="50" t="s">
        <v>574</v>
      </c>
      <c r="H612" s="50">
        <v>2</v>
      </c>
      <c r="I612" s="100">
        <v>6.7391919697301583</v>
      </c>
      <c r="J612" s="52">
        <v>3834.68</v>
      </c>
      <c r="K612" s="67">
        <f t="shared" si="40"/>
        <v>129600.86298236149</v>
      </c>
      <c r="L612" s="95">
        <f>+VLOOKUP(E612,MARGEN!A:B,2,FALSE)</f>
        <v>0.1</v>
      </c>
      <c r="M612" s="112">
        <f t="shared" si="37"/>
        <v>12960.08629823615</v>
      </c>
      <c r="N612" s="113">
        <f t="shared" si="38"/>
        <v>518.40345192944596</v>
      </c>
      <c r="O612" s="113">
        <f t="shared" si="39"/>
        <v>116122.37323219588</v>
      </c>
    </row>
    <row r="613" spans="1:15" x14ac:dyDescent="0.25">
      <c r="A613" s="43">
        <v>44466</v>
      </c>
      <c r="B613" s="51">
        <v>5015</v>
      </c>
      <c r="C613" s="66" t="s">
        <v>267</v>
      </c>
      <c r="D613" s="66" t="s">
        <v>507</v>
      </c>
      <c r="E613" t="s">
        <v>257</v>
      </c>
      <c r="F613" s="50" t="s">
        <v>558</v>
      </c>
      <c r="G613" s="50" t="s">
        <v>574</v>
      </c>
      <c r="H613" s="50">
        <v>2</v>
      </c>
      <c r="I613" s="100">
        <v>6.7391919697301583</v>
      </c>
      <c r="J613" s="52">
        <v>3834.68</v>
      </c>
      <c r="K613" s="67">
        <f t="shared" si="40"/>
        <v>129600.86298236149</v>
      </c>
      <c r="L613" s="95">
        <f>+VLOOKUP(E613,MARGEN!A:B,2,FALSE)</f>
        <v>0.1</v>
      </c>
      <c r="M613" s="112">
        <f t="shared" si="37"/>
        <v>12960.08629823615</v>
      </c>
      <c r="N613" s="113">
        <f t="shared" si="38"/>
        <v>518.40345192944596</v>
      </c>
      <c r="O613" s="113">
        <f t="shared" si="39"/>
        <v>116122.37323219588</v>
      </c>
    </row>
    <row r="614" spans="1:15" x14ac:dyDescent="0.25">
      <c r="A614" s="43">
        <v>44467</v>
      </c>
      <c r="B614" s="51">
        <v>5015</v>
      </c>
      <c r="C614" s="66" t="s">
        <v>267</v>
      </c>
      <c r="D614" s="66" t="s">
        <v>507</v>
      </c>
      <c r="E614" t="s">
        <v>257</v>
      </c>
      <c r="F614" s="50" t="s">
        <v>566</v>
      </c>
      <c r="G614" s="50" t="s">
        <v>574</v>
      </c>
      <c r="H614" s="50">
        <v>2</v>
      </c>
      <c r="I614" s="100">
        <v>6.7391919697301583</v>
      </c>
      <c r="J614" s="52">
        <v>3834.68</v>
      </c>
      <c r="K614" s="67">
        <f t="shared" si="40"/>
        <v>129600.86298236149</v>
      </c>
      <c r="L614" s="95">
        <f>+VLOOKUP(E614,MARGEN!A:B,2,FALSE)</f>
        <v>0.1</v>
      </c>
      <c r="M614" s="112">
        <f t="shared" si="37"/>
        <v>12960.08629823615</v>
      </c>
      <c r="N614" s="113">
        <f t="shared" si="38"/>
        <v>518.40345192944596</v>
      </c>
      <c r="O614" s="113">
        <f t="shared" si="39"/>
        <v>116122.37323219588</v>
      </c>
    </row>
    <row r="615" spans="1:15" x14ac:dyDescent="0.25">
      <c r="A615" s="43">
        <v>44468</v>
      </c>
      <c r="B615" s="51">
        <v>5015</v>
      </c>
      <c r="C615" s="66" t="s">
        <v>267</v>
      </c>
      <c r="D615" s="66" t="s">
        <v>507</v>
      </c>
      <c r="E615" t="s">
        <v>257</v>
      </c>
      <c r="F615" s="50" t="s">
        <v>558</v>
      </c>
      <c r="G615" s="50" t="s">
        <v>574</v>
      </c>
      <c r="H615" s="50">
        <v>2</v>
      </c>
      <c r="I615" s="100">
        <v>6.7391919697301583</v>
      </c>
      <c r="J615" s="52">
        <v>3834.68</v>
      </c>
      <c r="K615" s="67">
        <f t="shared" si="40"/>
        <v>129600.86298236149</v>
      </c>
      <c r="L615" s="95">
        <f>+VLOOKUP(E615,MARGEN!A:B,2,FALSE)</f>
        <v>0.1</v>
      </c>
      <c r="M615" s="112">
        <f t="shared" si="37"/>
        <v>12960.08629823615</v>
      </c>
      <c r="N615" s="113">
        <f t="shared" si="38"/>
        <v>518.40345192944596</v>
      </c>
      <c r="O615" s="113">
        <f t="shared" si="39"/>
        <v>116122.37323219588</v>
      </c>
    </row>
    <row r="616" spans="1:15" x14ac:dyDescent="0.25">
      <c r="A616" s="13">
        <v>44469</v>
      </c>
      <c r="B616" s="97">
        <v>5015</v>
      </c>
      <c r="C616" t="s">
        <v>267</v>
      </c>
      <c r="D616" s="94" t="s">
        <v>507</v>
      </c>
      <c r="E616" t="s">
        <v>257</v>
      </c>
      <c r="F616" t="s">
        <v>551</v>
      </c>
      <c r="G616" s="50" t="s">
        <v>205</v>
      </c>
      <c r="H616" s="50">
        <v>2</v>
      </c>
      <c r="I616" s="100">
        <v>6.7391919697301583</v>
      </c>
      <c r="J616" s="52">
        <v>3834.68</v>
      </c>
      <c r="K616" s="67">
        <f t="shared" si="40"/>
        <v>129600.86298236149</v>
      </c>
      <c r="L616" s="95">
        <f>+VLOOKUP(E616,MARGEN!A:B,2,FALSE)</f>
        <v>0.1</v>
      </c>
      <c r="M616" s="112">
        <f t="shared" si="37"/>
        <v>12960.08629823615</v>
      </c>
      <c r="N616" s="113">
        <f t="shared" si="38"/>
        <v>518.40345192944596</v>
      </c>
      <c r="O616" s="113">
        <f t="shared" si="39"/>
        <v>116122.37323219588</v>
      </c>
    </row>
    <row r="617" spans="1:15" x14ac:dyDescent="0.25">
      <c r="A617" s="13">
        <v>44440</v>
      </c>
      <c r="B617" s="97">
        <v>4559</v>
      </c>
      <c r="C617" t="s">
        <v>101</v>
      </c>
      <c r="D617" s="94" t="s">
        <v>483</v>
      </c>
      <c r="E617" t="s">
        <v>69</v>
      </c>
      <c r="F617" t="s">
        <v>558</v>
      </c>
      <c r="G617" s="50" t="s">
        <v>559</v>
      </c>
      <c r="H617" s="50">
        <v>2</v>
      </c>
      <c r="I617" s="100">
        <v>6.7391919697301583</v>
      </c>
      <c r="J617" s="52">
        <v>3834.68</v>
      </c>
      <c r="K617" s="67">
        <f t="shared" si="40"/>
        <v>117816.61701626838</v>
      </c>
      <c r="L617" s="95">
        <f>+VLOOKUP(E617,MARGEN!A:B,2,FALSE)</f>
        <v>0.1</v>
      </c>
      <c r="M617" s="112">
        <f t="shared" si="37"/>
        <v>11781.661701626839</v>
      </c>
      <c r="N617" s="113">
        <f t="shared" si="38"/>
        <v>471.26646806507352</v>
      </c>
      <c r="O617" s="113">
        <f t="shared" si="39"/>
        <v>105563.68884657646</v>
      </c>
    </row>
    <row r="618" spans="1:15" x14ac:dyDescent="0.25">
      <c r="A618" s="13">
        <v>44440</v>
      </c>
      <c r="B618" s="97">
        <v>2999</v>
      </c>
      <c r="C618" t="s">
        <v>89</v>
      </c>
      <c r="D618" s="94" t="s">
        <v>484</v>
      </c>
      <c r="E618" t="s">
        <v>69</v>
      </c>
      <c r="F618" t="s">
        <v>558</v>
      </c>
      <c r="G618" s="50" t="s">
        <v>559</v>
      </c>
      <c r="H618" s="50">
        <v>2</v>
      </c>
      <c r="I618" s="100">
        <v>6.7391919697301583</v>
      </c>
      <c r="J618" s="52">
        <v>3834.68</v>
      </c>
      <c r="K618" s="67">
        <f t="shared" si="40"/>
        <v>77502.091342792031</v>
      </c>
      <c r="L618" s="95">
        <f>+VLOOKUP(E618,MARGEN!A:B,2,FALSE)</f>
        <v>0.1</v>
      </c>
      <c r="M618" s="112">
        <f t="shared" si="37"/>
        <v>7750.2091342792037</v>
      </c>
      <c r="N618" s="113">
        <f t="shared" si="38"/>
        <v>310.00836537116811</v>
      </c>
      <c r="O618" s="113">
        <f t="shared" si="39"/>
        <v>69441.873843141671</v>
      </c>
    </row>
    <row r="619" spans="1:15" x14ac:dyDescent="0.25">
      <c r="A619" s="13">
        <v>44440</v>
      </c>
      <c r="B619" s="97">
        <v>2663</v>
      </c>
      <c r="C619" t="s">
        <v>86</v>
      </c>
      <c r="D619" s="94" t="s">
        <v>479</v>
      </c>
      <c r="E619" t="s">
        <v>69</v>
      </c>
      <c r="F619" t="s">
        <v>558</v>
      </c>
      <c r="G619" s="50" t="s">
        <v>559</v>
      </c>
      <c r="H619" s="50">
        <v>2</v>
      </c>
      <c r="I619" s="100">
        <v>6.7391919697301583</v>
      </c>
      <c r="J619" s="52">
        <v>3834.68</v>
      </c>
      <c r="K619" s="67">
        <f t="shared" si="40"/>
        <v>68818.962736197136</v>
      </c>
      <c r="L619" s="95">
        <f>+VLOOKUP(E619,MARGEN!A:B,2,FALSE)</f>
        <v>0.1</v>
      </c>
      <c r="M619" s="112">
        <f t="shared" si="37"/>
        <v>6881.8962736197136</v>
      </c>
      <c r="N619" s="113">
        <f t="shared" si="38"/>
        <v>275.27585094478854</v>
      </c>
      <c r="O619" s="113">
        <f t="shared" si="39"/>
        <v>61661.790611632634</v>
      </c>
    </row>
    <row r="620" spans="1:15" x14ac:dyDescent="0.25">
      <c r="A620" s="13">
        <v>44440</v>
      </c>
      <c r="B620" s="97">
        <v>2639</v>
      </c>
      <c r="C620" t="s">
        <v>239</v>
      </c>
      <c r="D620" s="94" t="s">
        <v>477</v>
      </c>
      <c r="E620" t="s">
        <v>69</v>
      </c>
      <c r="F620" t="s">
        <v>558</v>
      </c>
      <c r="G620" s="50" t="s">
        <v>559</v>
      </c>
      <c r="H620" s="50">
        <v>2</v>
      </c>
      <c r="I620" s="100">
        <v>6.7391919697301583</v>
      </c>
      <c r="J620" s="52">
        <v>3834.68</v>
      </c>
      <c r="K620" s="67">
        <f t="shared" si="40"/>
        <v>68198.739264297488</v>
      </c>
      <c r="L620" s="95">
        <f>+VLOOKUP(E620,MARGEN!A:B,2,FALSE)</f>
        <v>0.1</v>
      </c>
      <c r="M620" s="112">
        <f t="shared" si="37"/>
        <v>6819.8739264297492</v>
      </c>
      <c r="N620" s="113">
        <f t="shared" si="38"/>
        <v>272.79495705718995</v>
      </c>
      <c r="O620" s="113">
        <f t="shared" si="39"/>
        <v>61106.070380810554</v>
      </c>
    </row>
    <row r="621" spans="1:15" x14ac:dyDescent="0.25">
      <c r="A621" s="13">
        <v>44440</v>
      </c>
      <c r="B621" s="97">
        <v>2375</v>
      </c>
      <c r="C621" t="s">
        <v>237</v>
      </c>
      <c r="D621" s="94" t="s">
        <v>480</v>
      </c>
      <c r="E621" t="s">
        <v>69</v>
      </c>
      <c r="F621" t="s">
        <v>558</v>
      </c>
      <c r="G621" s="50" t="s">
        <v>559</v>
      </c>
      <c r="H621" s="50">
        <v>2</v>
      </c>
      <c r="I621" s="100">
        <v>6.7391919697301583</v>
      </c>
      <c r="J621" s="52">
        <v>3834.68</v>
      </c>
      <c r="K621" s="67">
        <f t="shared" si="40"/>
        <v>61376.2810734015</v>
      </c>
      <c r="L621" s="95">
        <f>+VLOOKUP(E621,MARGEN!A:B,2,FALSE)</f>
        <v>0.1</v>
      </c>
      <c r="M621" s="112">
        <f t="shared" si="37"/>
        <v>6137.6281073401506</v>
      </c>
      <c r="N621" s="113">
        <f t="shared" si="38"/>
        <v>245.505124293606</v>
      </c>
      <c r="O621" s="113">
        <f t="shared" si="39"/>
        <v>54993.14784176775</v>
      </c>
    </row>
    <row r="622" spans="1:15" x14ac:dyDescent="0.25">
      <c r="A622" s="13">
        <v>44440</v>
      </c>
      <c r="B622" s="97">
        <v>2159</v>
      </c>
      <c r="C622" t="s">
        <v>83</v>
      </c>
      <c r="D622" s="94" t="s">
        <v>466</v>
      </c>
      <c r="E622" t="s">
        <v>69</v>
      </c>
      <c r="F622" t="s">
        <v>558</v>
      </c>
      <c r="G622" s="50" t="s">
        <v>559</v>
      </c>
      <c r="H622" s="50">
        <v>2</v>
      </c>
      <c r="I622" s="100">
        <v>6.7391919697301583</v>
      </c>
      <c r="J622" s="52">
        <v>3834.68</v>
      </c>
      <c r="K622" s="67">
        <f t="shared" si="40"/>
        <v>55794.269826304779</v>
      </c>
      <c r="L622" s="95">
        <f>+VLOOKUP(E622,MARGEN!A:B,2,FALSE)</f>
        <v>0.1</v>
      </c>
      <c r="M622" s="112">
        <f t="shared" si="37"/>
        <v>5579.4269826304781</v>
      </c>
      <c r="N622" s="113">
        <f t="shared" si="38"/>
        <v>223.17707930521911</v>
      </c>
      <c r="O622" s="113">
        <f t="shared" si="39"/>
        <v>49991.665764369078</v>
      </c>
    </row>
    <row r="623" spans="1:15" x14ac:dyDescent="0.25">
      <c r="A623" s="13">
        <v>44440</v>
      </c>
      <c r="B623" s="97">
        <v>2135</v>
      </c>
      <c r="C623" t="s">
        <v>82</v>
      </c>
      <c r="D623" s="94" t="s">
        <v>462</v>
      </c>
      <c r="E623" t="s">
        <v>69</v>
      </c>
      <c r="F623" t="s">
        <v>557</v>
      </c>
      <c r="G623" s="50" t="s">
        <v>205</v>
      </c>
      <c r="H623" s="50">
        <v>2</v>
      </c>
      <c r="I623" s="100">
        <v>6.7391919697301583</v>
      </c>
      <c r="J623" s="52">
        <v>3834.68</v>
      </c>
      <c r="K623" s="67">
        <f t="shared" si="40"/>
        <v>55174.046354405145</v>
      </c>
      <c r="L623" s="95">
        <f>+VLOOKUP(E623,MARGEN!A:B,2,FALSE)</f>
        <v>0.1</v>
      </c>
      <c r="M623" s="112">
        <f t="shared" si="37"/>
        <v>5517.4046354405145</v>
      </c>
      <c r="N623" s="113">
        <f t="shared" si="38"/>
        <v>220.69618541762057</v>
      </c>
      <c r="O623" s="113">
        <f t="shared" si="39"/>
        <v>49435.945533547012</v>
      </c>
    </row>
    <row r="624" spans="1:15" x14ac:dyDescent="0.25">
      <c r="A624" s="13">
        <v>44440</v>
      </c>
      <c r="B624" s="97">
        <v>1775</v>
      </c>
      <c r="C624" t="s">
        <v>77</v>
      </c>
      <c r="D624" s="94" t="s">
        <v>474</v>
      </c>
      <c r="E624" t="s">
        <v>69</v>
      </c>
      <c r="F624" t="s">
        <v>558</v>
      </c>
      <c r="G624" s="50" t="s">
        <v>559</v>
      </c>
      <c r="H624" s="50">
        <v>2</v>
      </c>
      <c r="I624" s="100">
        <v>6.7391919697301583</v>
      </c>
      <c r="J624" s="52">
        <v>3834.68</v>
      </c>
      <c r="K624" s="67">
        <f t="shared" si="40"/>
        <v>45870.694275910595</v>
      </c>
      <c r="L624" s="95">
        <f>+VLOOKUP(E624,MARGEN!A:B,2,FALSE)</f>
        <v>0.1</v>
      </c>
      <c r="M624" s="112">
        <f t="shared" si="37"/>
        <v>4587.06942759106</v>
      </c>
      <c r="N624" s="113">
        <f t="shared" si="38"/>
        <v>183.48277710364238</v>
      </c>
      <c r="O624" s="113">
        <f t="shared" si="39"/>
        <v>41100.142071215894</v>
      </c>
    </row>
    <row r="625" spans="1:15" x14ac:dyDescent="0.25">
      <c r="A625" s="13">
        <v>44441</v>
      </c>
      <c r="B625" s="97">
        <v>4607</v>
      </c>
      <c r="C625" t="s">
        <v>101</v>
      </c>
      <c r="D625" s="94" t="s">
        <v>483</v>
      </c>
      <c r="E625" t="s">
        <v>69</v>
      </c>
      <c r="F625" t="s">
        <v>558</v>
      </c>
      <c r="G625" s="50" t="s">
        <v>559</v>
      </c>
      <c r="H625" s="50">
        <v>2</v>
      </c>
      <c r="I625" s="100">
        <v>6.7391919697301583</v>
      </c>
      <c r="J625" s="52">
        <v>3834.68</v>
      </c>
      <c r="K625" s="67">
        <f t="shared" si="40"/>
        <v>119057.06396006768</v>
      </c>
      <c r="L625" s="95">
        <f>+VLOOKUP(E625,MARGEN!A:B,2,FALSE)</f>
        <v>0.1</v>
      </c>
      <c r="M625" s="112">
        <f t="shared" si="37"/>
        <v>11905.706396006768</v>
      </c>
      <c r="N625" s="113">
        <f t="shared" si="38"/>
        <v>476.22825584027072</v>
      </c>
      <c r="O625" s="113">
        <f t="shared" si="39"/>
        <v>106675.12930822065</v>
      </c>
    </row>
    <row r="626" spans="1:15" x14ac:dyDescent="0.25">
      <c r="A626" s="13">
        <v>44441</v>
      </c>
      <c r="B626" s="97">
        <v>3045</v>
      </c>
      <c r="C626" t="s">
        <v>89</v>
      </c>
      <c r="D626" s="94" t="s">
        <v>484</v>
      </c>
      <c r="E626" t="s">
        <v>69</v>
      </c>
      <c r="F626" t="s">
        <v>572</v>
      </c>
      <c r="G626" s="50" t="s">
        <v>243</v>
      </c>
      <c r="H626" s="50">
        <v>2</v>
      </c>
      <c r="I626" s="100">
        <v>6.7391919697301583</v>
      </c>
      <c r="J626" s="52">
        <v>3834.68</v>
      </c>
      <c r="K626" s="67">
        <f t="shared" si="40"/>
        <v>78690.852997266338</v>
      </c>
      <c r="L626" s="95">
        <f>+VLOOKUP(E626,MARGEN!A:B,2,FALSE)</f>
        <v>0.1</v>
      </c>
      <c r="M626" s="112">
        <f t="shared" si="37"/>
        <v>7869.0852997266338</v>
      </c>
      <c r="N626" s="113">
        <f t="shared" si="38"/>
        <v>314.76341198906533</v>
      </c>
      <c r="O626" s="113">
        <f t="shared" si="39"/>
        <v>70507.004285550633</v>
      </c>
    </row>
    <row r="627" spans="1:15" x14ac:dyDescent="0.25">
      <c r="A627" s="43">
        <v>44441</v>
      </c>
      <c r="B627" s="97">
        <v>2711</v>
      </c>
      <c r="C627" t="s">
        <v>86</v>
      </c>
      <c r="D627" s="94" t="s">
        <v>479</v>
      </c>
      <c r="E627" t="s">
        <v>69</v>
      </c>
      <c r="F627" t="s">
        <v>558</v>
      </c>
      <c r="G627" s="50" t="s">
        <v>559</v>
      </c>
      <c r="H627" s="50">
        <v>2</v>
      </c>
      <c r="I627" s="100">
        <v>6.7391919697301583</v>
      </c>
      <c r="J627" s="52">
        <v>3834.68</v>
      </c>
      <c r="K627" s="67">
        <f t="shared" si="40"/>
        <v>70059.409679996417</v>
      </c>
      <c r="L627" s="95">
        <f>+VLOOKUP(E627,MARGEN!A:B,2,FALSE)</f>
        <v>0.1</v>
      </c>
      <c r="M627" s="112">
        <f t="shared" si="37"/>
        <v>7005.9409679996425</v>
      </c>
      <c r="N627" s="113">
        <f t="shared" si="38"/>
        <v>280.23763871998568</v>
      </c>
      <c r="O627" s="113">
        <f t="shared" si="39"/>
        <v>62773.231073276787</v>
      </c>
    </row>
    <row r="628" spans="1:15" x14ac:dyDescent="0.25">
      <c r="A628" s="13">
        <v>44441</v>
      </c>
      <c r="B628" s="97">
        <v>2639</v>
      </c>
      <c r="C628" s="88" t="s">
        <v>239</v>
      </c>
      <c r="D628" t="s">
        <v>477</v>
      </c>
      <c r="E628" t="s">
        <v>69</v>
      </c>
      <c r="F628" t="s">
        <v>558</v>
      </c>
      <c r="G628" s="50" t="s">
        <v>559</v>
      </c>
      <c r="H628" s="50">
        <v>2</v>
      </c>
      <c r="I628" s="100">
        <v>6.7391919697301583</v>
      </c>
      <c r="J628" s="52">
        <v>3834.68</v>
      </c>
      <c r="K628" s="67">
        <f t="shared" si="40"/>
        <v>68198.739264297488</v>
      </c>
      <c r="L628" s="95">
        <f>+VLOOKUP(E628,MARGEN!A:B,2,FALSE)</f>
        <v>0.1</v>
      </c>
      <c r="M628" s="112">
        <f t="shared" si="37"/>
        <v>6819.8739264297492</v>
      </c>
      <c r="N628" s="113">
        <f t="shared" si="38"/>
        <v>272.79495705718995</v>
      </c>
      <c r="O628" s="113">
        <f t="shared" si="39"/>
        <v>61106.070380810554</v>
      </c>
    </row>
    <row r="629" spans="1:15" x14ac:dyDescent="0.25">
      <c r="A629" s="13">
        <v>44441</v>
      </c>
      <c r="B629" s="97">
        <v>2375</v>
      </c>
      <c r="C629" t="s">
        <v>237</v>
      </c>
      <c r="D629" s="94" t="s">
        <v>480</v>
      </c>
      <c r="E629" t="s">
        <v>69</v>
      </c>
      <c r="F629" t="s">
        <v>558</v>
      </c>
      <c r="G629" s="50" t="s">
        <v>559</v>
      </c>
      <c r="H629" s="50">
        <v>2</v>
      </c>
      <c r="I629" s="100">
        <v>6.7391919697301583</v>
      </c>
      <c r="J629" s="52">
        <v>3834.68</v>
      </c>
      <c r="K629" s="67">
        <f t="shared" si="40"/>
        <v>61376.2810734015</v>
      </c>
      <c r="L629" s="95">
        <f>+VLOOKUP(E629,MARGEN!A:B,2,FALSE)</f>
        <v>0.1</v>
      </c>
      <c r="M629" s="112">
        <f t="shared" si="37"/>
        <v>6137.6281073401506</v>
      </c>
      <c r="N629" s="113">
        <f t="shared" si="38"/>
        <v>245.505124293606</v>
      </c>
      <c r="O629" s="113">
        <f t="shared" si="39"/>
        <v>54993.14784176775</v>
      </c>
    </row>
    <row r="630" spans="1:15" x14ac:dyDescent="0.25">
      <c r="A630" s="13">
        <v>44441</v>
      </c>
      <c r="B630" s="97">
        <v>2135</v>
      </c>
      <c r="C630" t="s">
        <v>83</v>
      </c>
      <c r="D630" s="94" t="s">
        <v>466</v>
      </c>
      <c r="E630" t="s">
        <v>69</v>
      </c>
      <c r="F630" t="s">
        <v>558</v>
      </c>
      <c r="G630" s="50" t="s">
        <v>559</v>
      </c>
      <c r="H630" s="50">
        <v>2</v>
      </c>
      <c r="I630" s="100">
        <v>6.7391919697301583</v>
      </c>
      <c r="J630" s="52">
        <v>3834.68</v>
      </c>
      <c r="K630" s="67">
        <f t="shared" si="40"/>
        <v>55174.046354405145</v>
      </c>
      <c r="L630" s="95">
        <f>+VLOOKUP(E630,MARGEN!A:B,2,FALSE)</f>
        <v>0.1</v>
      </c>
      <c r="M630" s="112">
        <f t="shared" si="37"/>
        <v>5517.4046354405145</v>
      </c>
      <c r="N630" s="113">
        <f t="shared" si="38"/>
        <v>220.69618541762057</v>
      </c>
      <c r="O630" s="113">
        <f t="shared" si="39"/>
        <v>49435.945533547012</v>
      </c>
    </row>
    <row r="631" spans="1:15" x14ac:dyDescent="0.25">
      <c r="A631" s="13">
        <v>44441</v>
      </c>
      <c r="B631" s="97">
        <v>2133</v>
      </c>
      <c r="C631" t="s">
        <v>82</v>
      </c>
      <c r="D631" s="94" t="s">
        <v>462</v>
      </c>
      <c r="E631" t="s">
        <v>69</v>
      </c>
      <c r="F631" t="s">
        <v>572</v>
      </c>
      <c r="G631" s="50" t="s">
        <v>243</v>
      </c>
      <c r="H631" s="50">
        <v>2</v>
      </c>
      <c r="I631" s="100">
        <v>6.7391919697301583</v>
      </c>
      <c r="J631" s="52">
        <v>3834.68</v>
      </c>
      <c r="K631" s="67">
        <f t="shared" si="40"/>
        <v>55122.361065080171</v>
      </c>
      <c r="L631" s="95">
        <f>+VLOOKUP(E631,MARGEN!A:B,2,FALSE)</f>
        <v>0.1</v>
      </c>
      <c r="M631" s="112">
        <f t="shared" si="37"/>
        <v>5512.2361065080177</v>
      </c>
      <c r="N631" s="113">
        <f t="shared" si="38"/>
        <v>220.48944426032068</v>
      </c>
      <c r="O631" s="113">
        <f t="shared" si="39"/>
        <v>49389.635514311834</v>
      </c>
    </row>
    <row r="632" spans="1:15" x14ac:dyDescent="0.25">
      <c r="A632" s="13">
        <v>44441</v>
      </c>
      <c r="B632" s="97">
        <v>2062</v>
      </c>
      <c r="C632" t="s">
        <v>81</v>
      </c>
      <c r="D632" s="94" t="s">
        <v>458</v>
      </c>
      <c r="E632" t="s">
        <v>69</v>
      </c>
      <c r="F632" t="s">
        <v>572</v>
      </c>
      <c r="G632" s="50" t="s">
        <v>243</v>
      </c>
      <c r="H632" s="50">
        <v>2</v>
      </c>
      <c r="I632" s="100">
        <v>6.7391919697301583</v>
      </c>
      <c r="J632" s="52">
        <v>3834.68</v>
      </c>
      <c r="K632" s="67">
        <f t="shared" si="40"/>
        <v>53287.533294043751</v>
      </c>
      <c r="L632" s="95">
        <f>+VLOOKUP(E632,MARGEN!A:B,2,FALSE)</f>
        <v>0.1</v>
      </c>
      <c r="M632" s="112">
        <f t="shared" si="37"/>
        <v>5328.7533294043751</v>
      </c>
      <c r="N632" s="113">
        <f t="shared" si="38"/>
        <v>213.15013317617502</v>
      </c>
      <c r="O632" s="113">
        <f t="shared" si="39"/>
        <v>47745.6298314632</v>
      </c>
    </row>
    <row r="633" spans="1:15" x14ac:dyDescent="0.25">
      <c r="A633" s="13">
        <v>44441</v>
      </c>
      <c r="B633" s="97">
        <v>1774</v>
      </c>
      <c r="C633" s="88" t="s">
        <v>77</v>
      </c>
      <c r="D633" t="s">
        <v>474</v>
      </c>
      <c r="E633" t="s">
        <v>69</v>
      </c>
      <c r="F633" t="s">
        <v>572</v>
      </c>
      <c r="G633" s="50" t="s">
        <v>243</v>
      </c>
      <c r="H633" s="50">
        <v>2</v>
      </c>
      <c r="I633" s="100">
        <v>6.7391919697301583</v>
      </c>
      <c r="J633" s="52">
        <v>3834.68</v>
      </c>
      <c r="K633" s="67">
        <f t="shared" si="40"/>
        <v>45844.851631248108</v>
      </c>
      <c r="L633" s="95">
        <f>+VLOOKUP(E633,MARGEN!A:B,2,FALSE)</f>
        <v>0.1</v>
      </c>
      <c r="M633" s="112">
        <f t="shared" si="37"/>
        <v>4584.4851631248112</v>
      </c>
      <c r="N633" s="113">
        <f t="shared" si="38"/>
        <v>183.37940652499242</v>
      </c>
      <c r="O633" s="113">
        <f t="shared" si="39"/>
        <v>41076.987061598309</v>
      </c>
    </row>
    <row r="634" spans="1:15" x14ac:dyDescent="0.25">
      <c r="A634" s="13">
        <v>44441</v>
      </c>
      <c r="B634" s="97">
        <v>1414</v>
      </c>
      <c r="C634" t="s">
        <v>75</v>
      </c>
      <c r="D634" s="94" t="s">
        <v>383</v>
      </c>
      <c r="E634" t="s">
        <v>69</v>
      </c>
      <c r="F634" t="s">
        <v>572</v>
      </c>
      <c r="G634" s="50" t="s">
        <v>243</v>
      </c>
      <c r="H634" s="50">
        <v>2</v>
      </c>
      <c r="I634" s="100">
        <v>6.7391919697301583</v>
      </c>
      <c r="J634" s="52">
        <v>3834.68</v>
      </c>
      <c r="K634" s="67">
        <f t="shared" si="40"/>
        <v>36541.499552753565</v>
      </c>
      <c r="L634" s="95">
        <f>+VLOOKUP(E634,MARGEN!A:B,2,FALSE)</f>
        <v>0.1</v>
      </c>
      <c r="M634" s="112">
        <f t="shared" si="37"/>
        <v>3654.1499552753567</v>
      </c>
      <c r="N634" s="113">
        <f t="shared" si="38"/>
        <v>146.16599821101426</v>
      </c>
      <c r="O634" s="113">
        <f t="shared" si="39"/>
        <v>32741.183599267191</v>
      </c>
    </row>
    <row r="635" spans="1:15" x14ac:dyDescent="0.25">
      <c r="A635" s="13">
        <v>44442</v>
      </c>
      <c r="B635" s="97">
        <v>4583</v>
      </c>
      <c r="C635" t="s">
        <v>101</v>
      </c>
      <c r="D635" s="94" t="s">
        <v>483</v>
      </c>
      <c r="E635" t="s">
        <v>69</v>
      </c>
      <c r="F635" t="s">
        <v>558</v>
      </c>
      <c r="G635" s="50" t="s">
        <v>559</v>
      </c>
      <c r="H635" s="50">
        <v>2</v>
      </c>
      <c r="I635" s="100">
        <v>6.7391919697301583</v>
      </c>
      <c r="J635" s="52">
        <v>3834.68</v>
      </c>
      <c r="K635" s="67">
        <f t="shared" si="40"/>
        <v>118436.84048816803</v>
      </c>
      <c r="L635" s="95">
        <f>+VLOOKUP(E635,MARGEN!A:B,2,FALSE)</f>
        <v>0.1</v>
      </c>
      <c r="M635" s="112">
        <f t="shared" si="37"/>
        <v>11843.684048816804</v>
      </c>
      <c r="N635" s="113">
        <f t="shared" si="38"/>
        <v>473.74736195267212</v>
      </c>
      <c r="O635" s="113">
        <f t="shared" si="39"/>
        <v>106119.40907739855</v>
      </c>
    </row>
    <row r="636" spans="1:15" x14ac:dyDescent="0.25">
      <c r="A636" s="13">
        <v>44442</v>
      </c>
      <c r="B636" s="97">
        <v>2999</v>
      </c>
      <c r="C636" t="s">
        <v>89</v>
      </c>
      <c r="D636" s="94" t="s">
        <v>484</v>
      </c>
      <c r="E636" t="s">
        <v>69</v>
      </c>
      <c r="F636" t="s">
        <v>557</v>
      </c>
      <c r="G636" s="50" t="s">
        <v>205</v>
      </c>
      <c r="H636" s="50">
        <v>2</v>
      </c>
      <c r="I636" s="100">
        <v>6.7391919697301583</v>
      </c>
      <c r="J636" s="52">
        <v>3834.68</v>
      </c>
      <c r="K636" s="67">
        <f t="shared" si="40"/>
        <v>77502.091342792031</v>
      </c>
      <c r="L636" s="95">
        <f>+VLOOKUP(E636,MARGEN!A:B,2,FALSE)</f>
        <v>0.1</v>
      </c>
      <c r="M636" s="112">
        <f t="shared" si="37"/>
        <v>7750.2091342792037</v>
      </c>
      <c r="N636" s="113">
        <f t="shared" si="38"/>
        <v>310.00836537116811</v>
      </c>
      <c r="O636" s="113">
        <f t="shared" si="39"/>
        <v>69441.873843141671</v>
      </c>
    </row>
    <row r="637" spans="1:15" x14ac:dyDescent="0.25">
      <c r="A637" s="13">
        <v>44442</v>
      </c>
      <c r="B637" s="97">
        <v>2711</v>
      </c>
      <c r="C637" t="s">
        <v>86</v>
      </c>
      <c r="D637" s="94" t="s">
        <v>479</v>
      </c>
      <c r="E637" t="s">
        <v>69</v>
      </c>
      <c r="F637" t="s">
        <v>558</v>
      </c>
      <c r="G637" s="50" t="s">
        <v>559</v>
      </c>
      <c r="H637" s="50">
        <v>2</v>
      </c>
      <c r="I637" s="100">
        <v>6.7391919697301583</v>
      </c>
      <c r="J637" s="52">
        <v>3834.68</v>
      </c>
      <c r="K637" s="67">
        <f t="shared" si="40"/>
        <v>70059.409679996417</v>
      </c>
      <c r="L637" s="95">
        <f>+VLOOKUP(E637,MARGEN!A:B,2,FALSE)</f>
        <v>0.1</v>
      </c>
      <c r="M637" s="112">
        <f t="shared" si="37"/>
        <v>7005.9409679996425</v>
      </c>
      <c r="N637" s="113">
        <f t="shared" si="38"/>
        <v>280.23763871998568</v>
      </c>
      <c r="O637" s="113">
        <f t="shared" si="39"/>
        <v>62773.231073276787</v>
      </c>
    </row>
    <row r="638" spans="1:15" x14ac:dyDescent="0.25">
      <c r="A638" s="13">
        <v>44442</v>
      </c>
      <c r="B638" s="97">
        <v>2639</v>
      </c>
      <c r="C638" t="s">
        <v>239</v>
      </c>
      <c r="D638" s="94" t="s">
        <v>477</v>
      </c>
      <c r="E638" t="s">
        <v>69</v>
      </c>
      <c r="F638" t="s">
        <v>558</v>
      </c>
      <c r="G638" s="50" t="s">
        <v>559</v>
      </c>
      <c r="H638" s="50">
        <v>2</v>
      </c>
      <c r="I638" s="100">
        <v>6.7391919697301583</v>
      </c>
      <c r="J638" s="52">
        <v>3834.68</v>
      </c>
      <c r="K638" s="67">
        <f t="shared" si="40"/>
        <v>68198.739264297488</v>
      </c>
      <c r="L638" s="95">
        <f>+VLOOKUP(E638,MARGEN!A:B,2,FALSE)</f>
        <v>0.1</v>
      </c>
      <c r="M638" s="112">
        <f t="shared" si="37"/>
        <v>6819.8739264297492</v>
      </c>
      <c r="N638" s="113">
        <f t="shared" si="38"/>
        <v>272.79495705718995</v>
      </c>
      <c r="O638" s="113">
        <f t="shared" si="39"/>
        <v>61106.070380810554</v>
      </c>
    </row>
    <row r="639" spans="1:15" x14ac:dyDescent="0.25">
      <c r="A639" s="13">
        <v>44442</v>
      </c>
      <c r="B639" s="97">
        <v>2375</v>
      </c>
      <c r="C639" t="s">
        <v>237</v>
      </c>
      <c r="D639" s="94" t="s">
        <v>480</v>
      </c>
      <c r="E639" t="s">
        <v>69</v>
      </c>
      <c r="F639" t="s">
        <v>557</v>
      </c>
      <c r="G639" s="50" t="s">
        <v>205</v>
      </c>
      <c r="H639" s="50">
        <v>2</v>
      </c>
      <c r="I639" s="100">
        <v>6.7391919697301583</v>
      </c>
      <c r="J639" s="52">
        <v>3834.68</v>
      </c>
      <c r="K639" s="67">
        <f t="shared" si="40"/>
        <v>61376.2810734015</v>
      </c>
      <c r="L639" s="95">
        <f>+VLOOKUP(E639,MARGEN!A:B,2,FALSE)</f>
        <v>0.1</v>
      </c>
      <c r="M639" s="112">
        <f t="shared" si="37"/>
        <v>6137.6281073401506</v>
      </c>
      <c r="N639" s="113">
        <f t="shared" si="38"/>
        <v>245.505124293606</v>
      </c>
      <c r="O639" s="113">
        <f t="shared" si="39"/>
        <v>54993.14784176775</v>
      </c>
    </row>
    <row r="640" spans="1:15" x14ac:dyDescent="0.25">
      <c r="A640" s="13">
        <v>44442</v>
      </c>
      <c r="B640" s="97">
        <v>2135</v>
      </c>
      <c r="C640" t="s">
        <v>83</v>
      </c>
      <c r="D640" s="94" t="s">
        <v>466</v>
      </c>
      <c r="E640" t="s">
        <v>69</v>
      </c>
      <c r="F640" t="s">
        <v>558</v>
      </c>
      <c r="G640" s="50" t="s">
        <v>559</v>
      </c>
      <c r="H640" s="50">
        <v>2</v>
      </c>
      <c r="I640" s="100">
        <v>6.7391919697301583</v>
      </c>
      <c r="J640" s="52">
        <v>3834.68</v>
      </c>
      <c r="K640" s="67">
        <f t="shared" si="40"/>
        <v>55174.046354405145</v>
      </c>
      <c r="L640" s="95">
        <f>+VLOOKUP(E640,MARGEN!A:B,2,FALSE)</f>
        <v>0.1</v>
      </c>
      <c r="M640" s="112">
        <f t="shared" si="37"/>
        <v>5517.4046354405145</v>
      </c>
      <c r="N640" s="113">
        <f t="shared" si="38"/>
        <v>220.69618541762057</v>
      </c>
      <c r="O640" s="113">
        <f t="shared" si="39"/>
        <v>49435.945533547012</v>
      </c>
    </row>
    <row r="641" spans="1:15" x14ac:dyDescent="0.25">
      <c r="A641" s="13">
        <v>44442</v>
      </c>
      <c r="B641" s="97">
        <v>2063</v>
      </c>
      <c r="C641" t="s">
        <v>81</v>
      </c>
      <c r="D641" s="94" t="s">
        <v>458</v>
      </c>
      <c r="E641" t="s">
        <v>69</v>
      </c>
      <c r="F641" t="s">
        <v>557</v>
      </c>
      <c r="G641" s="50" t="s">
        <v>205</v>
      </c>
      <c r="H641" s="50">
        <v>2</v>
      </c>
      <c r="I641" s="100">
        <v>6.7391919697301583</v>
      </c>
      <c r="J641" s="52">
        <v>3834.68</v>
      </c>
      <c r="K641" s="67">
        <f t="shared" si="40"/>
        <v>53313.375938706224</v>
      </c>
      <c r="L641" s="95">
        <f>+VLOOKUP(E641,MARGEN!A:B,2,FALSE)</f>
        <v>0.1</v>
      </c>
      <c r="M641" s="112">
        <f t="shared" si="37"/>
        <v>5331.3375938706231</v>
      </c>
      <c r="N641" s="113">
        <f t="shared" si="38"/>
        <v>213.25350375482489</v>
      </c>
      <c r="O641" s="113">
        <f t="shared" si="39"/>
        <v>47768.784841080778</v>
      </c>
    </row>
    <row r="642" spans="1:15" x14ac:dyDescent="0.25">
      <c r="A642" s="13">
        <v>44442</v>
      </c>
      <c r="B642" s="97">
        <v>1799</v>
      </c>
      <c r="C642" t="s">
        <v>77</v>
      </c>
      <c r="D642" s="94" t="s">
        <v>474</v>
      </c>
      <c r="E642" t="s">
        <v>69</v>
      </c>
      <c r="F642" t="s">
        <v>557</v>
      </c>
      <c r="G642" s="50" t="s">
        <v>205</v>
      </c>
      <c r="H642" s="50">
        <v>2</v>
      </c>
      <c r="I642" s="100">
        <v>6.7391919697301583</v>
      </c>
      <c r="J642" s="52">
        <v>3834.68</v>
      </c>
      <c r="K642" s="67">
        <f t="shared" si="40"/>
        <v>46490.917747810228</v>
      </c>
      <c r="L642" s="95">
        <f>+VLOOKUP(E642,MARGEN!A:B,2,FALSE)</f>
        <v>0.1</v>
      </c>
      <c r="M642" s="112">
        <f t="shared" si="37"/>
        <v>4649.0917747810227</v>
      </c>
      <c r="N642" s="113">
        <f t="shared" si="38"/>
        <v>185.96367099124092</v>
      </c>
      <c r="O642" s="113">
        <f t="shared" si="39"/>
        <v>41655.862302037967</v>
      </c>
    </row>
    <row r="643" spans="1:15" x14ac:dyDescent="0.25">
      <c r="A643" s="13">
        <v>44442</v>
      </c>
      <c r="B643" s="97">
        <v>1415</v>
      </c>
      <c r="C643" t="s">
        <v>75</v>
      </c>
      <c r="D643" s="94" t="s">
        <v>383</v>
      </c>
      <c r="E643" t="s">
        <v>69</v>
      </c>
      <c r="F643" t="s">
        <v>557</v>
      </c>
      <c r="G643" s="50" t="s">
        <v>205</v>
      </c>
      <c r="H643" s="50">
        <v>2</v>
      </c>
      <c r="I643" s="100">
        <v>6.7391919697301583</v>
      </c>
      <c r="J643" s="52">
        <v>3834.68</v>
      </c>
      <c r="K643" s="67">
        <f t="shared" si="40"/>
        <v>36567.342197416052</v>
      </c>
      <c r="L643" s="95">
        <f>+VLOOKUP(E643,MARGEN!A:B,2,FALSE)</f>
        <v>0.1</v>
      </c>
      <c r="M643" s="112">
        <f t="shared" ref="M643:M706" si="41">+K643*L643</f>
        <v>3656.7342197416056</v>
      </c>
      <c r="N643" s="113">
        <f t="shared" ref="N643:N706" si="42">+K643*4/1000</f>
        <v>146.26936878966421</v>
      </c>
      <c r="O643" s="113">
        <f t="shared" ref="O643:O706" si="43">+K643-M643-N643</f>
        <v>32764.33860888478</v>
      </c>
    </row>
    <row r="644" spans="1:15" x14ac:dyDescent="0.25">
      <c r="A644" s="13">
        <v>44447</v>
      </c>
      <c r="B644" s="51">
        <v>4559</v>
      </c>
      <c r="C644" s="66" t="s">
        <v>101</v>
      </c>
      <c r="D644" s="66" t="s">
        <v>483</v>
      </c>
      <c r="E644" t="s">
        <v>69</v>
      </c>
      <c r="F644" s="50" t="s">
        <v>566</v>
      </c>
      <c r="G644" s="50" t="s">
        <v>559</v>
      </c>
      <c r="H644" s="50">
        <v>2</v>
      </c>
      <c r="I644" s="100">
        <v>6.7391919697301583</v>
      </c>
      <c r="J644" s="52">
        <v>3834.68</v>
      </c>
      <c r="K644" s="67">
        <f t="shared" si="40"/>
        <v>117816.61701626838</v>
      </c>
      <c r="L644" s="95">
        <f>+VLOOKUP(E644,MARGEN!A:B,2,FALSE)</f>
        <v>0.1</v>
      </c>
      <c r="M644" s="112">
        <f t="shared" si="41"/>
        <v>11781.661701626839</v>
      </c>
      <c r="N644" s="113">
        <f t="shared" si="42"/>
        <v>471.26646806507352</v>
      </c>
      <c r="O644" s="113">
        <f t="shared" si="43"/>
        <v>105563.68884657646</v>
      </c>
    </row>
    <row r="645" spans="1:15" x14ac:dyDescent="0.25">
      <c r="A645" s="13">
        <v>44447</v>
      </c>
      <c r="B645" s="97">
        <v>2927</v>
      </c>
      <c r="C645" t="s">
        <v>89</v>
      </c>
      <c r="D645" s="94" t="s">
        <v>484</v>
      </c>
      <c r="E645" t="s">
        <v>69</v>
      </c>
      <c r="F645" t="s">
        <v>558</v>
      </c>
      <c r="G645" s="50" t="s">
        <v>559</v>
      </c>
      <c r="H645" s="50">
        <v>2</v>
      </c>
      <c r="I645" s="100">
        <v>6.7391919697301583</v>
      </c>
      <c r="J645" s="52">
        <v>3834.68</v>
      </c>
      <c r="K645" s="67">
        <f t="shared" si="40"/>
        <v>75641.420927093131</v>
      </c>
      <c r="L645" s="95">
        <f>+VLOOKUP(E645,MARGEN!A:B,2,FALSE)</f>
        <v>0.1</v>
      </c>
      <c r="M645" s="112">
        <f t="shared" si="41"/>
        <v>7564.1420927093131</v>
      </c>
      <c r="N645" s="113">
        <f t="shared" si="42"/>
        <v>302.56568370837255</v>
      </c>
      <c r="O645" s="113">
        <f t="shared" si="43"/>
        <v>67774.713150675452</v>
      </c>
    </row>
    <row r="646" spans="1:15" x14ac:dyDescent="0.25">
      <c r="A646" s="13">
        <v>44447</v>
      </c>
      <c r="B646" s="97">
        <v>2639</v>
      </c>
      <c r="C646" t="s">
        <v>86</v>
      </c>
      <c r="D646" s="94" t="s">
        <v>479</v>
      </c>
      <c r="E646" t="s">
        <v>69</v>
      </c>
      <c r="F646" t="s">
        <v>566</v>
      </c>
      <c r="G646" s="50" t="s">
        <v>559</v>
      </c>
      <c r="H646" s="50">
        <v>2</v>
      </c>
      <c r="I646" s="100">
        <v>6.7391919697301583</v>
      </c>
      <c r="J646" s="52">
        <v>3834.68</v>
      </c>
      <c r="K646" s="67">
        <f t="shared" si="40"/>
        <v>68198.739264297488</v>
      </c>
      <c r="L646" s="95">
        <f>+VLOOKUP(E646,MARGEN!A:B,2,FALSE)</f>
        <v>0.1</v>
      </c>
      <c r="M646" s="112">
        <f t="shared" si="41"/>
        <v>6819.8739264297492</v>
      </c>
      <c r="N646" s="113">
        <f t="shared" si="42"/>
        <v>272.79495705718995</v>
      </c>
      <c r="O646" s="113">
        <f t="shared" si="43"/>
        <v>61106.070380810554</v>
      </c>
    </row>
    <row r="647" spans="1:15" x14ac:dyDescent="0.25">
      <c r="A647" s="13">
        <v>44447</v>
      </c>
      <c r="B647" s="97">
        <v>2591</v>
      </c>
      <c r="C647" t="s">
        <v>239</v>
      </c>
      <c r="D647" s="94" t="s">
        <v>477</v>
      </c>
      <c r="E647" t="s">
        <v>69</v>
      </c>
      <c r="F647" t="s">
        <v>566</v>
      </c>
      <c r="G647" s="50" t="s">
        <v>559</v>
      </c>
      <c r="H647" s="50">
        <v>2</v>
      </c>
      <c r="I647" s="100">
        <v>6.7391919697301583</v>
      </c>
      <c r="J647" s="52">
        <v>3834.68</v>
      </c>
      <c r="K647" s="67">
        <f t="shared" si="40"/>
        <v>66958.292320498222</v>
      </c>
      <c r="L647" s="95">
        <f>+VLOOKUP(E647,MARGEN!A:B,2,FALSE)</f>
        <v>0.1</v>
      </c>
      <c r="M647" s="112">
        <f t="shared" si="41"/>
        <v>6695.8292320498222</v>
      </c>
      <c r="N647" s="113">
        <f t="shared" si="42"/>
        <v>267.83316928199287</v>
      </c>
      <c r="O647" s="113">
        <f t="shared" si="43"/>
        <v>59994.629919166407</v>
      </c>
    </row>
    <row r="648" spans="1:15" x14ac:dyDescent="0.25">
      <c r="A648" s="13">
        <v>44447</v>
      </c>
      <c r="B648" s="97">
        <v>2375</v>
      </c>
      <c r="C648" t="s">
        <v>237</v>
      </c>
      <c r="D648" s="94" t="s">
        <v>480</v>
      </c>
      <c r="E648" t="s">
        <v>69</v>
      </c>
      <c r="F648" t="s">
        <v>566</v>
      </c>
      <c r="G648" s="50" t="s">
        <v>559</v>
      </c>
      <c r="H648" s="50">
        <v>2</v>
      </c>
      <c r="I648" s="100">
        <v>6.7391919697301583</v>
      </c>
      <c r="J648" s="52">
        <v>3834.68</v>
      </c>
      <c r="K648" s="67">
        <f t="shared" si="40"/>
        <v>61376.2810734015</v>
      </c>
      <c r="L648" s="95">
        <f>+VLOOKUP(E648,MARGEN!A:B,2,FALSE)</f>
        <v>0.1</v>
      </c>
      <c r="M648" s="112">
        <f t="shared" si="41"/>
        <v>6137.6281073401506</v>
      </c>
      <c r="N648" s="113">
        <f t="shared" si="42"/>
        <v>245.505124293606</v>
      </c>
      <c r="O648" s="113">
        <f t="shared" si="43"/>
        <v>54993.14784176775</v>
      </c>
    </row>
    <row r="649" spans="1:15" x14ac:dyDescent="0.25">
      <c r="A649" s="13">
        <v>44447</v>
      </c>
      <c r="B649" s="97">
        <v>2135</v>
      </c>
      <c r="C649" t="s">
        <v>83</v>
      </c>
      <c r="D649" s="94" t="s">
        <v>466</v>
      </c>
      <c r="E649" t="s">
        <v>69</v>
      </c>
      <c r="F649" t="s">
        <v>566</v>
      </c>
      <c r="G649" s="50" t="s">
        <v>559</v>
      </c>
      <c r="H649" s="50">
        <v>2</v>
      </c>
      <c r="I649" s="100">
        <v>6.7391919697301583</v>
      </c>
      <c r="J649" s="52">
        <v>3834.68</v>
      </c>
      <c r="K649" s="67">
        <f t="shared" ref="K649:K712" si="44">+B649*I649*J649/1000</f>
        <v>55174.046354405145</v>
      </c>
      <c r="L649" s="95">
        <f>+VLOOKUP(E649,MARGEN!A:B,2,FALSE)</f>
        <v>0.1</v>
      </c>
      <c r="M649" s="112">
        <f t="shared" si="41"/>
        <v>5517.4046354405145</v>
      </c>
      <c r="N649" s="113">
        <f t="shared" si="42"/>
        <v>220.69618541762057</v>
      </c>
      <c r="O649" s="113">
        <f t="shared" si="43"/>
        <v>49435.945533547012</v>
      </c>
    </row>
    <row r="650" spans="1:15" x14ac:dyDescent="0.25">
      <c r="A650" s="13">
        <v>44447</v>
      </c>
      <c r="B650" s="97">
        <v>2087</v>
      </c>
      <c r="C650" t="s">
        <v>81</v>
      </c>
      <c r="D650" s="94" t="s">
        <v>458</v>
      </c>
      <c r="E650" t="s">
        <v>69</v>
      </c>
      <c r="F650" t="s">
        <v>562</v>
      </c>
      <c r="G650" s="50" t="s">
        <v>559</v>
      </c>
      <c r="H650" s="50">
        <v>2</v>
      </c>
      <c r="I650" s="100">
        <v>6.7391919697301583</v>
      </c>
      <c r="J650" s="52">
        <v>3834.68</v>
      </c>
      <c r="K650" s="67">
        <f t="shared" si="44"/>
        <v>53933.599410605872</v>
      </c>
      <c r="L650" s="95">
        <f>+VLOOKUP(E650,MARGEN!A:B,2,FALSE)</f>
        <v>0.1</v>
      </c>
      <c r="M650" s="112">
        <f t="shared" si="41"/>
        <v>5393.3599410605875</v>
      </c>
      <c r="N650" s="113">
        <f t="shared" si="42"/>
        <v>215.73439764242349</v>
      </c>
      <c r="O650" s="113">
        <f t="shared" si="43"/>
        <v>48324.505071902859</v>
      </c>
    </row>
    <row r="651" spans="1:15" x14ac:dyDescent="0.25">
      <c r="A651" s="13">
        <v>44447</v>
      </c>
      <c r="B651" s="97">
        <v>1727</v>
      </c>
      <c r="C651" t="s">
        <v>77</v>
      </c>
      <c r="D651" s="94" t="s">
        <v>474</v>
      </c>
      <c r="E651" t="s">
        <v>69</v>
      </c>
      <c r="F651" t="s">
        <v>558</v>
      </c>
      <c r="G651" s="50" t="s">
        <v>559</v>
      </c>
      <c r="H651" s="50">
        <v>2</v>
      </c>
      <c r="I651" s="100">
        <v>6.7391919697301583</v>
      </c>
      <c r="J651" s="52">
        <v>3834.68</v>
      </c>
      <c r="K651" s="67">
        <f t="shared" si="44"/>
        <v>44630.247332111321</v>
      </c>
      <c r="L651" s="95">
        <f>+VLOOKUP(E651,MARGEN!A:B,2,FALSE)</f>
        <v>0.1</v>
      </c>
      <c r="M651" s="112">
        <f t="shared" si="41"/>
        <v>4463.0247332111321</v>
      </c>
      <c r="N651" s="113">
        <f t="shared" si="42"/>
        <v>178.5209893284453</v>
      </c>
      <c r="O651" s="113">
        <f t="shared" si="43"/>
        <v>39988.701609571741</v>
      </c>
    </row>
    <row r="652" spans="1:15" x14ac:dyDescent="0.25">
      <c r="A652" s="13">
        <v>44448</v>
      </c>
      <c r="B652" s="97">
        <v>4607</v>
      </c>
      <c r="C652" t="s">
        <v>101</v>
      </c>
      <c r="D652" s="94" t="s">
        <v>483</v>
      </c>
      <c r="E652" t="s">
        <v>69</v>
      </c>
      <c r="F652" t="s">
        <v>566</v>
      </c>
      <c r="G652" s="50" t="s">
        <v>559</v>
      </c>
      <c r="H652" s="50">
        <v>2</v>
      </c>
      <c r="I652" s="100">
        <v>6.7391919697301583</v>
      </c>
      <c r="J652" s="52">
        <v>3834.68</v>
      </c>
      <c r="K652" s="67">
        <f t="shared" si="44"/>
        <v>119057.06396006768</v>
      </c>
      <c r="L652" s="95">
        <f>+VLOOKUP(E652,MARGEN!A:B,2,FALSE)</f>
        <v>0.1</v>
      </c>
      <c r="M652" s="112">
        <f t="shared" si="41"/>
        <v>11905.706396006768</v>
      </c>
      <c r="N652" s="113">
        <f t="shared" si="42"/>
        <v>476.22825584027072</v>
      </c>
      <c r="O652" s="113">
        <f t="shared" si="43"/>
        <v>106675.12930822065</v>
      </c>
    </row>
    <row r="653" spans="1:15" x14ac:dyDescent="0.25">
      <c r="A653" s="13">
        <v>44448</v>
      </c>
      <c r="B653" s="97">
        <v>2999</v>
      </c>
      <c r="C653" t="s">
        <v>89</v>
      </c>
      <c r="D653" s="94" t="s">
        <v>484</v>
      </c>
      <c r="E653" t="s">
        <v>69</v>
      </c>
      <c r="F653" t="s">
        <v>558</v>
      </c>
      <c r="G653" s="50" t="s">
        <v>559</v>
      </c>
      <c r="H653" s="50">
        <v>2</v>
      </c>
      <c r="I653" s="100">
        <v>6.7391919697301583</v>
      </c>
      <c r="J653" s="52">
        <v>3834.68</v>
      </c>
      <c r="K653" s="67">
        <f t="shared" si="44"/>
        <v>77502.091342792031</v>
      </c>
      <c r="L653" s="95">
        <f>+VLOOKUP(E653,MARGEN!A:B,2,FALSE)</f>
        <v>0.1</v>
      </c>
      <c r="M653" s="112">
        <f t="shared" si="41"/>
        <v>7750.2091342792037</v>
      </c>
      <c r="N653" s="113">
        <f t="shared" si="42"/>
        <v>310.00836537116811</v>
      </c>
      <c r="O653" s="113">
        <f t="shared" si="43"/>
        <v>69441.873843141671</v>
      </c>
    </row>
    <row r="654" spans="1:15" x14ac:dyDescent="0.25">
      <c r="A654" s="13">
        <v>44448</v>
      </c>
      <c r="B654" s="97">
        <v>2471</v>
      </c>
      <c r="C654" t="s">
        <v>239</v>
      </c>
      <c r="D654" s="94" t="s">
        <v>477</v>
      </c>
      <c r="E654" t="s">
        <v>69</v>
      </c>
      <c r="F654" t="s">
        <v>566</v>
      </c>
      <c r="G654" s="50" t="s">
        <v>559</v>
      </c>
      <c r="H654" s="50">
        <v>2</v>
      </c>
      <c r="I654" s="100">
        <v>6.7391919697301583</v>
      </c>
      <c r="J654" s="52">
        <v>3834.68</v>
      </c>
      <c r="K654" s="67">
        <f t="shared" si="44"/>
        <v>63857.174961000041</v>
      </c>
      <c r="L654" s="95">
        <f>+VLOOKUP(E654,MARGEN!A:B,2,FALSE)</f>
        <v>0.1</v>
      </c>
      <c r="M654" s="112">
        <f t="shared" si="41"/>
        <v>6385.7174961000046</v>
      </c>
      <c r="N654" s="113">
        <f t="shared" si="42"/>
        <v>255.42869984400016</v>
      </c>
      <c r="O654" s="113">
        <f t="shared" si="43"/>
        <v>57216.028765056035</v>
      </c>
    </row>
    <row r="655" spans="1:15" x14ac:dyDescent="0.25">
      <c r="A655" s="13">
        <v>44448</v>
      </c>
      <c r="B655" s="97">
        <v>2471</v>
      </c>
      <c r="C655" t="s">
        <v>86</v>
      </c>
      <c r="D655" s="94" t="s">
        <v>479</v>
      </c>
      <c r="E655" t="s">
        <v>69</v>
      </c>
      <c r="F655" t="s">
        <v>566</v>
      </c>
      <c r="G655" s="50" t="s">
        <v>559</v>
      </c>
      <c r="H655" s="50">
        <v>2</v>
      </c>
      <c r="I655" s="100">
        <v>6.7391919697301583</v>
      </c>
      <c r="J655" s="52">
        <v>3834.68</v>
      </c>
      <c r="K655" s="67">
        <f t="shared" si="44"/>
        <v>63857.174961000041</v>
      </c>
      <c r="L655" s="95">
        <f>+VLOOKUP(E655,MARGEN!A:B,2,FALSE)</f>
        <v>0.1</v>
      </c>
      <c r="M655" s="112">
        <f t="shared" si="41"/>
        <v>6385.7174961000046</v>
      </c>
      <c r="N655" s="113">
        <f t="shared" si="42"/>
        <v>255.42869984400016</v>
      </c>
      <c r="O655" s="113">
        <f t="shared" si="43"/>
        <v>57216.028765056035</v>
      </c>
    </row>
    <row r="656" spans="1:15" x14ac:dyDescent="0.25">
      <c r="A656" s="13">
        <v>44448</v>
      </c>
      <c r="B656" s="97">
        <v>2231</v>
      </c>
      <c r="C656" t="s">
        <v>237</v>
      </c>
      <c r="D656" t="s">
        <v>480</v>
      </c>
      <c r="E656" t="s">
        <v>69</v>
      </c>
      <c r="F656" t="s">
        <v>566</v>
      </c>
      <c r="G656" s="50" t="s">
        <v>559</v>
      </c>
      <c r="H656" s="50">
        <v>2</v>
      </c>
      <c r="I656" s="100">
        <v>6.7391919697301583</v>
      </c>
      <c r="J656" s="52">
        <v>3834.68</v>
      </c>
      <c r="K656" s="67">
        <f t="shared" si="44"/>
        <v>57654.940242003679</v>
      </c>
      <c r="L656" s="95">
        <f>+VLOOKUP(E656,MARGEN!A:B,2,FALSE)</f>
        <v>0.1</v>
      </c>
      <c r="M656" s="112">
        <f t="shared" si="41"/>
        <v>5765.4940242003686</v>
      </c>
      <c r="N656" s="113">
        <f t="shared" si="42"/>
        <v>230.6197609680147</v>
      </c>
      <c r="O656" s="113">
        <f t="shared" si="43"/>
        <v>51658.826456835297</v>
      </c>
    </row>
    <row r="657" spans="1:15" x14ac:dyDescent="0.25">
      <c r="A657" s="13">
        <v>44448</v>
      </c>
      <c r="B657" s="97">
        <v>2087</v>
      </c>
      <c r="C657" t="s">
        <v>83</v>
      </c>
      <c r="D657" s="94" t="s">
        <v>466</v>
      </c>
      <c r="E657" t="s">
        <v>69</v>
      </c>
      <c r="F657" t="s">
        <v>566</v>
      </c>
      <c r="G657" s="50" t="s">
        <v>559</v>
      </c>
      <c r="H657" s="50">
        <v>2</v>
      </c>
      <c r="I657" s="100">
        <v>6.7391919697301583</v>
      </c>
      <c r="J657" s="52">
        <v>3834.68</v>
      </c>
      <c r="K657" s="67">
        <f t="shared" si="44"/>
        <v>53933.599410605872</v>
      </c>
      <c r="L657" s="95">
        <f>+VLOOKUP(E657,MARGEN!A:B,2,FALSE)</f>
        <v>0.1</v>
      </c>
      <c r="M657" s="112">
        <f t="shared" si="41"/>
        <v>5393.3599410605875</v>
      </c>
      <c r="N657" s="113">
        <f t="shared" si="42"/>
        <v>215.73439764242349</v>
      </c>
      <c r="O657" s="113">
        <f t="shared" si="43"/>
        <v>48324.505071902859</v>
      </c>
    </row>
    <row r="658" spans="1:15" x14ac:dyDescent="0.25">
      <c r="A658" s="13">
        <v>44448</v>
      </c>
      <c r="B658" s="51">
        <v>2087</v>
      </c>
      <c r="C658" s="66" t="s">
        <v>81</v>
      </c>
      <c r="D658" s="66" t="s">
        <v>458</v>
      </c>
      <c r="E658" t="s">
        <v>69</v>
      </c>
      <c r="F658" s="50" t="s">
        <v>562</v>
      </c>
      <c r="G658" s="50" t="s">
        <v>559</v>
      </c>
      <c r="H658" s="50">
        <v>2</v>
      </c>
      <c r="I658" s="100">
        <v>6.7391919697301583</v>
      </c>
      <c r="J658" s="52">
        <v>3834.68</v>
      </c>
      <c r="K658" s="67">
        <f t="shared" si="44"/>
        <v>53933.599410605872</v>
      </c>
      <c r="L658" s="95">
        <f>+VLOOKUP(E658,MARGEN!A:B,2,FALSE)</f>
        <v>0.1</v>
      </c>
      <c r="M658" s="112">
        <f t="shared" si="41"/>
        <v>5393.3599410605875</v>
      </c>
      <c r="N658" s="113">
        <f t="shared" si="42"/>
        <v>215.73439764242349</v>
      </c>
      <c r="O658" s="113">
        <f t="shared" si="43"/>
        <v>48324.505071902859</v>
      </c>
    </row>
    <row r="659" spans="1:15" x14ac:dyDescent="0.25">
      <c r="A659" s="13">
        <v>44448</v>
      </c>
      <c r="B659" s="97">
        <v>1751</v>
      </c>
      <c r="C659" t="s">
        <v>77</v>
      </c>
      <c r="D659" s="94" t="s">
        <v>474</v>
      </c>
      <c r="E659" t="s">
        <v>69</v>
      </c>
      <c r="F659" t="s">
        <v>558</v>
      </c>
      <c r="G659" s="50" t="s">
        <v>559</v>
      </c>
      <c r="H659" s="50">
        <v>2</v>
      </c>
      <c r="I659" s="100">
        <v>6.7391919697301583</v>
      </c>
      <c r="J659" s="52">
        <v>3834.68</v>
      </c>
      <c r="K659" s="67">
        <f t="shared" si="44"/>
        <v>45250.470804010954</v>
      </c>
      <c r="L659" s="95">
        <f>+VLOOKUP(E659,MARGEN!A:B,2,FALSE)</f>
        <v>0.1</v>
      </c>
      <c r="M659" s="112">
        <f t="shared" si="41"/>
        <v>4525.0470804010956</v>
      </c>
      <c r="N659" s="113">
        <f t="shared" si="42"/>
        <v>181.00188321604381</v>
      </c>
      <c r="O659" s="113">
        <f t="shared" si="43"/>
        <v>40544.421840393814</v>
      </c>
    </row>
    <row r="660" spans="1:15" x14ac:dyDescent="0.25">
      <c r="A660" s="13">
        <v>44449</v>
      </c>
      <c r="B660" s="97">
        <v>4583</v>
      </c>
      <c r="C660" s="88" t="s">
        <v>101</v>
      </c>
      <c r="D660" t="s">
        <v>483</v>
      </c>
      <c r="E660" t="s">
        <v>69</v>
      </c>
      <c r="F660" t="s">
        <v>566</v>
      </c>
      <c r="G660" s="50" t="s">
        <v>559</v>
      </c>
      <c r="H660" s="50">
        <v>2</v>
      </c>
      <c r="I660" s="100">
        <v>6.7391919697301583</v>
      </c>
      <c r="J660" s="52">
        <v>3834.68</v>
      </c>
      <c r="K660" s="67">
        <f t="shared" si="44"/>
        <v>118436.84048816803</v>
      </c>
      <c r="L660" s="95">
        <f>+VLOOKUP(E660,MARGEN!A:B,2,FALSE)</f>
        <v>0.1</v>
      </c>
      <c r="M660" s="112">
        <f t="shared" si="41"/>
        <v>11843.684048816804</v>
      </c>
      <c r="N660" s="113">
        <f t="shared" si="42"/>
        <v>473.74736195267212</v>
      </c>
      <c r="O660" s="113">
        <f t="shared" si="43"/>
        <v>106119.40907739855</v>
      </c>
    </row>
    <row r="661" spans="1:15" x14ac:dyDescent="0.25">
      <c r="A661" s="13">
        <v>44449</v>
      </c>
      <c r="B661" s="97">
        <v>2927</v>
      </c>
      <c r="C661" t="s">
        <v>89</v>
      </c>
      <c r="D661" t="s">
        <v>484</v>
      </c>
      <c r="E661" t="s">
        <v>69</v>
      </c>
      <c r="F661" t="s">
        <v>558</v>
      </c>
      <c r="G661" s="50" t="s">
        <v>574</v>
      </c>
      <c r="H661" s="50">
        <v>2</v>
      </c>
      <c r="I661" s="100">
        <v>6.7391919697301583</v>
      </c>
      <c r="J661" s="52">
        <v>3834.68</v>
      </c>
      <c r="K661" s="67">
        <f t="shared" si="44"/>
        <v>75641.420927093131</v>
      </c>
      <c r="L661" s="95">
        <f>+VLOOKUP(E661,MARGEN!A:B,2,FALSE)</f>
        <v>0.1</v>
      </c>
      <c r="M661" s="112">
        <f t="shared" si="41"/>
        <v>7564.1420927093131</v>
      </c>
      <c r="N661" s="113">
        <f t="shared" si="42"/>
        <v>302.56568370837255</v>
      </c>
      <c r="O661" s="113">
        <f t="shared" si="43"/>
        <v>67774.713150675452</v>
      </c>
    </row>
    <row r="662" spans="1:15" x14ac:dyDescent="0.25">
      <c r="A662" s="13">
        <v>44449</v>
      </c>
      <c r="B662" s="97">
        <v>2639</v>
      </c>
      <c r="C662" t="s">
        <v>86</v>
      </c>
      <c r="D662" s="94" t="s">
        <v>479</v>
      </c>
      <c r="E662" t="s">
        <v>69</v>
      </c>
      <c r="F662" t="s">
        <v>558</v>
      </c>
      <c r="G662" s="50" t="s">
        <v>559</v>
      </c>
      <c r="H662" s="50">
        <v>2</v>
      </c>
      <c r="I662" s="100">
        <v>6.7391919697301583</v>
      </c>
      <c r="J662" s="52">
        <v>3834.68</v>
      </c>
      <c r="K662" s="67">
        <f t="shared" si="44"/>
        <v>68198.739264297488</v>
      </c>
      <c r="L662" s="95">
        <f>+VLOOKUP(E662,MARGEN!A:B,2,FALSE)</f>
        <v>0.1</v>
      </c>
      <c r="M662" s="112">
        <f t="shared" si="41"/>
        <v>6819.8739264297492</v>
      </c>
      <c r="N662" s="113">
        <f t="shared" si="42"/>
        <v>272.79495705718995</v>
      </c>
      <c r="O662" s="113">
        <f t="shared" si="43"/>
        <v>61106.070380810554</v>
      </c>
    </row>
    <row r="663" spans="1:15" x14ac:dyDescent="0.25">
      <c r="A663" s="13">
        <v>44449</v>
      </c>
      <c r="B663" s="97">
        <v>2495</v>
      </c>
      <c r="C663" t="s">
        <v>239</v>
      </c>
      <c r="D663" s="94" t="s">
        <v>477</v>
      </c>
      <c r="E663" t="s">
        <v>69</v>
      </c>
      <c r="F663" t="s">
        <v>558</v>
      </c>
      <c r="G663" s="50" t="s">
        <v>559</v>
      </c>
      <c r="H663" s="50">
        <v>2</v>
      </c>
      <c r="I663" s="100">
        <v>6.7391919697301583</v>
      </c>
      <c r="J663" s="52">
        <v>3834.68</v>
      </c>
      <c r="K663" s="67">
        <f t="shared" si="44"/>
        <v>64477.398432899681</v>
      </c>
      <c r="L663" s="95">
        <f>+VLOOKUP(E663,MARGEN!A:B,2,FALSE)</f>
        <v>0.1</v>
      </c>
      <c r="M663" s="112">
        <f t="shared" si="41"/>
        <v>6447.7398432899681</v>
      </c>
      <c r="N663" s="113">
        <f t="shared" si="42"/>
        <v>257.9095937315987</v>
      </c>
      <c r="O663" s="113">
        <f t="shared" si="43"/>
        <v>57771.748995878108</v>
      </c>
    </row>
    <row r="664" spans="1:15" x14ac:dyDescent="0.25">
      <c r="A664" s="13">
        <v>44449</v>
      </c>
      <c r="B664" s="97">
        <v>2375</v>
      </c>
      <c r="C664" t="s">
        <v>237</v>
      </c>
      <c r="D664" s="94" t="s">
        <v>480</v>
      </c>
      <c r="E664" t="s">
        <v>69</v>
      </c>
      <c r="F664" t="s">
        <v>558</v>
      </c>
      <c r="G664" s="50" t="s">
        <v>559</v>
      </c>
      <c r="H664" s="50">
        <v>2</v>
      </c>
      <c r="I664" s="100">
        <v>6.7391919697301583</v>
      </c>
      <c r="J664" s="52">
        <v>3834.68</v>
      </c>
      <c r="K664" s="67">
        <f t="shared" si="44"/>
        <v>61376.2810734015</v>
      </c>
      <c r="L664" s="95">
        <f>+VLOOKUP(E664,MARGEN!A:B,2,FALSE)</f>
        <v>0.1</v>
      </c>
      <c r="M664" s="112">
        <f t="shared" si="41"/>
        <v>6137.6281073401506</v>
      </c>
      <c r="N664" s="113">
        <f t="shared" si="42"/>
        <v>245.505124293606</v>
      </c>
      <c r="O664" s="113">
        <f t="shared" si="43"/>
        <v>54993.14784176775</v>
      </c>
    </row>
    <row r="665" spans="1:15" x14ac:dyDescent="0.25">
      <c r="A665" s="13">
        <v>44449</v>
      </c>
      <c r="B665" s="97">
        <v>2159</v>
      </c>
      <c r="C665" t="s">
        <v>83</v>
      </c>
      <c r="D665" s="94" t="s">
        <v>466</v>
      </c>
      <c r="E665" t="s">
        <v>69</v>
      </c>
      <c r="F665" t="s">
        <v>558</v>
      </c>
      <c r="G665" s="50" t="s">
        <v>559</v>
      </c>
      <c r="H665" s="50">
        <v>2</v>
      </c>
      <c r="I665" s="100">
        <v>6.7391919697301583</v>
      </c>
      <c r="J665" s="52">
        <v>3834.68</v>
      </c>
      <c r="K665" s="67">
        <f t="shared" si="44"/>
        <v>55794.269826304779</v>
      </c>
      <c r="L665" s="95">
        <f>+VLOOKUP(E665,MARGEN!A:B,2,FALSE)</f>
        <v>0.1</v>
      </c>
      <c r="M665" s="112">
        <f t="shared" si="41"/>
        <v>5579.4269826304781</v>
      </c>
      <c r="N665" s="113">
        <f t="shared" si="42"/>
        <v>223.17707930521911</v>
      </c>
      <c r="O665" s="113">
        <f t="shared" si="43"/>
        <v>49991.665764369078</v>
      </c>
    </row>
    <row r="666" spans="1:15" x14ac:dyDescent="0.25">
      <c r="A666" s="13">
        <v>44449</v>
      </c>
      <c r="B666" s="97">
        <v>2087</v>
      </c>
      <c r="C666" t="s">
        <v>81</v>
      </c>
      <c r="D666" s="94" t="s">
        <v>458</v>
      </c>
      <c r="E666" t="s">
        <v>69</v>
      </c>
      <c r="F666" t="s">
        <v>558</v>
      </c>
      <c r="G666" s="50" t="s">
        <v>574</v>
      </c>
      <c r="H666" s="50">
        <v>2</v>
      </c>
      <c r="I666" s="100">
        <v>6.7391919697301583</v>
      </c>
      <c r="J666" s="52">
        <v>3834.68</v>
      </c>
      <c r="K666" s="67">
        <f t="shared" si="44"/>
        <v>53933.599410605872</v>
      </c>
      <c r="L666" s="95">
        <f>+VLOOKUP(E666,MARGEN!A:B,2,FALSE)</f>
        <v>0.1</v>
      </c>
      <c r="M666" s="112">
        <f t="shared" si="41"/>
        <v>5393.3599410605875</v>
      </c>
      <c r="N666" s="113">
        <f t="shared" si="42"/>
        <v>215.73439764242349</v>
      </c>
      <c r="O666" s="113">
        <f t="shared" si="43"/>
        <v>48324.505071902859</v>
      </c>
    </row>
    <row r="667" spans="1:15" x14ac:dyDescent="0.25">
      <c r="A667" s="13">
        <v>44450</v>
      </c>
      <c r="B667" s="97">
        <v>4511</v>
      </c>
      <c r="C667" t="s">
        <v>101</v>
      </c>
      <c r="D667" s="94" t="s">
        <v>483</v>
      </c>
      <c r="E667" t="s">
        <v>69</v>
      </c>
      <c r="F667" t="s">
        <v>562</v>
      </c>
      <c r="G667" s="50" t="s">
        <v>559</v>
      </c>
      <c r="H667" s="50">
        <v>2</v>
      </c>
      <c r="I667" s="100">
        <v>6.7391919697301583</v>
      </c>
      <c r="J667" s="52">
        <v>3834.68</v>
      </c>
      <c r="K667" s="67">
        <f t="shared" si="44"/>
        <v>116576.17007246913</v>
      </c>
      <c r="L667" s="95">
        <f>+VLOOKUP(E667,MARGEN!A:B,2,FALSE)</f>
        <v>0.1</v>
      </c>
      <c r="M667" s="112">
        <f t="shared" si="41"/>
        <v>11657.617007246914</v>
      </c>
      <c r="N667" s="113">
        <f t="shared" si="42"/>
        <v>466.30468028987656</v>
      </c>
      <c r="O667" s="113">
        <f t="shared" si="43"/>
        <v>104452.24838493235</v>
      </c>
    </row>
    <row r="668" spans="1:15" x14ac:dyDescent="0.25">
      <c r="A668" s="13">
        <v>44450</v>
      </c>
      <c r="B668" s="97">
        <v>2999</v>
      </c>
      <c r="C668" t="s">
        <v>89</v>
      </c>
      <c r="D668" s="94" t="s">
        <v>484</v>
      </c>
      <c r="E668" t="s">
        <v>69</v>
      </c>
      <c r="F668" t="s">
        <v>562</v>
      </c>
      <c r="G668" s="50" t="s">
        <v>574</v>
      </c>
      <c r="H668" s="50">
        <v>2</v>
      </c>
      <c r="I668" s="100">
        <v>6.7391919697301583</v>
      </c>
      <c r="J668" s="52">
        <v>3834.68</v>
      </c>
      <c r="K668" s="67">
        <f t="shared" si="44"/>
        <v>77502.091342792031</v>
      </c>
      <c r="L668" s="95">
        <f>+VLOOKUP(E668,MARGEN!A:B,2,FALSE)</f>
        <v>0.1</v>
      </c>
      <c r="M668" s="112">
        <f t="shared" si="41"/>
        <v>7750.2091342792037</v>
      </c>
      <c r="N668" s="113">
        <f t="shared" si="42"/>
        <v>310.00836537116811</v>
      </c>
      <c r="O668" s="113">
        <f t="shared" si="43"/>
        <v>69441.873843141671</v>
      </c>
    </row>
    <row r="669" spans="1:15" x14ac:dyDescent="0.25">
      <c r="A669" s="13">
        <v>44450</v>
      </c>
      <c r="B669" s="97">
        <v>2687</v>
      </c>
      <c r="C669" t="s">
        <v>86</v>
      </c>
      <c r="D669" t="s">
        <v>479</v>
      </c>
      <c r="E669" t="s">
        <v>69</v>
      </c>
      <c r="F669" t="s">
        <v>558</v>
      </c>
      <c r="G669" s="50" t="s">
        <v>559</v>
      </c>
      <c r="H669" s="50">
        <v>2</v>
      </c>
      <c r="I669" s="100">
        <v>6.7391919697301583</v>
      </c>
      <c r="J669" s="52">
        <v>3834.68</v>
      </c>
      <c r="K669" s="67">
        <f t="shared" si="44"/>
        <v>69439.186208096769</v>
      </c>
      <c r="L669" s="95">
        <f>+VLOOKUP(E669,MARGEN!A:B,2,FALSE)</f>
        <v>0.1</v>
      </c>
      <c r="M669" s="112">
        <f t="shared" si="41"/>
        <v>6943.9186208096771</v>
      </c>
      <c r="N669" s="113">
        <f t="shared" si="42"/>
        <v>277.75674483238708</v>
      </c>
      <c r="O669" s="113">
        <f t="shared" si="43"/>
        <v>62217.5108424547</v>
      </c>
    </row>
    <row r="670" spans="1:15" x14ac:dyDescent="0.25">
      <c r="A670" s="13">
        <v>44450</v>
      </c>
      <c r="B670" s="97">
        <v>2591</v>
      </c>
      <c r="C670" t="s">
        <v>239</v>
      </c>
      <c r="D670" s="94" t="s">
        <v>477</v>
      </c>
      <c r="E670" t="s">
        <v>69</v>
      </c>
      <c r="F670" t="s">
        <v>558</v>
      </c>
      <c r="G670" s="50" t="s">
        <v>559</v>
      </c>
      <c r="H670" s="50">
        <v>2</v>
      </c>
      <c r="I670" s="100">
        <v>6.7391919697301583</v>
      </c>
      <c r="J670" s="52">
        <v>3834.68</v>
      </c>
      <c r="K670" s="67">
        <f t="shared" si="44"/>
        <v>66958.292320498222</v>
      </c>
      <c r="L670" s="95">
        <f>+VLOOKUP(E670,MARGEN!A:B,2,FALSE)</f>
        <v>0.1</v>
      </c>
      <c r="M670" s="112">
        <f t="shared" si="41"/>
        <v>6695.8292320498222</v>
      </c>
      <c r="N670" s="113">
        <f t="shared" si="42"/>
        <v>267.83316928199287</v>
      </c>
      <c r="O670" s="113">
        <f t="shared" si="43"/>
        <v>59994.629919166407</v>
      </c>
    </row>
    <row r="671" spans="1:15" x14ac:dyDescent="0.25">
      <c r="A671" s="13">
        <v>44450</v>
      </c>
      <c r="B671" s="97">
        <v>2375</v>
      </c>
      <c r="C671" t="s">
        <v>237</v>
      </c>
      <c r="D671" s="94" t="s">
        <v>480</v>
      </c>
      <c r="E671" t="s">
        <v>69</v>
      </c>
      <c r="F671" t="s">
        <v>558</v>
      </c>
      <c r="G671" s="50" t="s">
        <v>559</v>
      </c>
      <c r="H671" s="50">
        <v>2</v>
      </c>
      <c r="I671" s="100">
        <v>6.7391919697301583</v>
      </c>
      <c r="J671" s="52">
        <v>3834.68</v>
      </c>
      <c r="K671" s="67">
        <f t="shared" si="44"/>
        <v>61376.2810734015</v>
      </c>
      <c r="L671" s="95">
        <f>+VLOOKUP(E671,MARGEN!A:B,2,FALSE)</f>
        <v>0.1</v>
      </c>
      <c r="M671" s="112">
        <f t="shared" si="41"/>
        <v>6137.6281073401506</v>
      </c>
      <c r="N671" s="113">
        <f t="shared" si="42"/>
        <v>245.505124293606</v>
      </c>
      <c r="O671" s="113">
        <f t="shared" si="43"/>
        <v>54993.14784176775</v>
      </c>
    </row>
    <row r="672" spans="1:15" x14ac:dyDescent="0.25">
      <c r="A672" s="13">
        <v>44450</v>
      </c>
      <c r="B672" s="97">
        <v>2207</v>
      </c>
      <c r="C672" t="s">
        <v>83</v>
      </c>
      <c r="D672" s="94" t="s">
        <v>466</v>
      </c>
      <c r="E672" t="s">
        <v>69</v>
      </c>
      <c r="F672" t="s">
        <v>558</v>
      </c>
      <c r="G672" s="50" t="s">
        <v>559</v>
      </c>
      <c r="H672" s="50">
        <v>2</v>
      </c>
      <c r="I672" s="100">
        <v>6.7391919697301583</v>
      </c>
      <c r="J672" s="52">
        <v>3834.68</v>
      </c>
      <c r="K672" s="67">
        <f t="shared" si="44"/>
        <v>57034.716770104053</v>
      </c>
      <c r="L672" s="95">
        <f>+VLOOKUP(E672,MARGEN!A:B,2,FALSE)</f>
        <v>0.1</v>
      </c>
      <c r="M672" s="112">
        <f t="shared" si="41"/>
        <v>5703.471677010406</v>
      </c>
      <c r="N672" s="113">
        <f t="shared" si="42"/>
        <v>228.13886708041622</v>
      </c>
      <c r="O672" s="113">
        <f t="shared" si="43"/>
        <v>51103.106226013231</v>
      </c>
    </row>
    <row r="673" spans="1:15" x14ac:dyDescent="0.25">
      <c r="A673" s="13">
        <v>44450</v>
      </c>
      <c r="B673" s="97">
        <v>2063</v>
      </c>
      <c r="C673" t="s">
        <v>81</v>
      </c>
      <c r="D673" t="s">
        <v>458</v>
      </c>
      <c r="E673" t="s">
        <v>69</v>
      </c>
      <c r="F673" t="s">
        <v>558</v>
      </c>
      <c r="G673" s="50" t="s">
        <v>574</v>
      </c>
      <c r="H673" s="50">
        <v>2</v>
      </c>
      <c r="I673" s="100">
        <v>6.7391919697301583</v>
      </c>
      <c r="J673" s="52">
        <v>3834.68</v>
      </c>
      <c r="K673" s="67">
        <f t="shared" si="44"/>
        <v>53313.375938706224</v>
      </c>
      <c r="L673" s="95">
        <f>+VLOOKUP(E673,MARGEN!A:B,2,FALSE)</f>
        <v>0.1</v>
      </c>
      <c r="M673" s="112">
        <f t="shared" si="41"/>
        <v>5331.3375938706231</v>
      </c>
      <c r="N673" s="113">
        <f t="shared" si="42"/>
        <v>213.25350375482489</v>
      </c>
      <c r="O673" s="113">
        <f t="shared" si="43"/>
        <v>47768.784841080778</v>
      </c>
    </row>
    <row r="674" spans="1:15" x14ac:dyDescent="0.25">
      <c r="A674" s="13">
        <v>44451</v>
      </c>
      <c r="B674" s="97">
        <v>4511</v>
      </c>
      <c r="C674" t="s">
        <v>101</v>
      </c>
      <c r="D674" s="94" t="s">
        <v>483</v>
      </c>
      <c r="E674" t="s">
        <v>69</v>
      </c>
      <c r="F674" t="s">
        <v>566</v>
      </c>
      <c r="G674" s="50" t="s">
        <v>559</v>
      </c>
      <c r="H674" s="50">
        <v>2</v>
      </c>
      <c r="I674" s="100">
        <v>6.7391919697301583</v>
      </c>
      <c r="J674" s="52">
        <v>3834.68</v>
      </c>
      <c r="K674" s="67">
        <f t="shared" si="44"/>
        <v>116576.17007246913</v>
      </c>
      <c r="L674" s="95">
        <f>+VLOOKUP(E674,MARGEN!A:B,2,FALSE)</f>
        <v>0.1</v>
      </c>
      <c r="M674" s="112">
        <f t="shared" si="41"/>
        <v>11657.617007246914</v>
      </c>
      <c r="N674" s="113">
        <f t="shared" si="42"/>
        <v>466.30468028987656</v>
      </c>
      <c r="O674" s="113">
        <f t="shared" si="43"/>
        <v>104452.24838493235</v>
      </c>
    </row>
    <row r="675" spans="1:15" x14ac:dyDescent="0.25">
      <c r="A675" s="13">
        <v>44451</v>
      </c>
      <c r="B675" s="97">
        <v>2999</v>
      </c>
      <c r="C675" t="s">
        <v>89</v>
      </c>
      <c r="D675" t="s">
        <v>484</v>
      </c>
      <c r="E675" t="s">
        <v>69</v>
      </c>
      <c r="F675" t="s">
        <v>562</v>
      </c>
      <c r="G675" s="50" t="s">
        <v>574</v>
      </c>
      <c r="H675" s="50">
        <v>2</v>
      </c>
      <c r="I675" s="100">
        <v>6.7391919697301583</v>
      </c>
      <c r="J675" s="52">
        <v>3834.68</v>
      </c>
      <c r="K675" s="67">
        <f t="shared" si="44"/>
        <v>77502.091342792031</v>
      </c>
      <c r="L675" s="95">
        <f>+VLOOKUP(E675,MARGEN!A:B,2,FALSE)</f>
        <v>0.1</v>
      </c>
      <c r="M675" s="112">
        <f t="shared" si="41"/>
        <v>7750.2091342792037</v>
      </c>
      <c r="N675" s="113">
        <f t="shared" si="42"/>
        <v>310.00836537116811</v>
      </c>
      <c r="O675" s="113">
        <f t="shared" si="43"/>
        <v>69441.873843141671</v>
      </c>
    </row>
    <row r="676" spans="1:15" x14ac:dyDescent="0.25">
      <c r="A676" s="13">
        <v>44451</v>
      </c>
      <c r="B676" s="97">
        <v>2663</v>
      </c>
      <c r="C676" t="s">
        <v>86</v>
      </c>
      <c r="D676" s="94" t="s">
        <v>479</v>
      </c>
      <c r="E676" t="s">
        <v>69</v>
      </c>
      <c r="F676" t="s">
        <v>562</v>
      </c>
      <c r="G676" s="50" t="s">
        <v>559</v>
      </c>
      <c r="H676" s="50">
        <v>2</v>
      </c>
      <c r="I676" s="100">
        <v>6.7391919697301583</v>
      </c>
      <c r="J676" s="52">
        <v>3834.68</v>
      </c>
      <c r="K676" s="67">
        <f t="shared" si="44"/>
        <v>68818.962736197136</v>
      </c>
      <c r="L676" s="95">
        <f>+VLOOKUP(E676,MARGEN!A:B,2,FALSE)</f>
        <v>0.1</v>
      </c>
      <c r="M676" s="112">
        <f t="shared" si="41"/>
        <v>6881.8962736197136</v>
      </c>
      <c r="N676" s="113">
        <f t="shared" si="42"/>
        <v>275.27585094478854</v>
      </c>
      <c r="O676" s="113">
        <f t="shared" si="43"/>
        <v>61661.790611632634</v>
      </c>
    </row>
    <row r="677" spans="1:15" x14ac:dyDescent="0.25">
      <c r="A677" s="13">
        <v>44451</v>
      </c>
      <c r="B677" s="97">
        <v>2639</v>
      </c>
      <c r="C677" t="s">
        <v>239</v>
      </c>
      <c r="D677" s="94" t="s">
        <v>477</v>
      </c>
      <c r="E677" t="s">
        <v>69</v>
      </c>
      <c r="F677" t="s">
        <v>562</v>
      </c>
      <c r="G677" s="50" t="s">
        <v>559</v>
      </c>
      <c r="H677" s="50">
        <v>2</v>
      </c>
      <c r="I677" s="100">
        <v>6.7391919697301583</v>
      </c>
      <c r="J677" s="52">
        <v>3834.68</v>
      </c>
      <c r="K677" s="67">
        <f t="shared" si="44"/>
        <v>68198.739264297488</v>
      </c>
      <c r="L677" s="95">
        <f>+VLOOKUP(E677,MARGEN!A:B,2,FALSE)</f>
        <v>0.1</v>
      </c>
      <c r="M677" s="112">
        <f t="shared" si="41"/>
        <v>6819.8739264297492</v>
      </c>
      <c r="N677" s="113">
        <f t="shared" si="42"/>
        <v>272.79495705718995</v>
      </c>
      <c r="O677" s="113">
        <f t="shared" si="43"/>
        <v>61106.070380810554</v>
      </c>
    </row>
    <row r="678" spans="1:15" x14ac:dyDescent="0.25">
      <c r="A678" s="13">
        <v>44451</v>
      </c>
      <c r="B678" s="97">
        <v>2159</v>
      </c>
      <c r="C678" t="s">
        <v>83</v>
      </c>
      <c r="D678" s="94" t="s">
        <v>466</v>
      </c>
      <c r="E678" t="s">
        <v>69</v>
      </c>
      <c r="F678" t="s">
        <v>562</v>
      </c>
      <c r="G678" s="50" t="s">
        <v>559</v>
      </c>
      <c r="H678" s="50">
        <v>2</v>
      </c>
      <c r="I678" s="100">
        <v>6.7391919697301583</v>
      </c>
      <c r="J678" s="52">
        <v>3834.68</v>
      </c>
      <c r="K678" s="67">
        <f t="shared" si="44"/>
        <v>55794.269826304779</v>
      </c>
      <c r="L678" s="95">
        <f>+VLOOKUP(E678,MARGEN!A:B,2,FALSE)</f>
        <v>0.1</v>
      </c>
      <c r="M678" s="112">
        <f t="shared" si="41"/>
        <v>5579.4269826304781</v>
      </c>
      <c r="N678" s="113">
        <f t="shared" si="42"/>
        <v>223.17707930521911</v>
      </c>
      <c r="O678" s="113">
        <f t="shared" si="43"/>
        <v>49991.665764369078</v>
      </c>
    </row>
    <row r="679" spans="1:15" x14ac:dyDescent="0.25">
      <c r="A679" s="13">
        <v>44451</v>
      </c>
      <c r="B679" s="97">
        <v>2063</v>
      </c>
      <c r="C679" t="s">
        <v>81</v>
      </c>
      <c r="D679" t="s">
        <v>458</v>
      </c>
      <c r="E679" t="s">
        <v>69</v>
      </c>
      <c r="F679" t="s">
        <v>562</v>
      </c>
      <c r="G679" s="50" t="s">
        <v>574</v>
      </c>
      <c r="H679" s="50">
        <v>2</v>
      </c>
      <c r="I679" s="100">
        <v>6.7391919697301583</v>
      </c>
      <c r="J679" s="52">
        <v>3834.68</v>
      </c>
      <c r="K679" s="67">
        <f t="shared" si="44"/>
        <v>53313.375938706224</v>
      </c>
      <c r="L679" s="95">
        <f>+VLOOKUP(E679,MARGEN!A:B,2,FALSE)</f>
        <v>0.1</v>
      </c>
      <c r="M679" s="112">
        <f t="shared" si="41"/>
        <v>5331.3375938706231</v>
      </c>
      <c r="N679" s="113">
        <f t="shared" si="42"/>
        <v>213.25350375482489</v>
      </c>
      <c r="O679" s="113">
        <f t="shared" si="43"/>
        <v>47768.784841080778</v>
      </c>
    </row>
    <row r="680" spans="1:15" x14ac:dyDescent="0.25">
      <c r="A680" s="13">
        <v>44452</v>
      </c>
      <c r="B680" s="97">
        <v>4271</v>
      </c>
      <c r="C680" t="s">
        <v>101</v>
      </c>
      <c r="D680" s="94" t="s">
        <v>483</v>
      </c>
      <c r="E680" t="s">
        <v>69</v>
      </c>
      <c r="F680" t="s">
        <v>566</v>
      </c>
      <c r="G680" s="50" t="s">
        <v>559</v>
      </c>
      <c r="H680" s="50">
        <v>2</v>
      </c>
      <c r="I680" s="100">
        <v>6.7391919697301583</v>
      </c>
      <c r="J680" s="52">
        <v>3834.68</v>
      </c>
      <c r="K680" s="67">
        <f t="shared" si="44"/>
        <v>110373.93535347277</v>
      </c>
      <c r="L680" s="95">
        <f>+VLOOKUP(E680,MARGEN!A:B,2,FALSE)</f>
        <v>0.1</v>
      </c>
      <c r="M680" s="112">
        <f t="shared" si="41"/>
        <v>11037.393535347277</v>
      </c>
      <c r="N680" s="113">
        <f t="shared" si="42"/>
        <v>441.4957414138911</v>
      </c>
      <c r="O680" s="113">
        <f t="shared" si="43"/>
        <v>98895.046076711602</v>
      </c>
    </row>
    <row r="681" spans="1:15" x14ac:dyDescent="0.25">
      <c r="A681" s="13">
        <v>44452</v>
      </c>
      <c r="B681" s="97">
        <v>3047</v>
      </c>
      <c r="C681" t="s">
        <v>89</v>
      </c>
      <c r="D681" t="s">
        <v>484</v>
      </c>
      <c r="E681" t="s">
        <v>69</v>
      </c>
      <c r="F681" t="s">
        <v>558</v>
      </c>
      <c r="G681" s="50" t="s">
        <v>574</v>
      </c>
      <c r="H681" s="50">
        <v>2</v>
      </c>
      <c r="I681" s="100">
        <v>6.7391919697301583</v>
      </c>
      <c r="J681" s="52">
        <v>3834.68</v>
      </c>
      <c r="K681" s="67">
        <f t="shared" si="44"/>
        <v>78742.538286591327</v>
      </c>
      <c r="L681" s="95">
        <f>+VLOOKUP(E681,MARGEN!A:B,2,FALSE)</f>
        <v>0.1</v>
      </c>
      <c r="M681" s="112">
        <f t="shared" si="41"/>
        <v>7874.2538286591334</v>
      </c>
      <c r="N681" s="113">
        <f t="shared" si="42"/>
        <v>314.97015314636531</v>
      </c>
      <c r="O681" s="113">
        <f t="shared" si="43"/>
        <v>70553.314304785832</v>
      </c>
    </row>
    <row r="682" spans="1:15" x14ac:dyDescent="0.25">
      <c r="A682" s="13">
        <v>44452</v>
      </c>
      <c r="B682" s="97">
        <v>2711</v>
      </c>
      <c r="C682" t="s">
        <v>86</v>
      </c>
      <c r="D682" s="94" t="s">
        <v>479</v>
      </c>
      <c r="E682" t="s">
        <v>69</v>
      </c>
      <c r="F682" t="s">
        <v>558</v>
      </c>
      <c r="G682" s="50" t="s">
        <v>559</v>
      </c>
      <c r="H682" s="50">
        <v>2</v>
      </c>
      <c r="I682" s="100">
        <v>6.7391919697301583</v>
      </c>
      <c r="J682" s="52">
        <v>3834.68</v>
      </c>
      <c r="K682" s="67">
        <f t="shared" si="44"/>
        <v>70059.409679996417</v>
      </c>
      <c r="L682" s="95">
        <f>+VLOOKUP(E682,MARGEN!A:B,2,FALSE)</f>
        <v>0.1</v>
      </c>
      <c r="M682" s="112">
        <f t="shared" si="41"/>
        <v>7005.9409679996425</v>
      </c>
      <c r="N682" s="113">
        <f t="shared" si="42"/>
        <v>280.23763871998568</v>
      </c>
      <c r="O682" s="113">
        <f t="shared" si="43"/>
        <v>62773.231073276787</v>
      </c>
    </row>
    <row r="683" spans="1:15" x14ac:dyDescent="0.25">
      <c r="A683" s="13">
        <v>44452</v>
      </c>
      <c r="B683" s="97">
        <v>2639</v>
      </c>
      <c r="C683" t="s">
        <v>239</v>
      </c>
      <c r="D683" s="94" t="s">
        <v>477</v>
      </c>
      <c r="E683" t="s">
        <v>69</v>
      </c>
      <c r="F683" t="s">
        <v>566</v>
      </c>
      <c r="G683" s="50" t="s">
        <v>559</v>
      </c>
      <c r="H683" s="50">
        <v>2</v>
      </c>
      <c r="I683" s="100">
        <v>6.7391919697301583</v>
      </c>
      <c r="J683" s="52">
        <v>3834.68</v>
      </c>
      <c r="K683" s="67">
        <f t="shared" si="44"/>
        <v>68198.739264297488</v>
      </c>
      <c r="L683" s="95">
        <f>+VLOOKUP(E683,MARGEN!A:B,2,FALSE)</f>
        <v>0.1</v>
      </c>
      <c r="M683" s="112">
        <f t="shared" si="41"/>
        <v>6819.8739264297492</v>
      </c>
      <c r="N683" s="113">
        <f t="shared" si="42"/>
        <v>272.79495705718995</v>
      </c>
      <c r="O683" s="113">
        <f t="shared" si="43"/>
        <v>61106.070380810554</v>
      </c>
    </row>
    <row r="684" spans="1:15" x14ac:dyDescent="0.25">
      <c r="A684" s="13">
        <v>44452</v>
      </c>
      <c r="B684" s="97">
        <v>2135</v>
      </c>
      <c r="C684" t="s">
        <v>83</v>
      </c>
      <c r="D684" t="s">
        <v>466</v>
      </c>
      <c r="E684" t="s">
        <v>69</v>
      </c>
      <c r="F684" t="s">
        <v>566</v>
      </c>
      <c r="G684" s="50" t="s">
        <v>559</v>
      </c>
      <c r="H684" s="50">
        <v>2</v>
      </c>
      <c r="I684" s="100">
        <v>6.7391919697301583</v>
      </c>
      <c r="J684" s="52">
        <v>3834.68</v>
      </c>
      <c r="K684" s="67">
        <f t="shared" si="44"/>
        <v>55174.046354405145</v>
      </c>
      <c r="L684" s="95">
        <f>+VLOOKUP(E684,MARGEN!A:B,2,FALSE)</f>
        <v>0.1</v>
      </c>
      <c r="M684" s="112">
        <f t="shared" si="41"/>
        <v>5517.4046354405145</v>
      </c>
      <c r="N684" s="113">
        <f t="shared" si="42"/>
        <v>220.69618541762057</v>
      </c>
      <c r="O684" s="113">
        <f t="shared" si="43"/>
        <v>49435.945533547012</v>
      </c>
    </row>
    <row r="685" spans="1:15" x14ac:dyDescent="0.25">
      <c r="A685" s="13">
        <v>44452</v>
      </c>
      <c r="B685" s="97">
        <v>2087</v>
      </c>
      <c r="C685" t="s">
        <v>81</v>
      </c>
      <c r="D685" t="s">
        <v>458</v>
      </c>
      <c r="E685" t="s">
        <v>69</v>
      </c>
      <c r="F685" t="s">
        <v>558</v>
      </c>
      <c r="G685" s="50" t="s">
        <v>574</v>
      </c>
      <c r="H685" s="50">
        <v>2</v>
      </c>
      <c r="I685" s="100">
        <v>6.7391919697301583</v>
      </c>
      <c r="J685" s="52">
        <v>3834.68</v>
      </c>
      <c r="K685" s="67">
        <f t="shared" si="44"/>
        <v>53933.599410605872</v>
      </c>
      <c r="L685" s="95">
        <f>+VLOOKUP(E685,MARGEN!A:B,2,FALSE)</f>
        <v>0.1</v>
      </c>
      <c r="M685" s="112">
        <f t="shared" si="41"/>
        <v>5393.3599410605875</v>
      </c>
      <c r="N685" s="113">
        <f t="shared" si="42"/>
        <v>215.73439764242349</v>
      </c>
      <c r="O685" s="113">
        <f t="shared" si="43"/>
        <v>48324.505071902859</v>
      </c>
    </row>
    <row r="686" spans="1:15" x14ac:dyDescent="0.25">
      <c r="A686" s="13">
        <v>44453</v>
      </c>
      <c r="B686" s="51">
        <v>4487</v>
      </c>
      <c r="C686" s="66" t="s">
        <v>101</v>
      </c>
      <c r="D686" s="66" t="s">
        <v>483</v>
      </c>
      <c r="E686" t="s">
        <v>69</v>
      </c>
      <c r="F686" s="50" t="s">
        <v>558</v>
      </c>
      <c r="G686" s="50" t="s">
        <v>559</v>
      </c>
      <c r="H686" s="50">
        <v>2</v>
      </c>
      <c r="I686" s="100">
        <v>6.7391919697301583</v>
      </c>
      <c r="J686" s="52">
        <v>3834.68</v>
      </c>
      <c r="K686" s="67">
        <f t="shared" si="44"/>
        <v>115955.94660056948</v>
      </c>
      <c r="L686" s="95">
        <f>+VLOOKUP(E686,MARGEN!A:B,2,FALSE)</f>
        <v>0.1</v>
      </c>
      <c r="M686" s="112">
        <f t="shared" si="41"/>
        <v>11595.59466005695</v>
      </c>
      <c r="N686" s="113">
        <f t="shared" si="42"/>
        <v>463.82378640227796</v>
      </c>
      <c r="O686" s="113">
        <f t="shared" si="43"/>
        <v>103896.52815411026</v>
      </c>
    </row>
    <row r="687" spans="1:15" x14ac:dyDescent="0.25">
      <c r="A687" s="13">
        <v>44453</v>
      </c>
      <c r="B687" s="97">
        <v>2999</v>
      </c>
      <c r="C687" t="s">
        <v>89</v>
      </c>
      <c r="D687" t="s">
        <v>484</v>
      </c>
      <c r="E687" t="s">
        <v>69</v>
      </c>
      <c r="F687" t="s">
        <v>558</v>
      </c>
      <c r="G687" s="50" t="s">
        <v>574</v>
      </c>
      <c r="H687" s="50">
        <v>2</v>
      </c>
      <c r="I687" s="100">
        <v>6.7391919697301583</v>
      </c>
      <c r="J687" s="52">
        <v>3834.68</v>
      </c>
      <c r="K687" s="67">
        <f t="shared" si="44"/>
        <v>77502.091342792031</v>
      </c>
      <c r="L687" s="95">
        <f>+VLOOKUP(E687,MARGEN!A:B,2,FALSE)</f>
        <v>0.1</v>
      </c>
      <c r="M687" s="112">
        <f t="shared" si="41"/>
        <v>7750.2091342792037</v>
      </c>
      <c r="N687" s="113">
        <f t="shared" si="42"/>
        <v>310.00836537116811</v>
      </c>
      <c r="O687" s="113">
        <f t="shared" si="43"/>
        <v>69441.873843141671</v>
      </c>
    </row>
    <row r="688" spans="1:15" x14ac:dyDescent="0.25">
      <c r="A688" s="13">
        <v>44453</v>
      </c>
      <c r="B688" s="97">
        <v>2639</v>
      </c>
      <c r="C688" t="s">
        <v>239</v>
      </c>
      <c r="D688" s="94" t="s">
        <v>477</v>
      </c>
      <c r="E688" t="s">
        <v>69</v>
      </c>
      <c r="F688" t="s">
        <v>566</v>
      </c>
      <c r="G688" s="50" t="s">
        <v>559</v>
      </c>
      <c r="H688" s="50">
        <v>2</v>
      </c>
      <c r="I688" s="100">
        <v>6.7391919697301583</v>
      </c>
      <c r="J688" s="52">
        <v>3834.68</v>
      </c>
      <c r="K688" s="67">
        <f t="shared" si="44"/>
        <v>68198.739264297488</v>
      </c>
      <c r="L688" s="95">
        <f>+VLOOKUP(E688,MARGEN!A:B,2,FALSE)</f>
        <v>0.1</v>
      </c>
      <c r="M688" s="112">
        <f t="shared" si="41"/>
        <v>6819.8739264297492</v>
      </c>
      <c r="N688" s="113">
        <f t="shared" si="42"/>
        <v>272.79495705718995</v>
      </c>
      <c r="O688" s="113">
        <f t="shared" si="43"/>
        <v>61106.070380810554</v>
      </c>
    </row>
    <row r="689" spans="1:15" x14ac:dyDescent="0.25">
      <c r="A689" s="13">
        <v>44453</v>
      </c>
      <c r="B689" s="97">
        <v>2135</v>
      </c>
      <c r="C689" t="s">
        <v>83</v>
      </c>
      <c r="D689" s="94" t="s">
        <v>466</v>
      </c>
      <c r="E689" t="s">
        <v>69</v>
      </c>
      <c r="F689" t="s">
        <v>562</v>
      </c>
      <c r="G689" s="50" t="s">
        <v>559</v>
      </c>
      <c r="H689" s="50">
        <v>2</v>
      </c>
      <c r="I689" s="100">
        <v>6.7391919697301583</v>
      </c>
      <c r="J689" s="52">
        <v>3834.68</v>
      </c>
      <c r="K689" s="67">
        <f t="shared" si="44"/>
        <v>55174.046354405145</v>
      </c>
      <c r="L689" s="95">
        <f>+VLOOKUP(E689,MARGEN!A:B,2,FALSE)</f>
        <v>0.1</v>
      </c>
      <c r="M689" s="112">
        <f t="shared" si="41"/>
        <v>5517.4046354405145</v>
      </c>
      <c r="N689" s="113">
        <f t="shared" si="42"/>
        <v>220.69618541762057</v>
      </c>
      <c r="O689" s="113">
        <f t="shared" si="43"/>
        <v>49435.945533547012</v>
      </c>
    </row>
    <row r="690" spans="1:15" x14ac:dyDescent="0.25">
      <c r="A690" s="13">
        <v>44453</v>
      </c>
      <c r="B690" s="97">
        <v>2087</v>
      </c>
      <c r="C690" t="s">
        <v>81</v>
      </c>
      <c r="D690" t="s">
        <v>458</v>
      </c>
      <c r="E690" t="s">
        <v>69</v>
      </c>
      <c r="F690" t="s">
        <v>558</v>
      </c>
      <c r="G690" s="50" t="s">
        <v>574</v>
      </c>
      <c r="H690" s="50">
        <v>2</v>
      </c>
      <c r="I690" s="100">
        <v>6.7391919697301583</v>
      </c>
      <c r="J690" s="52">
        <v>3834.68</v>
      </c>
      <c r="K690" s="67">
        <f t="shared" si="44"/>
        <v>53933.599410605872</v>
      </c>
      <c r="L690" s="95">
        <f>+VLOOKUP(E690,MARGEN!A:B,2,FALSE)</f>
        <v>0.1</v>
      </c>
      <c r="M690" s="112">
        <f t="shared" si="41"/>
        <v>5393.3599410605875</v>
      </c>
      <c r="N690" s="113">
        <f t="shared" si="42"/>
        <v>215.73439764242349</v>
      </c>
      <c r="O690" s="113">
        <f t="shared" si="43"/>
        <v>48324.505071902859</v>
      </c>
    </row>
    <row r="691" spans="1:15" x14ac:dyDescent="0.25">
      <c r="A691" s="13">
        <v>44454</v>
      </c>
      <c r="B691" s="97">
        <v>4463</v>
      </c>
      <c r="C691" t="s">
        <v>101</v>
      </c>
      <c r="D691" s="94" t="s">
        <v>483</v>
      </c>
      <c r="E691" t="s">
        <v>69</v>
      </c>
      <c r="F691" t="s">
        <v>558</v>
      </c>
      <c r="G691" s="50" t="s">
        <v>559</v>
      </c>
      <c r="H691" s="50">
        <v>2</v>
      </c>
      <c r="I691" s="100">
        <v>6.7391919697301583</v>
      </c>
      <c r="J691" s="52">
        <v>3834.68</v>
      </c>
      <c r="K691" s="67">
        <f t="shared" si="44"/>
        <v>115335.72312866985</v>
      </c>
      <c r="L691" s="95">
        <f>+VLOOKUP(E691,MARGEN!A:B,2,FALSE)</f>
        <v>0.1</v>
      </c>
      <c r="M691" s="112">
        <f t="shared" si="41"/>
        <v>11533.572312866985</v>
      </c>
      <c r="N691" s="113">
        <f t="shared" si="42"/>
        <v>461.34289251467942</v>
      </c>
      <c r="O691" s="113">
        <f t="shared" si="43"/>
        <v>103340.80792328819</v>
      </c>
    </row>
    <row r="692" spans="1:15" x14ac:dyDescent="0.25">
      <c r="A692" s="13">
        <v>44454</v>
      </c>
      <c r="B692" s="97">
        <v>2999</v>
      </c>
      <c r="C692" t="s">
        <v>89</v>
      </c>
      <c r="D692" t="s">
        <v>484</v>
      </c>
      <c r="E692" t="s">
        <v>69</v>
      </c>
      <c r="F692" t="s">
        <v>566</v>
      </c>
      <c r="G692" s="50" t="s">
        <v>574</v>
      </c>
      <c r="H692" s="50">
        <v>2</v>
      </c>
      <c r="I692" s="100">
        <v>6.7391919697301583</v>
      </c>
      <c r="J692" s="52">
        <v>3834.68</v>
      </c>
      <c r="K692" s="67">
        <f t="shared" si="44"/>
        <v>77502.091342792031</v>
      </c>
      <c r="L692" s="95">
        <f>+VLOOKUP(E692,MARGEN!A:B,2,FALSE)</f>
        <v>0.1</v>
      </c>
      <c r="M692" s="112">
        <f t="shared" si="41"/>
        <v>7750.2091342792037</v>
      </c>
      <c r="N692" s="113">
        <f t="shared" si="42"/>
        <v>310.00836537116811</v>
      </c>
      <c r="O692" s="113">
        <f t="shared" si="43"/>
        <v>69441.873843141671</v>
      </c>
    </row>
    <row r="693" spans="1:15" x14ac:dyDescent="0.25">
      <c r="A693" s="13">
        <v>44454</v>
      </c>
      <c r="B693" s="97">
        <v>2591</v>
      </c>
      <c r="C693" t="s">
        <v>239</v>
      </c>
      <c r="D693" s="94" t="s">
        <v>477</v>
      </c>
      <c r="E693" t="s">
        <v>69</v>
      </c>
      <c r="F693" t="s">
        <v>562</v>
      </c>
      <c r="G693" s="50" t="s">
        <v>559</v>
      </c>
      <c r="H693" s="50">
        <v>2</v>
      </c>
      <c r="I693" s="100">
        <v>6.7391919697301583</v>
      </c>
      <c r="J693" s="52">
        <v>3834.68</v>
      </c>
      <c r="K693" s="67">
        <f t="shared" si="44"/>
        <v>66958.292320498222</v>
      </c>
      <c r="L693" s="95">
        <f>+VLOOKUP(E693,MARGEN!A:B,2,FALSE)</f>
        <v>0.1</v>
      </c>
      <c r="M693" s="112">
        <f t="shared" si="41"/>
        <v>6695.8292320498222</v>
      </c>
      <c r="N693" s="113">
        <f t="shared" si="42"/>
        <v>267.83316928199287</v>
      </c>
      <c r="O693" s="113">
        <f t="shared" si="43"/>
        <v>59994.629919166407</v>
      </c>
    </row>
    <row r="694" spans="1:15" x14ac:dyDescent="0.25">
      <c r="A694" s="13">
        <v>44454</v>
      </c>
      <c r="B694" s="97">
        <v>2087</v>
      </c>
      <c r="C694" t="s">
        <v>81</v>
      </c>
      <c r="D694" t="s">
        <v>458</v>
      </c>
      <c r="E694" t="s">
        <v>69</v>
      </c>
      <c r="F694" t="s">
        <v>562</v>
      </c>
      <c r="G694" s="50" t="s">
        <v>574</v>
      </c>
      <c r="H694" s="50">
        <v>2</v>
      </c>
      <c r="I694" s="100">
        <v>6.7391919697301583</v>
      </c>
      <c r="J694" s="52">
        <v>3834.68</v>
      </c>
      <c r="K694" s="67">
        <f t="shared" si="44"/>
        <v>53933.599410605872</v>
      </c>
      <c r="L694" s="95">
        <f>+VLOOKUP(E694,MARGEN!A:B,2,FALSE)</f>
        <v>0.1</v>
      </c>
      <c r="M694" s="112">
        <f t="shared" si="41"/>
        <v>5393.3599410605875</v>
      </c>
      <c r="N694" s="113">
        <f t="shared" si="42"/>
        <v>215.73439764242349</v>
      </c>
      <c r="O694" s="113">
        <f t="shared" si="43"/>
        <v>48324.505071902859</v>
      </c>
    </row>
    <row r="695" spans="1:15" x14ac:dyDescent="0.25">
      <c r="A695" s="13">
        <v>44455</v>
      </c>
      <c r="B695" s="97">
        <v>2807</v>
      </c>
      <c r="C695" t="s">
        <v>89</v>
      </c>
      <c r="D695" t="s">
        <v>484</v>
      </c>
      <c r="E695" t="s">
        <v>69</v>
      </c>
      <c r="F695" t="s">
        <v>566</v>
      </c>
      <c r="G695" s="50" t="s">
        <v>574</v>
      </c>
      <c r="H695" s="50">
        <v>2</v>
      </c>
      <c r="I695" s="100">
        <v>6.7391919697301583</v>
      </c>
      <c r="J695" s="52">
        <v>3834.68</v>
      </c>
      <c r="K695" s="67">
        <f t="shared" si="44"/>
        <v>72540.303567594965</v>
      </c>
      <c r="L695" s="95">
        <f>+VLOOKUP(E695,MARGEN!A:B,2,FALSE)</f>
        <v>0.1</v>
      </c>
      <c r="M695" s="112">
        <f t="shared" si="41"/>
        <v>7254.0303567594965</v>
      </c>
      <c r="N695" s="113">
        <f t="shared" si="42"/>
        <v>290.16121427037984</v>
      </c>
      <c r="O695" s="113">
        <f t="shared" si="43"/>
        <v>64996.111996565087</v>
      </c>
    </row>
    <row r="696" spans="1:15" x14ac:dyDescent="0.25">
      <c r="A696" s="13">
        <v>44455</v>
      </c>
      <c r="B696" s="97">
        <v>2183</v>
      </c>
      <c r="C696" t="s">
        <v>82</v>
      </c>
      <c r="D696" s="94" t="s">
        <v>462</v>
      </c>
      <c r="E696" t="s">
        <v>69</v>
      </c>
      <c r="F696" t="s">
        <v>562</v>
      </c>
      <c r="G696" s="50" t="s">
        <v>559</v>
      </c>
      <c r="H696" s="50">
        <v>2</v>
      </c>
      <c r="I696" s="100">
        <v>6.7391919697301583</v>
      </c>
      <c r="J696" s="52">
        <v>3834.68</v>
      </c>
      <c r="K696" s="67">
        <f t="shared" si="44"/>
        <v>56414.493298204405</v>
      </c>
      <c r="L696" s="95">
        <f>+VLOOKUP(E696,MARGEN!A:B,2,FALSE)</f>
        <v>0.1</v>
      </c>
      <c r="M696" s="112">
        <f t="shared" si="41"/>
        <v>5641.4493298204407</v>
      </c>
      <c r="N696" s="113">
        <f t="shared" si="42"/>
        <v>225.65797319281762</v>
      </c>
      <c r="O696" s="113">
        <f t="shared" si="43"/>
        <v>50547.385995191151</v>
      </c>
    </row>
    <row r="697" spans="1:15" x14ac:dyDescent="0.25">
      <c r="A697" s="43">
        <v>44455</v>
      </c>
      <c r="B697" s="51">
        <v>1967</v>
      </c>
      <c r="C697" s="66" t="s">
        <v>81</v>
      </c>
      <c r="D697" s="66" t="s">
        <v>458</v>
      </c>
      <c r="E697" t="s">
        <v>69</v>
      </c>
      <c r="F697" s="50" t="s">
        <v>566</v>
      </c>
      <c r="G697" s="50" t="s">
        <v>574</v>
      </c>
      <c r="H697" s="50">
        <v>2</v>
      </c>
      <c r="I697" s="100">
        <v>6.7391919697301583</v>
      </c>
      <c r="J697" s="52">
        <v>3834.68</v>
      </c>
      <c r="K697" s="67">
        <f t="shared" si="44"/>
        <v>50832.482051107683</v>
      </c>
      <c r="L697" s="95">
        <f>+VLOOKUP(E697,MARGEN!A:B,2,FALSE)</f>
        <v>0.1</v>
      </c>
      <c r="M697" s="112">
        <f t="shared" si="41"/>
        <v>5083.248205110769</v>
      </c>
      <c r="N697" s="113">
        <f t="shared" si="42"/>
        <v>203.32992820443073</v>
      </c>
      <c r="O697" s="113">
        <f t="shared" si="43"/>
        <v>45545.903917792486</v>
      </c>
    </row>
    <row r="698" spans="1:15" x14ac:dyDescent="0.25">
      <c r="A698" s="43">
        <v>44456</v>
      </c>
      <c r="B698" s="51">
        <v>2927</v>
      </c>
      <c r="C698" s="66" t="s">
        <v>89</v>
      </c>
      <c r="D698" s="66" t="s">
        <v>484</v>
      </c>
      <c r="E698" t="s">
        <v>69</v>
      </c>
      <c r="F698" s="50" t="s">
        <v>558</v>
      </c>
      <c r="G698" s="50" t="s">
        <v>574</v>
      </c>
      <c r="H698" s="50">
        <v>2</v>
      </c>
      <c r="I698" s="100">
        <v>6.7391919697301583</v>
      </c>
      <c r="J698" s="52">
        <v>3834.68</v>
      </c>
      <c r="K698" s="67">
        <f t="shared" si="44"/>
        <v>75641.420927093131</v>
      </c>
      <c r="L698" s="95">
        <f>+VLOOKUP(E698,MARGEN!A:B,2,FALSE)</f>
        <v>0.1</v>
      </c>
      <c r="M698" s="112">
        <f t="shared" si="41"/>
        <v>7564.1420927093131</v>
      </c>
      <c r="N698" s="113">
        <f t="shared" si="42"/>
        <v>302.56568370837255</v>
      </c>
      <c r="O698" s="113">
        <f t="shared" si="43"/>
        <v>67774.713150675452</v>
      </c>
    </row>
    <row r="699" spans="1:15" x14ac:dyDescent="0.25">
      <c r="A699" s="13">
        <v>44456</v>
      </c>
      <c r="B699" s="97">
        <v>2183</v>
      </c>
      <c r="C699" t="s">
        <v>82</v>
      </c>
      <c r="D699" s="94" t="s">
        <v>462</v>
      </c>
      <c r="E699" t="s">
        <v>69</v>
      </c>
      <c r="F699" t="s">
        <v>562</v>
      </c>
      <c r="G699" s="50" t="s">
        <v>559</v>
      </c>
      <c r="H699" s="50">
        <v>2</v>
      </c>
      <c r="I699" s="100">
        <v>6.7391919697301583</v>
      </c>
      <c r="J699" s="52">
        <v>3834.68</v>
      </c>
      <c r="K699" s="67">
        <f t="shared" si="44"/>
        <v>56414.493298204405</v>
      </c>
      <c r="L699" s="95">
        <f>+VLOOKUP(E699,MARGEN!A:B,2,FALSE)</f>
        <v>0.1</v>
      </c>
      <c r="M699" s="112">
        <f t="shared" si="41"/>
        <v>5641.4493298204407</v>
      </c>
      <c r="N699" s="113">
        <f t="shared" si="42"/>
        <v>225.65797319281762</v>
      </c>
      <c r="O699" s="113">
        <f t="shared" si="43"/>
        <v>50547.385995191151</v>
      </c>
    </row>
    <row r="700" spans="1:15" x14ac:dyDescent="0.25">
      <c r="A700" s="43">
        <v>44456</v>
      </c>
      <c r="B700" s="51">
        <v>2087</v>
      </c>
      <c r="C700" s="66" t="s">
        <v>81</v>
      </c>
      <c r="D700" s="66" t="s">
        <v>458</v>
      </c>
      <c r="E700" t="s">
        <v>69</v>
      </c>
      <c r="F700" s="50" t="s">
        <v>558</v>
      </c>
      <c r="G700" s="50" t="s">
        <v>574</v>
      </c>
      <c r="H700" s="50">
        <v>2</v>
      </c>
      <c r="I700" s="100">
        <v>6.7391919697301583</v>
      </c>
      <c r="J700" s="52">
        <v>3834.68</v>
      </c>
      <c r="K700" s="67">
        <f t="shared" si="44"/>
        <v>53933.599410605872</v>
      </c>
      <c r="L700" s="95">
        <f>+VLOOKUP(E700,MARGEN!A:B,2,FALSE)</f>
        <v>0.1</v>
      </c>
      <c r="M700" s="112">
        <f t="shared" si="41"/>
        <v>5393.3599410605875</v>
      </c>
      <c r="N700" s="113">
        <f t="shared" si="42"/>
        <v>215.73439764242349</v>
      </c>
      <c r="O700" s="113">
        <f t="shared" si="43"/>
        <v>48324.505071902859</v>
      </c>
    </row>
    <row r="701" spans="1:15" x14ac:dyDescent="0.25">
      <c r="A701" s="43">
        <v>44461</v>
      </c>
      <c r="B701" s="51">
        <v>4463</v>
      </c>
      <c r="C701" s="66" t="s">
        <v>101</v>
      </c>
      <c r="D701" s="66" t="s">
        <v>483</v>
      </c>
      <c r="E701" t="s">
        <v>69</v>
      </c>
      <c r="F701" s="50" t="s">
        <v>562</v>
      </c>
      <c r="G701" s="50" t="s">
        <v>574</v>
      </c>
      <c r="H701" s="50">
        <v>2</v>
      </c>
      <c r="I701" s="100">
        <v>6.7391919697301583</v>
      </c>
      <c r="J701" s="52">
        <v>3834.68</v>
      </c>
      <c r="K701" s="67">
        <f t="shared" si="44"/>
        <v>115335.72312866985</v>
      </c>
      <c r="L701" s="95">
        <f>+VLOOKUP(E701,MARGEN!A:B,2,FALSE)</f>
        <v>0.1</v>
      </c>
      <c r="M701" s="112">
        <f t="shared" si="41"/>
        <v>11533.572312866985</v>
      </c>
      <c r="N701" s="113">
        <f t="shared" si="42"/>
        <v>461.34289251467942</v>
      </c>
      <c r="O701" s="113">
        <f t="shared" si="43"/>
        <v>103340.80792328819</v>
      </c>
    </row>
    <row r="702" spans="1:15" x14ac:dyDescent="0.25">
      <c r="A702" s="43">
        <v>44461</v>
      </c>
      <c r="B702" s="51">
        <v>2999</v>
      </c>
      <c r="C702" s="66" t="s">
        <v>89</v>
      </c>
      <c r="D702" s="66" t="s">
        <v>484</v>
      </c>
      <c r="E702" t="s">
        <v>69</v>
      </c>
      <c r="F702" s="50" t="s">
        <v>562</v>
      </c>
      <c r="G702" s="50" t="s">
        <v>574</v>
      </c>
      <c r="H702" s="50">
        <v>2</v>
      </c>
      <c r="I702" s="100">
        <v>6.7391919697301583</v>
      </c>
      <c r="J702" s="52">
        <v>3834.68</v>
      </c>
      <c r="K702" s="67">
        <f t="shared" si="44"/>
        <v>77502.091342792031</v>
      </c>
      <c r="L702" s="95">
        <f>+VLOOKUP(E702,MARGEN!A:B,2,FALSE)</f>
        <v>0.1</v>
      </c>
      <c r="M702" s="112">
        <f t="shared" si="41"/>
        <v>7750.2091342792037</v>
      </c>
      <c r="N702" s="113">
        <f t="shared" si="42"/>
        <v>310.00836537116811</v>
      </c>
      <c r="O702" s="113">
        <f t="shared" si="43"/>
        <v>69441.873843141671</v>
      </c>
    </row>
    <row r="703" spans="1:15" x14ac:dyDescent="0.25">
      <c r="A703" s="43">
        <v>44461</v>
      </c>
      <c r="B703" s="51">
        <v>2663</v>
      </c>
      <c r="C703" s="66" t="s">
        <v>86</v>
      </c>
      <c r="D703" s="66" t="s">
        <v>479</v>
      </c>
      <c r="E703" t="s">
        <v>69</v>
      </c>
      <c r="F703" s="50" t="s">
        <v>558</v>
      </c>
      <c r="G703" s="50" t="s">
        <v>574</v>
      </c>
      <c r="H703" s="50">
        <v>2</v>
      </c>
      <c r="I703" s="100">
        <v>6.7391919697301583</v>
      </c>
      <c r="J703" s="52">
        <v>3834.68</v>
      </c>
      <c r="K703" s="67">
        <f t="shared" si="44"/>
        <v>68818.962736197136</v>
      </c>
      <c r="L703" s="95">
        <f>+VLOOKUP(E703,MARGEN!A:B,2,FALSE)</f>
        <v>0.1</v>
      </c>
      <c r="M703" s="112">
        <f t="shared" si="41"/>
        <v>6881.8962736197136</v>
      </c>
      <c r="N703" s="113">
        <f t="shared" si="42"/>
        <v>275.27585094478854</v>
      </c>
      <c r="O703" s="113">
        <f t="shared" si="43"/>
        <v>61661.790611632634</v>
      </c>
    </row>
    <row r="704" spans="1:15" x14ac:dyDescent="0.25">
      <c r="A704" s="43">
        <v>44461</v>
      </c>
      <c r="B704" s="51">
        <v>2639</v>
      </c>
      <c r="C704" s="66" t="s">
        <v>239</v>
      </c>
      <c r="D704" s="66" t="s">
        <v>477</v>
      </c>
      <c r="E704" t="s">
        <v>69</v>
      </c>
      <c r="F704" s="50" t="s">
        <v>558</v>
      </c>
      <c r="G704" s="50" t="s">
        <v>574</v>
      </c>
      <c r="H704" s="50">
        <v>2</v>
      </c>
      <c r="I704" s="100">
        <v>6.7391919697301583</v>
      </c>
      <c r="J704" s="52">
        <v>3834.68</v>
      </c>
      <c r="K704" s="67">
        <f t="shared" si="44"/>
        <v>68198.739264297488</v>
      </c>
      <c r="L704" s="95">
        <f>+VLOOKUP(E704,MARGEN!A:B,2,FALSE)</f>
        <v>0.1</v>
      </c>
      <c r="M704" s="112">
        <f t="shared" si="41"/>
        <v>6819.8739264297492</v>
      </c>
      <c r="N704" s="113">
        <f t="shared" si="42"/>
        <v>272.79495705718995</v>
      </c>
      <c r="O704" s="113">
        <f t="shared" si="43"/>
        <v>61106.070380810554</v>
      </c>
    </row>
    <row r="705" spans="1:15" x14ac:dyDescent="0.25">
      <c r="A705" s="43">
        <v>44461</v>
      </c>
      <c r="B705" s="51">
        <v>2375</v>
      </c>
      <c r="C705" s="66" t="s">
        <v>237</v>
      </c>
      <c r="D705" s="66" t="s">
        <v>480</v>
      </c>
      <c r="E705" t="s">
        <v>69</v>
      </c>
      <c r="F705" s="50" t="s">
        <v>558</v>
      </c>
      <c r="G705" s="50" t="s">
        <v>574</v>
      </c>
      <c r="H705" s="50">
        <v>2</v>
      </c>
      <c r="I705" s="100">
        <v>6.7391919697301583</v>
      </c>
      <c r="J705" s="52">
        <v>3834.68</v>
      </c>
      <c r="K705" s="67">
        <f t="shared" si="44"/>
        <v>61376.2810734015</v>
      </c>
      <c r="L705" s="95">
        <f>+VLOOKUP(E705,MARGEN!A:B,2,FALSE)</f>
        <v>0.1</v>
      </c>
      <c r="M705" s="112">
        <f t="shared" si="41"/>
        <v>6137.6281073401506</v>
      </c>
      <c r="N705" s="113">
        <f t="shared" si="42"/>
        <v>245.505124293606</v>
      </c>
      <c r="O705" s="113">
        <f t="shared" si="43"/>
        <v>54993.14784176775</v>
      </c>
    </row>
    <row r="706" spans="1:15" x14ac:dyDescent="0.25">
      <c r="A706" s="13">
        <v>44461</v>
      </c>
      <c r="B706" s="97">
        <v>2183</v>
      </c>
      <c r="C706" t="s">
        <v>82</v>
      </c>
      <c r="D706" t="s">
        <v>462</v>
      </c>
      <c r="E706" t="s">
        <v>69</v>
      </c>
      <c r="F706" t="s">
        <v>566</v>
      </c>
      <c r="G706" s="50" t="s">
        <v>574</v>
      </c>
      <c r="H706" s="50">
        <v>2</v>
      </c>
      <c r="I706" s="100">
        <v>6.7391919697301583</v>
      </c>
      <c r="J706" s="52">
        <v>3834.68</v>
      </c>
      <c r="K706" s="67">
        <f t="shared" si="44"/>
        <v>56414.493298204405</v>
      </c>
      <c r="L706" s="95">
        <f>+VLOOKUP(E706,MARGEN!A:B,2,FALSE)</f>
        <v>0.1</v>
      </c>
      <c r="M706" s="112">
        <f t="shared" si="41"/>
        <v>5641.4493298204407</v>
      </c>
      <c r="N706" s="113">
        <f t="shared" si="42"/>
        <v>225.65797319281762</v>
      </c>
      <c r="O706" s="113">
        <f t="shared" si="43"/>
        <v>50547.385995191151</v>
      </c>
    </row>
    <row r="707" spans="1:15" x14ac:dyDescent="0.25">
      <c r="A707" s="43">
        <v>44461</v>
      </c>
      <c r="B707" s="51">
        <v>2135</v>
      </c>
      <c r="C707" s="66" t="s">
        <v>83</v>
      </c>
      <c r="D707" s="66" t="s">
        <v>466</v>
      </c>
      <c r="E707" t="s">
        <v>69</v>
      </c>
      <c r="F707" s="50" t="s">
        <v>558</v>
      </c>
      <c r="G707" s="50" t="s">
        <v>574</v>
      </c>
      <c r="H707" s="50">
        <v>2</v>
      </c>
      <c r="I707" s="100">
        <v>6.7391919697301583</v>
      </c>
      <c r="J707" s="52">
        <v>3834.68</v>
      </c>
      <c r="K707" s="67">
        <f t="shared" si="44"/>
        <v>55174.046354405145</v>
      </c>
      <c r="L707" s="95">
        <f>+VLOOKUP(E707,MARGEN!A:B,2,FALSE)</f>
        <v>0.1</v>
      </c>
      <c r="M707" s="112">
        <f t="shared" ref="M707:M770" si="45">+K707*L707</f>
        <v>5517.4046354405145</v>
      </c>
      <c r="N707" s="113">
        <f t="shared" ref="N707:N770" si="46">+K707*4/1000</f>
        <v>220.69618541762057</v>
      </c>
      <c r="O707" s="113">
        <f t="shared" ref="O707:O770" si="47">+K707-M707-N707</f>
        <v>49435.945533547012</v>
      </c>
    </row>
    <row r="708" spans="1:15" x14ac:dyDescent="0.25">
      <c r="A708" s="43">
        <v>44461</v>
      </c>
      <c r="B708" s="51">
        <v>2063</v>
      </c>
      <c r="C708" s="66" t="s">
        <v>81</v>
      </c>
      <c r="D708" s="66" t="s">
        <v>458</v>
      </c>
      <c r="E708" t="s">
        <v>69</v>
      </c>
      <c r="F708" s="50" t="s">
        <v>558</v>
      </c>
      <c r="G708" s="50" t="s">
        <v>574</v>
      </c>
      <c r="H708" s="50">
        <v>2</v>
      </c>
      <c r="I708" s="100">
        <v>6.7391919697301583</v>
      </c>
      <c r="J708" s="52">
        <v>3834.68</v>
      </c>
      <c r="K708" s="67">
        <f t="shared" si="44"/>
        <v>53313.375938706224</v>
      </c>
      <c r="L708" s="95">
        <f>+VLOOKUP(E708,MARGEN!A:B,2,FALSE)</f>
        <v>0.1</v>
      </c>
      <c r="M708" s="112">
        <f t="shared" si="45"/>
        <v>5331.3375938706231</v>
      </c>
      <c r="N708" s="113">
        <f t="shared" si="46"/>
        <v>213.25350375482489</v>
      </c>
      <c r="O708" s="113">
        <f t="shared" si="47"/>
        <v>47768.784841080778</v>
      </c>
    </row>
    <row r="709" spans="1:15" x14ac:dyDescent="0.25">
      <c r="A709" s="13">
        <v>44461</v>
      </c>
      <c r="B709" s="97">
        <v>1775</v>
      </c>
      <c r="C709" t="s">
        <v>77</v>
      </c>
      <c r="D709" t="s">
        <v>474</v>
      </c>
      <c r="E709" t="s">
        <v>69</v>
      </c>
      <c r="F709" t="s">
        <v>562</v>
      </c>
      <c r="G709" s="50" t="s">
        <v>574</v>
      </c>
      <c r="H709" s="50">
        <v>2</v>
      </c>
      <c r="I709" s="100">
        <v>6.7391919697301583</v>
      </c>
      <c r="J709" s="52">
        <v>3834.68</v>
      </c>
      <c r="K709" s="67">
        <f t="shared" si="44"/>
        <v>45870.694275910595</v>
      </c>
      <c r="L709" s="95">
        <f>+VLOOKUP(E709,MARGEN!A:B,2,FALSE)</f>
        <v>0.1</v>
      </c>
      <c r="M709" s="112">
        <f t="shared" si="45"/>
        <v>4587.06942759106</v>
      </c>
      <c r="N709" s="113">
        <f t="shared" si="46"/>
        <v>183.48277710364238</v>
      </c>
      <c r="O709" s="113">
        <f t="shared" si="47"/>
        <v>41100.142071215894</v>
      </c>
    </row>
    <row r="710" spans="1:15" x14ac:dyDescent="0.25">
      <c r="A710" s="43">
        <v>44462</v>
      </c>
      <c r="B710" s="51">
        <v>4559</v>
      </c>
      <c r="C710" s="66" t="s">
        <v>101</v>
      </c>
      <c r="D710" s="66" t="s">
        <v>483</v>
      </c>
      <c r="E710" t="s">
        <v>69</v>
      </c>
      <c r="F710" s="50" t="s">
        <v>558</v>
      </c>
      <c r="G710" s="50" t="s">
        <v>574</v>
      </c>
      <c r="H710" s="50">
        <v>2</v>
      </c>
      <c r="I710" s="100">
        <v>6.7391919697301583</v>
      </c>
      <c r="J710" s="52">
        <v>3834.68</v>
      </c>
      <c r="K710" s="67">
        <f t="shared" si="44"/>
        <v>117816.61701626838</v>
      </c>
      <c r="L710" s="95">
        <f>+VLOOKUP(E710,MARGEN!A:B,2,FALSE)</f>
        <v>0.1</v>
      </c>
      <c r="M710" s="112">
        <f t="shared" si="45"/>
        <v>11781.661701626839</v>
      </c>
      <c r="N710" s="113">
        <f t="shared" si="46"/>
        <v>471.26646806507352</v>
      </c>
      <c r="O710" s="113">
        <f t="shared" si="47"/>
        <v>105563.68884657646</v>
      </c>
    </row>
    <row r="711" spans="1:15" x14ac:dyDescent="0.25">
      <c r="A711" s="43">
        <v>44462</v>
      </c>
      <c r="B711" s="51">
        <v>2999</v>
      </c>
      <c r="C711" s="66" t="s">
        <v>89</v>
      </c>
      <c r="D711" s="66" t="s">
        <v>484</v>
      </c>
      <c r="E711" t="s">
        <v>69</v>
      </c>
      <c r="F711" s="50" t="s">
        <v>558</v>
      </c>
      <c r="G711" s="50" t="s">
        <v>574</v>
      </c>
      <c r="H711" s="50">
        <v>2</v>
      </c>
      <c r="I711" s="100">
        <v>6.7391919697301583</v>
      </c>
      <c r="J711" s="52">
        <v>3834.68</v>
      </c>
      <c r="K711" s="67">
        <f t="shared" si="44"/>
        <v>77502.091342792031</v>
      </c>
      <c r="L711" s="95">
        <f>+VLOOKUP(E711,MARGEN!A:B,2,FALSE)</f>
        <v>0.1</v>
      </c>
      <c r="M711" s="112">
        <f t="shared" si="45"/>
        <v>7750.2091342792037</v>
      </c>
      <c r="N711" s="113">
        <f t="shared" si="46"/>
        <v>310.00836537116811</v>
      </c>
      <c r="O711" s="113">
        <f t="shared" si="47"/>
        <v>69441.873843141671</v>
      </c>
    </row>
    <row r="712" spans="1:15" x14ac:dyDescent="0.25">
      <c r="A712" s="13">
        <v>44462</v>
      </c>
      <c r="B712" s="97">
        <v>2687</v>
      </c>
      <c r="C712" t="s">
        <v>86</v>
      </c>
      <c r="D712" t="s">
        <v>479</v>
      </c>
      <c r="E712" t="s">
        <v>69</v>
      </c>
      <c r="F712" t="s">
        <v>558</v>
      </c>
      <c r="G712" s="50" t="s">
        <v>574</v>
      </c>
      <c r="H712" s="50">
        <v>2</v>
      </c>
      <c r="I712" s="100">
        <v>6.7391919697301583</v>
      </c>
      <c r="J712" s="52">
        <v>3834.68</v>
      </c>
      <c r="K712" s="67">
        <f t="shared" si="44"/>
        <v>69439.186208096769</v>
      </c>
      <c r="L712" s="95">
        <f>+VLOOKUP(E712,MARGEN!A:B,2,FALSE)</f>
        <v>0.1</v>
      </c>
      <c r="M712" s="112">
        <f t="shared" si="45"/>
        <v>6943.9186208096771</v>
      </c>
      <c r="N712" s="113">
        <f t="shared" si="46"/>
        <v>277.75674483238708</v>
      </c>
      <c r="O712" s="113">
        <f t="shared" si="47"/>
        <v>62217.5108424547</v>
      </c>
    </row>
    <row r="713" spans="1:15" x14ac:dyDescent="0.25">
      <c r="A713" s="13">
        <v>44462</v>
      </c>
      <c r="B713" s="97">
        <v>2639</v>
      </c>
      <c r="C713" t="s">
        <v>239</v>
      </c>
      <c r="D713" t="s">
        <v>477</v>
      </c>
      <c r="E713" t="s">
        <v>69</v>
      </c>
      <c r="F713" t="s">
        <v>558</v>
      </c>
      <c r="G713" s="50" t="s">
        <v>574</v>
      </c>
      <c r="H713" s="50">
        <v>2</v>
      </c>
      <c r="I713" s="100">
        <v>6.7391919697301583</v>
      </c>
      <c r="J713" s="52">
        <v>3834.68</v>
      </c>
      <c r="K713" s="67">
        <f t="shared" ref="K713:K776" si="48">+B713*I713*J713/1000</f>
        <v>68198.739264297488</v>
      </c>
      <c r="L713" s="95">
        <f>+VLOOKUP(E713,MARGEN!A:B,2,FALSE)</f>
        <v>0.1</v>
      </c>
      <c r="M713" s="112">
        <f t="shared" si="45"/>
        <v>6819.8739264297492</v>
      </c>
      <c r="N713" s="113">
        <f t="shared" si="46"/>
        <v>272.79495705718995</v>
      </c>
      <c r="O713" s="113">
        <f t="shared" si="47"/>
        <v>61106.070380810554</v>
      </c>
    </row>
    <row r="714" spans="1:15" x14ac:dyDescent="0.25">
      <c r="A714" s="13">
        <v>44462</v>
      </c>
      <c r="B714" s="97">
        <v>2375</v>
      </c>
      <c r="C714" t="s">
        <v>237</v>
      </c>
      <c r="D714" t="s">
        <v>480</v>
      </c>
      <c r="E714" t="s">
        <v>69</v>
      </c>
      <c r="F714" t="s">
        <v>558</v>
      </c>
      <c r="G714" s="50" t="s">
        <v>574</v>
      </c>
      <c r="H714" s="50">
        <v>2</v>
      </c>
      <c r="I714" s="100">
        <v>6.7391919697301583</v>
      </c>
      <c r="J714" s="52">
        <v>3834.68</v>
      </c>
      <c r="K714" s="67">
        <f t="shared" si="48"/>
        <v>61376.2810734015</v>
      </c>
      <c r="L714" s="95">
        <f>+VLOOKUP(E714,MARGEN!A:B,2,FALSE)</f>
        <v>0.1</v>
      </c>
      <c r="M714" s="112">
        <f t="shared" si="45"/>
        <v>6137.6281073401506</v>
      </c>
      <c r="N714" s="113">
        <f t="shared" si="46"/>
        <v>245.505124293606</v>
      </c>
      <c r="O714" s="113">
        <f t="shared" si="47"/>
        <v>54993.14784176775</v>
      </c>
    </row>
    <row r="715" spans="1:15" x14ac:dyDescent="0.25">
      <c r="A715" s="13">
        <v>44462</v>
      </c>
      <c r="B715" s="97">
        <v>2183</v>
      </c>
      <c r="C715" t="s">
        <v>82</v>
      </c>
      <c r="D715" t="s">
        <v>462</v>
      </c>
      <c r="E715" t="s">
        <v>69</v>
      </c>
      <c r="F715" t="s">
        <v>558</v>
      </c>
      <c r="G715" s="50" t="s">
        <v>574</v>
      </c>
      <c r="H715" s="50">
        <v>2</v>
      </c>
      <c r="I715" s="100">
        <v>6.7391919697301583</v>
      </c>
      <c r="J715" s="52">
        <v>3834.68</v>
      </c>
      <c r="K715" s="67">
        <f t="shared" si="48"/>
        <v>56414.493298204405</v>
      </c>
      <c r="L715" s="95">
        <f>+VLOOKUP(E715,MARGEN!A:B,2,FALSE)</f>
        <v>0.1</v>
      </c>
      <c r="M715" s="112">
        <f t="shared" si="45"/>
        <v>5641.4493298204407</v>
      </c>
      <c r="N715" s="113">
        <f t="shared" si="46"/>
        <v>225.65797319281762</v>
      </c>
      <c r="O715" s="113">
        <f t="shared" si="47"/>
        <v>50547.385995191151</v>
      </c>
    </row>
    <row r="716" spans="1:15" x14ac:dyDescent="0.25">
      <c r="A716" s="13">
        <v>44462</v>
      </c>
      <c r="B716" s="97">
        <v>1775</v>
      </c>
      <c r="C716" t="s">
        <v>77</v>
      </c>
      <c r="D716" t="s">
        <v>474</v>
      </c>
      <c r="E716" t="s">
        <v>69</v>
      </c>
      <c r="F716" t="s">
        <v>558</v>
      </c>
      <c r="G716" s="50" t="s">
        <v>574</v>
      </c>
      <c r="H716" s="50">
        <v>2</v>
      </c>
      <c r="I716" s="100">
        <v>6.7391919697301583</v>
      </c>
      <c r="J716" s="52">
        <v>3834.68</v>
      </c>
      <c r="K716" s="67">
        <f t="shared" si="48"/>
        <v>45870.694275910595</v>
      </c>
      <c r="L716" s="95">
        <f>+VLOOKUP(E716,MARGEN!A:B,2,FALSE)</f>
        <v>0.1</v>
      </c>
      <c r="M716" s="112">
        <f t="shared" si="45"/>
        <v>4587.06942759106</v>
      </c>
      <c r="N716" s="113">
        <f t="shared" si="46"/>
        <v>183.48277710364238</v>
      </c>
      <c r="O716" s="113">
        <f t="shared" si="47"/>
        <v>41100.142071215894</v>
      </c>
    </row>
    <row r="717" spans="1:15" x14ac:dyDescent="0.25">
      <c r="A717" s="13">
        <v>44463</v>
      </c>
      <c r="B717" s="97">
        <v>2687</v>
      </c>
      <c r="C717" t="s">
        <v>86</v>
      </c>
      <c r="D717" t="s">
        <v>479</v>
      </c>
      <c r="E717" t="s">
        <v>69</v>
      </c>
      <c r="F717" t="s">
        <v>558</v>
      </c>
      <c r="G717" s="50" t="s">
        <v>574</v>
      </c>
      <c r="H717" s="50">
        <v>2</v>
      </c>
      <c r="I717" s="100">
        <v>6.7391919697301583</v>
      </c>
      <c r="J717" s="52">
        <v>3834.68</v>
      </c>
      <c r="K717" s="67">
        <f t="shared" si="48"/>
        <v>69439.186208096769</v>
      </c>
      <c r="L717" s="95">
        <f>+VLOOKUP(E717,MARGEN!A:B,2,FALSE)</f>
        <v>0.1</v>
      </c>
      <c r="M717" s="112">
        <f t="shared" si="45"/>
        <v>6943.9186208096771</v>
      </c>
      <c r="N717" s="113">
        <f t="shared" si="46"/>
        <v>277.75674483238708</v>
      </c>
      <c r="O717" s="113">
        <f t="shared" si="47"/>
        <v>62217.5108424547</v>
      </c>
    </row>
    <row r="718" spans="1:15" x14ac:dyDescent="0.25">
      <c r="A718" s="13">
        <v>44463</v>
      </c>
      <c r="B718" s="97">
        <v>2639</v>
      </c>
      <c r="C718" t="s">
        <v>239</v>
      </c>
      <c r="D718" t="s">
        <v>477</v>
      </c>
      <c r="E718" t="s">
        <v>69</v>
      </c>
      <c r="F718" t="s">
        <v>558</v>
      </c>
      <c r="G718" s="50" t="s">
        <v>574</v>
      </c>
      <c r="H718" s="50">
        <v>2</v>
      </c>
      <c r="I718" s="100">
        <v>6.7391919697301583</v>
      </c>
      <c r="J718" s="52">
        <v>3834.68</v>
      </c>
      <c r="K718" s="67">
        <f t="shared" si="48"/>
        <v>68198.739264297488</v>
      </c>
      <c r="L718" s="95">
        <f>+VLOOKUP(E718,MARGEN!A:B,2,FALSE)</f>
        <v>0.1</v>
      </c>
      <c r="M718" s="112">
        <f t="shared" si="45"/>
        <v>6819.8739264297492</v>
      </c>
      <c r="N718" s="113">
        <f t="shared" si="46"/>
        <v>272.79495705718995</v>
      </c>
      <c r="O718" s="113">
        <f t="shared" si="47"/>
        <v>61106.070380810554</v>
      </c>
    </row>
    <row r="719" spans="1:15" x14ac:dyDescent="0.25">
      <c r="A719" s="13">
        <v>44463</v>
      </c>
      <c r="B719" s="97">
        <v>2375</v>
      </c>
      <c r="C719" t="s">
        <v>237</v>
      </c>
      <c r="D719" t="s">
        <v>480</v>
      </c>
      <c r="E719" t="s">
        <v>69</v>
      </c>
      <c r="F719" t="s">
        <v>558</v>
      </c>
      <c r="G719" s="50" t="s">
        <v>574</v>
      </c>
      <c r="H719" s="50">
        <v>2</v>
      </c>
      <c r="I719" s="100">
        <v>6.7391919697301583</v>
      </c>
      <c r="J719" s="52">
        <v>3834.68</v>
      </c>
      <c r="K719" s="67">
        <f t="shared" si="48"/>
        <v>61376.2810734015</v>
      </c>
      <c r="L719" s="95">
        <f>+VLOOKUP(E719,MARGEN!A:B,2,FALSE)</f>
        <v>0.1</v>
      </c>
      <c r="M719" s="112">
        <f t="shared" si="45"/>
        <v>6137.6281073401506</v>
      </c>
      <c r="N719" s="113">
        <f t="shared" si="46"/>
        <v>245.505124293606</v>
      </c>
      <c r="O719" s="113">
        <f t="shared" si="47"/>
        <v>54993.14784176775</v>
      </c>
    </row>
    <row r="720" spans="1:15" x14ac:dyDescent="0.25">
      <c r="A720" s="13">
        <v>44463</v>
      </c>
      <c r="B720" s="97">
        <v>2183</v>
      </c>
      <c r="C720" t="s">
        <v>82</v>
      </c>
      <c r="D720" t="s">
        <v>462</v>
      </c>
      <c r="E720" t="s">
        <v>69</v>
      </c>
      <c r="F720" t="s">
        <v>558</v>
      </c>
      <c r="G720" s="50" t="s">
        <v>574</v>
      </c>
      <c r="H720" s="50">
        <v>2</v>
      </c>
      <c r="I720" s="100">
        <v>6.7391919697301583</v>
      </c>
      <c r="J720" s="52">
        <v>3834.68</v>
      </c>
      <c r="K720" s="67">
        <f t="shared" si="48"/>
        <v>56414.493298204405</v>
      </c>
      <c r="L720" s="95">
        <f>+VLOOKUP(E720,MARGEN!A:B,2,FALSE)</f>
        <v>0.1</v>
      </c>
      <c r="M720" s="112">
        <f t="shared" si="45"/>
        <v>5641.4493298204407</v>
      </c>
      <c r="N720" s="113">
        <f t="shared" si="46"/>
        <v>225.65797319281762</v>
      </c>
      <c r="O720" s="113">
        <f t="shared" si="47"/>
        <v>50547.385995191151</v>
      </c>
    </row>
    <row r="721" spans="1:15" x14ac:dyDescent="0.25">
      <c r="A721" s="13">
        <v>44463</v>
      </c>
      <c r="B721" s="97">
        <v>1799</v>
      </c>
      <c r="C721" t="s">
        <v>77</v>
      </c>
      <c r="D721" t="s">
        <v>474</v>
      </c>
      <c r="E721" t="s">
        <v>69</v>
      </c>
      <c r="F721" t="s">
        <v>558</v>
      </c>
      <c r="G721" s="50" t="s">
        <v>574</v>
      </c>
      <c r="H721" s="50">
        <v>2</v>
      </c>
      <c r="I721" s="100">
        <v>6.7391919697301583</v>
      </c>
      <c r="J721" s="52">
        <v>3834.68</v>
      </c>
      <c r="K721" s="67">
        <f t="shared" si="48"/>
        <v>46490.917747810228</v>
      </c>
      <c r="L721" s="95">
        <f>+VLOOKUP(E721,MARGEN!A:B,2,FALSE)</f>
        <v>0.1</v>
      </c>
      <c r="M721" s="112">
        <f t="shared" si="45"/>
        <v>4649.0917747810227</v>
      </c>
      <c r="N721" s="113">
        <f t="shared" si="46"/>
        <v>185.96367099124092</v>
      </c>
      <c r="O721" s="113">
        <f t="shared" si="47"/>
        <v>41655.862302037967</v>
      </c>
    </row>
    <row r="722" spans="1:15" x14ac:dyDescent="0.25">
      <c r="A722" s="13">
        <v>44464</v>
      </c>
      <c r="B722" s="97">
        <v>2639</v>
      </c>
      <c r="C722" t="s">
        <v>86</v>
      </c>
      <c r="D722" t="s">
        <v>479</v>
      </c>
      <c r="E722" t="s">
        <v>69</v>
      </c>
      <c r="F722" t="s">
        <v>566</v>
      </c>
      <c r="G722" s="50" t="s">
        <v>574</v>
      </c>
      <c r="H722" s="50">
        <v>2</v>
      </c>
      <c r="I722" s="100">
        <v>6.7391919697301583</v>
      </c>
      <c r="J722" s="52">
        <v>3834.68</v>
      </c>
      <c r="K722" s="67">
        <f t="shared" si="48"/>
        <v>68198.739264297488</v>
      </c>
      <c r="L722" s="95">
        <f>+VLOOKUP(E722,MARGEN!A:B,2,FALSE)</f>
        <v>0.1</v>
      </c>
      <c r="M722" s="112">
        <f t="shared" si="45"/>
        <v>6819.8739264297492</v>
      </c>
      <c r="N722" s="113">
        <f t="shared" si="46"/>
        <v>272.79495705718995</v>
      </c>
      <c r="O722" s="113">
        <f t="shared" si="47"/>
        <v>61106.070380810554</v>
      </c>
    </row>
    <row r="723" spans="1:15" x14ac:dyDescent="0.25">
      <c r="A723" s="13">
        <v>44464</v>
      </c>
      <c r="B723" s="97">
        <v>2591</v>
      </c>
      <c r="C723" t="s">
        <v>239</v>
      </c>
      <c r="D723" t="s">
        <v>477</v>
      </c>
      <c r="E723" t="s">
        <v>69</v>
      </c>
      <c r="F723" t="s">
        <v>562</v>
      </c>
      <c r="G723" s="50" t="s">
        <v>574</v>
      </c>
      <c r="H723" s="50">
        <v>2</v>
      </c>
      <c r="I723" s="100">
        <v>6.7391919697301583</v>
      </c>
      <c r="J723" s="52">
        <v>3834.68</v>
      </c>
      <c r="K723" s="67">
        <f t="shared" si="48"/>
        <v>66958.292320498222</v>
      </c>
      <c r="L723" s="95">
        <f>+VLOOKUP(E723,MARGEN!A:B,2,FALSE)</f>
        <v>0.1</v>
      </c>
      <c r="M723" s="112">
        <f t="shared" si="45"/>
        <v>6695.8292320498222</v>
      </c>
      <c r="N723" s="113">
        <f t="shared" si="46"/>
        <v>267.83316928199287</v>
      </c>
      <c r="O723" s="113">
        <f t="shared" si="47"/>
        <v>59994.629919166407</v>
      </c>
    </row>
    <row r="724" spans="1:15" x14ac:dyDescent="0.25">
      <c r="A724" s="13">
        <v>44464</v>
      </c>
      <c r="B724" s="97">
        <v>2375</v>
      </c>
      <c r="C724" t="s">
        <v>237</v>
      </c>
      <c r="D724" t="s">
        <v>480</v>
      </c>
      <c r="E724" t="s">
        <v>69</v>
      </c>
      <c r="F724" t="s">
        <v>566</v>
      </c>
      <c r="G724" s="50" t="s">
        <v>574</v>
      </c>
      <c r="H724" s="50">
        <v>2</v>
      </c>
      <c r="I724" s="100">
        <v>6.7391919697301583</v>
      </c>
      <c r="J724" s="52">
        <v>3834.68</v>
      </c>
      <c r="K724" s="67">
        <f t="shared" si="48"/>
        <v>61376.2810734015</v>
      </c>
      <c r="L724" s="95">
        <f>+VLOOKUP(E724,MARGEN!A:B,2,FALSE)</f>
        <v>0.1</v>
      </c>
      <c r="M724" s="112">
        <f t="shared" si="45"/>
        <v>6137.6281073401506</v>
      </c>
      <c r="N724" s="113">
        <f t="shared" si="46"/>
        <v>245.505124293606</v>
      </c>
      <c r="O724" s="113">
        <f t="shared" si="47"/>
        <v>54993.14784176775</v>
      </c>
    </row>
    <row r="725" spans="1:15" x14ac:dyDescent="0.25">
      <c r="A725" s="13">
        <v>44464</v>
      </c>
      <c r="B725" s="97">
        <v>2183</v>
      </c>
      <c r="C725" t="s">
        <v>82</v>
      </c>
      <c r="D725" t="s">
        <v>462</v>
      </c>
      <c r="E725" t="s">
        <v>69</v>
      </c>
      <c r="F725" t="s">
        <v>558</v>
      </c>
      <c r="G725" s="50" t="s">
        <v>574</v>
      </c>
      <c r="H725" s="50">
        <v>2</v>
      </c>
      <c r="I725" s="100">
        <v>6.7391919697301583</v>
      </c>
      <c r="J725" s="52">
        <v>3834.68</v>
      </c>
      <c r="K725" s="67">
        <f t="shared" si="48"/>
        <v>56414.493298204405</v>
      </c>
      <c r="L725" s="95">
        <f>+VLOOKUP(E725,MARGEN!A:B,2,FALSE)</f>
        <v>0.1</v>
      </c>
      <c r="M725" s="112">
        <f t="shared" si="45"/>
        <v>5641.4493298204407</v>
      </c>
      <c r="N725" s="113">
        <f t="shared" si="46"/>
        <v>225.65797319281762</v>
      </c>
      <c r="O725" s="113">
        <f t="shared" si="47"/>
        <v>50547.385995191151</v>
      </c>
    </row>
    <row r="726" spans="1:15" x14ac:dyDescent="0.25">
      <c r="A726" s="13">
        <v>44464</v>
      </c>
      <c r="B726" s="97">
        <v>1775</v>
      </c>
      <c r="C726" t="s">
        <v>77</v>
      </c>
      <c r="D726" t="s">
        <v>474</v>
      </c>
      <c r="E726" t="s">
        <v>69</v>
      </c>
      <c r="F726" t="s">
        <v>566</v>
      </c>
      <c r="G726" s="50" t="s">
        <v>574</v>
      </c>
      <c r="H726" s="50">
        <v>2</v>
      </c>
      <c r="I726" s="100">
        <v>6.7391919697301583</v>
      </c>
      <c r="J726" s="52">
        <v>3834.68</v>
      </c>
      <c r="K726" s="67">
        <f t="shared" si="48"/>
        <v>45870.694275910595</v>
      </c>
      <c r="L726" s="95">
        <f>+VLOOKUP(E726,MARGEN!A:B,2,FALSE)</f>
        <v>0.1</v>
      </c>
      <c r="M726" s="112">
        <f t="shared" si="45"/>
        <v>4587.06942759106</v>
      </c>
      <c r="N726" s="113">
        <f t="shared" si="46"/>
        <v>183.48277710364238</v>
      </c>
      <c r="O726" s="113">
        <f t="shared" si="47"/>
        <v>41100.142071215894</v>
      </c>
    </row>
    <row r="727" spans="1:15" x14ac:dyDescent="0.25">
      <c r="A727" s="13">
        <v>44465</v>
      </c>
      <c r="B727" s="97">
        <v>2471</v>
      </c>
      <c r="C727" t="s">
        <v>86</v>
      </c>
      <c r="D727" t="s">
        <v>479</v>
      </c>
      <c r="E727" t="s">
        <v>69</v>
      </c>
      <c r="F727" t="s">
        <v>566</v>
      </c>
      <c r="G727" s="50" t="s">
        <v>574</v>
      </c>
      <c r="H727" s="50">
        <v>2</v>
      </c>
      <c r="I727" s="100">
        <v>6.7391919697301583</v>
      </c>
      <c r="J727" s="52">
        <v>3834.68</v>
      </c>
      <c r="K727" s="67">
        <f t="shared" si="48"/>
        <v>63857.174961000041</v>
      </c>
      <c r="L727" s="95">
        <f>+VLOOKUP(E727,MARGEN!A:B,2,FALSE)</f>
        <v>0.1</v>
      </c>
      <c r="M727" s="112">
        <f t="shared" si="45"/>
        <v>6385.7174961000046</v>
      </c>
      <c r="N727" s="113">
        <f t="shared" si="46"/>
        <v>255.42869984400016</v>
      </c>
      <c r="O727" s="113">
        <f t="shared" si="47"/>
        <v>57216.028765056035</v>
      </c>
    </row>
    <row r="728" spans="1:15" x14ac:dyDescent="0.25">
      <c r="A728" s="43">
        <v>44465</v>
      </c>
      <c r="B728" s="51">
        <v>2471</v>
      </c>
      <c r="C728" s="66" t="s">
        <v>239</v>
      </c>
      <c r="D728" s="66" t="s">
        <v>477</v>
      </c>
      <c r="E728" t="s">
        <v>69</v>
      </c>
      <c r="F728" s="50" t="s">
        <v>566</v>
      </c>
      <c r="G728" s="50" t="s">
        <v>574</v>
      </c>
      <c r="H728" s="50">
        <v>2</v>
      </c>
      <c r="I728" s="100">
        <v>6.7391919697301583</v>
      </c>
      <c r="J728" s="52">
        <v>3834.68</v>
      </c>
      <c r="K728" s="67">
        <f t="shared" si="48"/>
        <v>63857.174961000041</v>
      </c>
      <c r="L728" s="95">
        <f>+VLOOKUP(E728,MARGEN!A:B,2,FALSE)</f>
        <v>0.1</v>
      </c>
      <c r="M728" s="112">
        <f t="shared" si="45"/>
        <v>6385.7174961000046</v>
      </c>
      <c r="N728" s="113">
        <f t="shared" si="46"/>
        <v>255.42869984400016</v>
      </c>
      <c r="O728" s="113">
        <f t="shared" si="47"/>
        <v>57216.028765056035</v>
      </c>
    </row>
    <row r="729" spans="1:15" x14ac:dyDescent="0.25">
      <c r="A729" s="43">
        <v>44465</v>
      </c>
      <c r="B729" s="51">
        <v>2231</v>
      </c>
      <c r="C729" s="66" t="s">
        <v>237</v>
      </c>
      <c r="D729" s="66" t="s">
        <v>480</v>
      </c>
      <c r="E729" t="s">
        <v>69</v>
      </c>
      <c r="F729" s="50" t="s">
        <v>566</v>
      </c>
      <c r="G729" s="50" t="s">
        <v>574</v>
      </c>
      <c r="H729" s="50">
        <v>2</v>
      </c>
      <c r="I729" s="100">
        <v>6.7391919697301583</v>
      </c>
      <c r="J729" s="52">
        <v>3834.68</v>
      </c>
      <c r="K729" s="67">
        <f t="shared" si="48"/>
        <v>57654.940242003679</v>
      </c>
      <c r="L729" s="95">
        <f>+VLOOKUP(E729,MARGEN!A:B,2,FALSE)</f>
        <v>0.1</v>
      </c>
      <c r="M729" s="112">
        <f t="shared" si="45"/>
        <v>5765.4940242003686</v>
      </c>
      <c r="N729" s="113">
        <f t="shared" si="46"/>
        <v>230.6197609680147</v>
      </c>
      <c r="O729" s="113">
        <f t="shared" si="47"/>
        <v>51658.826456835297</v>
      </c>
    </row>
    <row r="730" spans="1:15" x14ac:dyDescent="0.25">
      <c r="A730" s="13">
        <v>44465</v>
      </c>
      <c r="B730" s="97">
        <v>2087</v>
      </c>
      <c r="C730" t="s">
        <v>82</v>
      </c>
      <c r="D730" t="s">
        <v>462</v>
      </c>
      <c r="E730" t="s">
        <v>69</v>
      </c>
      <c r="F730" t="s">
        <v>566</v>
      </c>
      <c r="G730" s="50" t="s">
        <v>574</v>
      </c>
      <c r="H730" s="50">
        <v>2</v>
      </c>
      <c r="I730" s="100">
        <v>6.7391919697301583</v>
      </c>
      <c r="J730" s="52">
        <v>3834.68</v>
      </c>
      <c r="K730" s="67">
        <f t="shared" si="48"/>
        <v>53933.599410605872</v>
      </c>
      <c r="L730" s="95">
        <f>+VLOOKUP(E730,MARGEN!A:B,2,FALSE)</f>
        <v>0.1</v>
      </c>
      <c r="M730" s="112">
        <f t="shared" si="45"/>
        <v>5393.3599410605875</v>
      </c>
      <c r="N730" s="113">
        <f t="shared" si="46"/>
        <v>215.73439764242349</v>
      </c>
      <c r="O730" s="113">
        <f t="shared" si="47"/>
        <v>48324.505071902859</v>
      </c>
    </row>
    <row r="731" spans="1:15" x14ac:dyDescent="0.25">
      <c r="A731" s="13">
        <v>44465</v>
      </c>
      <c r="B731" s="97">
        <v>1655</v>
      </c>
      <c r="C731" t="s">
        <v>77</v>
      </c>
      <c r="D731" t="s">
        <v>474</v>
      </c>
      <c r="E731" t="s">
        <v>69</v>
      </c>
      <c r="F731" t="s">
        <v>566</v>
      </c>
      <c r="G731" s="50" t="s">
        <v>574</v>
      </c>
      <c r="H731" s="50">
        <v>2</v>
      </c>
      <c r="I731" s="100">
        <v>6.7391919697301583</v>
      </c>
      <c r="J731" s="52">
        <v>3834.68</v>
      </c>
      <c r="K731" s="67">
        <f t="shared" si="48"/>
        <v>42769.576916412421</v>
      </c>
      <c r="L731" s="95">
        <f>+VLOOKUP(E731,MARGEN!A:B,2,FALSE)</f>
        <v>0.1</v>
      </c>
      <c r="M731" s="112">
        <f t="shared" si="45"/>
        <v>4276.9576916412425</v>
      </c>
      <c r="N731" s="113">
        <f t="shared" si="46"/>
        <v>171.07830766564967</v>
      </c>
      <c r="O731" s="113">
        <f t="shared" si="47"/>
        <v>38321.540917105529</v>
      </c>
    </row>
    <row r="732" spans="1:15" x14ac:dyDescent="0.25">
      <c r="A732" s="43">
        <v>44466</v>
      </c>
      <c r="B732" s="51">
        <v>2639</v>
      </c>
      <c r="C732" s="66" t="s">
        <v>86</v>
      </c>
      <c r="D732" s="66" t="s">
        <v>479</v>
      </c>
      <c r="E732" t="s">
        <v>69</v>
      </c>
      <c r="F732" s="50" t="s">
        <v>558</v>
      </c>
      <c r="G732" s="50" t="s">
        <v>574</v>
      </c>
      <c r="H732" s="50">
        <v>2</v>
      </c>
      <c r="I732" s="100">
        <v>6.7391919697301583</v>
      </c>
      <c r="J732" s="52">
        <v>3834.68</v>
      </c>
      <c r="K732" s="67">
        <f t="shared" si="48"/>
        <v>68198.739264297488</v>
      </c>
      <c r="L732" s="95">
        <f>+VLOOKUP(E732,MARGEN!A:B,2,FALSE)</f>
        <v>0.1</v>
      </c>
      <c r="M732" s="112">
        <f t="shared" si="45"/>
        <v>6819.8739264297492</v>
      </c>
      <c r="N732" s="113">
        <f t="shared" si="46"/>
        <v>272.79495705718995</v>
      </c>
      <c r="O732" s="113">
        <f t="shared" si="47"/>
        <v>61106.070380810554</v>
      </c>
    </row>
    <row r="733" spans="1:15" x14ac:dyDescent="0.25">
      <c r="A733" s="43">
        <v>44466</v>
      </c>
      <c r="B733" s="51">
        <v>2375</v>
      </c>
      <c r="C733" s="66" t="s">
        <v>237</v>
      </c>
      <c r="D733" s="66" t="s">
        <v>480</v>
      </c>
      <c r="E733" t="s">
        <v>69</v>
      </c>
      <c r="F733" s="50" t="s">
        <v>558</v>
      </c>
      <c r="G733" s="50" t="s">
        <v>574</v>
      </c>
      <c r="H733" s="50">
        <v>2</v>
      </c>
      <c r="I733" s="100">
        <v>6.7391919697301583</v>
      </c>
      <c r="J733" s="52">
        <v>3834.68</v>
      </c>
      <c r="K733" s="67">
        <f t="shared" si="48"/>
        <v>61376.2810734015</v>
      </c>
      <c r="L733" s="95">
        <f>+VLOOKUP(E733,MARGEN!A:B,2,FALSE)</f>
        <v>0.1</v>
      </c>
      <c r="M733" s="112">
        <f t="shared" si="45"/>
        <v>6137.6281073401506</v>
      </c>
      <c r="N733" s="113">
        <f t="shared" si="46"/>
        <v>245.505124293606</v>
      </c>
      <c r="O733" s="113">
        <f t="shared" si="47"/>
        <v>54993.14784176775</v>
      </c>
    </row>
    <row r="734" spans="1:15" x14ac:dyDescent="0.25">
      <c r="A734" s="43">
        <v>44466</v>
      </c>
      <c r="B734" s="51">
        <v>2183</v>
      </c>
      <c r="C734" s="66" t="s">
        <v>82</v>
      </c>
      <c r="D734" s="66" t="s">
        <v>462</v>
      </c>
      <c r="E734" t="s">
        <v>69</v>
      </c>
      <c r="F734" s="50" t="s">
        <v>558</v>
      </c>
      <c r="G734" s="50" t="s">
        <v>574</v>
      </c>
      <c r="H734" s="50">
        <v>2</v>
      </c>
      <c r="I734" s="100">
        <v>6.7391919697301583</v>
      </c>
      <c r="J734" s="52">
        <v>3834.68</v>
      </c>
      <c r="K734" s="67">
        <f t="shared" si="48"/>
        <v>56414.493298204405</v>
      </c>
      <c r="L734" s="95">
        <f>+VLOOKUP(E734,MARGEN!A:B,2,FALSE)</f>
        <v>0.1</v>
      </c>
      <c r="M734" s="112">
        <f t="shared" si="45"/>
        <v>5641.4493298204407</v>
      </c>
      <c r="N734" s="113">
        <f t="shared" si="46"/>
        <v>225.65797319281762</v>
      </c>
      <c r="O734" s="113">
        <f t="shared" si="47"/>
        <v>50547.385995191151</v>
      </c>
    </row>
    <row r="735" spans="1:15" x14ac:dyDescent="0.25">
      <c r="A735" s="43">
        <v>44466</v>
      </c>
      <c r="B735" s="51">
        <v>1727</v>
      </c>
      <c r="C735" s="66" t="s">
        <v>77</v>
      </c>
      <c r="D735" s="66" t="s">
        <v>474</v>
      </c>
      <c r="E735" t="s">
        <v>69</v>
      </c>
      <c r="F735" s="50" t="s">
        <v>558</v>
      </c>
      <c r="G735" s="50" t="s">
        <v>574</v>
      </c>
      <c r="H735" s="50">
        <v>2</v>
      </c>
      <c r="I735" s="100">
        <v>6.7391919697301583</v>
      </c>
      <c r="J735" s="52">
        <v>3834.68</v>
      </c>
      <c r="K735" s="67">
        <f t="shared" si="48"/>
        <v>44630.247332111321</v>
      </c>
      <c r="L735" s="95">
        <f>+VLOOKUP(E735,MARGEN!A:B,2,FALSE)</f>
        <v>0.1</v>
      </c>
      <c r="M735" s="112">
        <f t="shared" si="45"/>
        <v>4463.0247332111321</v>
      </c>
      <c r="N735" s="113">
        <f t="shared" si="46"/>
        <v>178.5209893284453</v>
      </c>
      <c r="O735" s="113">
        <f t="shared" si="47"/>
        <v>39988.701609571741</v>
      </c>
    </row>
    <row r="736" spans="1:15" x14ac:dyDescent="0.25">
      <c r="A736" s="43">
        <v>44467</v>
      </c>
      <c r="B736" s="51">
        <v>1775</v>
      </c>
      <c r="C736" s="66" t="s">
        <v>77</v>
      </c>
      <c r="D736" s="66" t="s">
        <v>474</v>
      </c>
      <c r="E736" t="s">
        <v>69</v>
      </c>
      <c r="F736" s="50" t="s">
        <v>558</v>
      </c>
      <c r="G736" s="50" t="s">
        <v>574</v>
      </c>
      <c r="H736" s="50">
        <v>2</v>
      </c>
      <c r="I736" s="100">
        <v>6.7391919697301583</v>
      </c>
      <c r="J736" s="52">
        <v>3834.68</v>
      </c>
      <c r="K736" s="67">
        <f t="shared" si="48"/>
        <v>45870.694275910595</v>
      </c>
      <c r="L736" s="95">
        <f>+VLOOKUP(E736,MARGEN!A:B,2,FALSE)</f>
        <v>0.1</v>
      </c>
      <c r="M736" s="112">
        <f t="shared" si="45"/>
        <v>4587.06942759106</v>
      </c>
      <c r="N736" s="113">
        <f t="shared" si="46"/>
        <v>183.48277710364238</v>
      </c>
      <c r="O736" s="113">
        <f t="shared" si="47"/>
        <v>41100.142071215894</v>
      </c>
    </row>
    <row r="737" spans="1:15" x14ac:dyDescent="0.25">
      <c r="A737" s="43">
        <v>44468</v>
      </c>
      <c r="B737" s="51">
        <v>2183</v>
      </c>
      <c r="C737" s="66" t="s">
        <v>82</v>
      </c>
      <c r="D737" s="66" t="s">
        <v>462</v>
      </c>
      <c r="E737" t="s">
        <v>69</v>
      </c>
      <c r="F737" s="50" t="s">
        <v>558</v>
      </c>
      <c r="G737" s="50" t="s">
        <v>574</v>
      </c>
      <c r="H737" s="50">
        <v>2</v>
      </c>
      <c r="I737" s="100">
        <v>6.7391919697301583</v>
      </c>
      <c r="J737" s="52">
        <v>3834.68</v>
      </c>
      <c r="K737" s="67">
        <f t="shared" si="48"/>
        <v>56414.493298204405</v>
      </c>
      <c r="L737" s="95">
        <f>+VLOOKUP(E737,MARGEN!A:B,2,FALSE)</f>
        <v>0.1</v>
      </c>
      <c r="M737" s="112">
        <f t="shared" si="45"/>
        <v>5641.4493298204407</v>
      </c>
      <c r="N737" s="113">
        <f t="shared" si="46"/>
        <v>225.65797319281762</v>
      </c>
      <c r="O737" s="113">
        <f t="shared" si="47"/>
        <v>50547.385995191151</v>
      </c>
    </row>
    <row r="738" spans="1:15" x14ac:dyDescent="0.25">
      <c r="A738" s="13">
        <v>44468</v>
      </c>
      <c r="B738" s="97">
        <v>1751</v>
      </c>
      <c r="C738" t="s">
        <v>77</v>
      </c>
      <c r="D738" s="94" t="s">
        <v>474</v>
      </c>
      <c r="E738" t="s">
        <v>69</v>
      </c>
      <c r="F738" t="s">
        <v>558</v>
      </c>
      <c r="G738" s="50" t="s">
        <v>574</v>
      </c>
      <c r="H738" s="50">
        <v>2</v>
      </c>
      <c r="I738" s="100">
        <v>6.7391919697301583</v>
      </c>
      <c r="J738" s="52">
        <v>3834.68</v>
      </c>
      <c r="K738" s="67">
        <f t="shared" si="48"/>
        <v>45250.470804010954</v>
      </c>
      <c r="L738" s="95">
        <f>+VLOOKUP(E738,MARGEN!A:B,2,FALSE)</f>
        <v>0.1</v>
      </c>
      <c r="M738" s="112">
        <f t="shared" si="45"/>
        <v>4525.0470804010956</v>
      </c>
      <c r="N738" s="113">
        <f t="shared" si="46"/>
        <v>181.00188321604381</v>
      </c>
      <c r="O738" s="113">
        <f t="shared" si="47"/>
        <v>40544.421840393814</v>
      </c>
    </row>
    <row r="739" spans="1:15" x14ac:dyDescent="0.25">
      <c r="A739" s="13">
        <v>44447</v>
      </c>
      <c r="B739" s="97">
        <v>66470</v>
      </c>
      <c r="C739" s="88" t="s">
        <v>245</v>
      </c>
      <c r="D739" t="s">
        <v>335</v>
      </c>
      <c r="E739" t="s">
        <v>240</v>
      </c>
      <c r="F739" t="s">
        <v>557</v>
      </c>
      <c r="G739" s="50" t="s">
        <v>205</v>
      </c>
      <c r="H739" s="50">
        <v>2</v>
      </c>
      <c r="I739" s="100">
        <v>6.7391919697301583</v>
      </c>
      <c r="J739" s="52">
        <v>3834.68</v>
      </c>
      <c r="K739" s="67">
        <f t="shared" si="48"/>
        <v>1717760.5907153676</v>
      </c>
      <c r="L739" s="95">
        <f>+VLOOKUP(E739,MARGEN!A:B,2,FALSE)</f>
        <v>0.1</v>
      </c>
      <c r="M739" s="112">
        <f t="shared" si="45"/>
        <v>171776.05907153676</v>
      </c>
      <c r="N739" s="113">
        <f t="shared" si="46"/>
        <v>6871.0423628614699</v>
      </c>
      <c r="O739" s="113">
        <f t="shared" si="47"/>
        <v>1539113.4892809691</v>
      </c>
    </row>
    <row r="740" spans="1:15" x14ac:dyDescent="0.25">
      <c r="A740" s="13">
        <v>44448</v>
      </c>
      <c r="B740" s="97">
        <v>68702</v>
      </c>
      <c r="C740" t="s">
        <v>245</v>
      </c>
      <c r="D740" s="94" t="s">
        <v>335</v>
      </c>
      <c r="E740" t="s">
        <v>240</v>
      </c>
      <c r="F740" t="s">
        <v>557</v>
      </c>
      <c r="G740" s="50" t="s">
        <v>205</v>
      </c>
      <c r="H740" s="50">
        <v>2</v>
      </c>
      <c r="I740" s="100">
        <v>6.7391919697301583</v>
      </c>
      <c r="J740" s="52">
        <v>3834.68</v>
      </c>
      <c r="K740" s="67">
        <f t="shared" si="48"/>
        <v>1775441.3736020338</v>
      </c>
      <c r="L740" s="95">
        <f>+VLOOKUP(E740,MARGEN!A:B,2,FALSE)</f>
        <v>0.1</v>
      </c>
      <c r="M740" s="112">
        <f t="shared" si="45"/>
        <v>177544.1373602034</v>
      </c>
      <c r="N740" s="113">
        <f t="shared" si="46"/>
        <v>7101.7654944081351</v>
      </c>
      <c r="O740" s="113">
        <f t="shared" si="47"/>
        <v>1590795.4707474224</v>
      </c>
    </row>
    <row r="741" spans="1:15" x14ac:dyDescent="0.25">
      <c r="A741" s="13">
        <v>44454</v>
      </c>
      <c r="B741" s="97">
        <v>66467</v>
      </c>
      <c r="C741" t="s">
        <v>245</v>
      </c>
      <c r="D741" s="94" t="s">
        <v>335</v>
      </c>
      <c r="E741" t="s">
        <v>240</v>
      </c>
      <c r="F741" t="s">
        <v>551</v>
      </c>
      <c r="G741" s="50" t="s">
        <v>205</v>
      </c>
      <c r="H741" s="50">
        <v>2</v>
      </c>
      <c r="I741" s="100">
        <v>6.7391919697301583</v>
      </c>
      <c r="J741" s="52">
        <v>3834.68</v>
      </c>
      <c r="K741" s="67">
        <f t="shared" si="48"/>
        <v>1717683.06278138</v>
      </c>
      <c r="L741" s="95">
        <f>+VLOOKUP(E741,MARGEN!A:B,2,FALSE)</f>
        <v>0.1</v>
      </c>
      <c r="M741" s="112">
        <f t="shared" si="45"/>
        <v>171768.30627813801</v>
      </c>
      <c r="N741" s="113">
        <f t="shared" si="46"/>
        <v>6870.7322511255197</v>
      </c>
      <c r="O741" s="113">
        <f t="shared" si="47"/>
        <v>1539044.0242521164</v>
      </c>
    </row>
    <row r="742" spans="1:15" x14ac:dyDescent="0.25">
      <c r="A742" s="13">
        <v>44455</v>
      </c>
      <c r="B742" s="97">
        <v>68701</v>
      </c>
      <c r="C742" t="s">
        <v>245</v>
      </c>
      <c r="D742" s="94" t="s">
        <v>335</v>
      </c>
      <c r="E742" t="s">
        <v>240</v>
      </c>
      <c r="F742" t="s">
        <v>566</v>
      </c>
      <c r="G742" s="50" t="s">
        <v>559</v>
      </c>
      <c r="H742" s="50">
        <v>2</v>
      </c>
      <c r="I742" s="100">
        <v>6.7391919697301583</v>
      </c>
      <c r="J742" s="52">
        <v>3834.68</v>
      </c>
      <c r="K742" s="67">
        <f t="shared" si="48"/>
        <v>1775415.5309573712</v>
      </c>
      <c r="L742" s="95">
        <f>+VLOOKUP(E742,MARGEN!A:B,2,FALSE)</f>
        <v>0.1</v>
      </c>
      <c r="M742" s="112">
        <f t="shared" si="45"/>
        <v>177541.55309573712</v>
      </c>
      <c r="N742" s="113">
        <f t="shared" si="46"/>
        <v>7101.6621238294847</v>
      </c>
      <c r="O742" s="113">
        <f t="shared" si="47"/>
        <v>1590772.3157378044</v>
      </c>
    </row>
    <row r="743" spans="1:15" x14ac:dyDescent="0.25">
      <c r="A743" s="13">
        <v>44456</v>
      </c>
      <c r="B743" s="97">
        <v>68701</v>
      </c>
      <c r="C743" t="s">
        <v>245</v>
      </c>
      <c r="D743" s="94" t="s">
        <v>335</v>
      </c>
      <c r="E743" t="s">
        <v>240</v>
      </c>
      <c r="F743" t="s">
        <v>566</v>
      </c>
      <c r="G743" s="50" t="s">
        <v>559</v>
      </c>
      <c r="H743" s="50">
        <v>2</v>
      </c>
      <c r="I743" s="100">
        <v>6.7391919697301583</v>
      </c>
      <c r="J743" s="52">
        <v>3834.68</v>
      </c>
      <c r="K743" s="67">
        <f t="shared" si="48"/>
        <v>1775415.5309573712</v>
      </c>
      <c r="L743" s="95">
        <f>+VLOOKUP(E743,MARGEN!A:B,2,FALSE)</f>
        <v>0.1</v>
      </c>
      <c r="M743" s="112">
        <f t="shared" si="45"/>
        <v>177541.55309573712</v>
      </c>
      <c r="N743" s="113">
        <f t="shared" si="46"/>
        <v>7101.6621238294847</v>
      </c>
      <c r="O743" s="113">
        <f t="shared" si="47"/>
        <v>1590772.3157378044</v>
      </c>
    </row>
    <row r="744" spans="1:15" x14ac:dyDescent="0.25">
      <c r="A744" s="13">
        <v>44457</v>
      </c>
      <c r="B744" s="97">
        <v>67549</v>
      </c>
      <c r="C744" t="s">
        <v>245</v>
      </c>
      <c r="D744" s="94" t="s">
        <v>335</v>
      </c>
      <c r="E744" t="s">
        <v>240</v>
      </c>
      <c r="F744" t="s">
        <v>566</v>
      </c>
      <c r="G744" s="50" t="s">
        <v>559</v>
      </c>
      <c r="H744" s="50">
        <v>2</v>
      </c>
      <c r="I744" s="100">
        <v>6.7391919697301583</v>
      </c>
      <c r="J744" s="52">
        <v>3834.68</v>
      </c>
      <c r="K744" s="67">
        <f t="shared" si="48"/>
        <v>1745644.8043061888</v>
      </c>
      <c r="L744" s="95">
        <f>+VLOOKUP(E744,MARGEN!A:B,2,FALSE)</f>
        <v>0.1</v>
      </c>
      <c r="M744" s="112">
        <f t="shared" si="45"/>
        <v>174564.48043061889</v>
      </c>
      <c r="N744" s="113">
        <f t="shared" si="46"/>
        <v>6982.5792172247557</v>
      </c>
      <c r="O744" s="113">
        <f t="shared" si="47"/>
        <v>1564097.7446583451</v>
      </c>
    </row>
    <row r="745" spans="1:15" x14ac:dyDescent="0.25">
      <c r="A745" s="13">
        <v>44458</v>
      </c>
      <c r="B745" s="97">
        <v>68701</v>
      </c>
      <c r="C745" t="s">
        <v>245</v>
      </c>
      <c r="D745" s="94" t="s">
        <v>335</v>
      </c>
      <c r="E745" t="s">
        <v>240</v>
      </c>
      <c r="F745" t="s">
        <v>566</v>
      </c>
      <c r="G745" s="50" t="s">
        <v>559</v>
      </c>
      <c r="H745" s="50">
        <v>2</v>
      </c>
      <c r="I745" s="100">
        <v>6.7391919697301583</v>
      </c>
      <c r="J745" s="52">
        <v>3834.68</v>
      </c>
      <c r="K745" s="67">
        <f t="shared" si="48"/>
        <v>1775415.5309573712</v>
      </c>
      <c r="L745" s="95">
        <f>+VLOOKUP(E745,MARGEN!A:B,2,FALSE)</f>
        <v>0.1</v>
      </c>
      <c r="M745" s="112">
        <f t="shared" si="45"/>
        <v>177541.55309573712</v>
      </c>
      <c r="N745" s="113">
        <f t="shared" si="46"/>
        <v>7101.6621238294847</v>
      </c>
      <c r="O745" s="113">
        <f t="shared" si="47"/>
        <v>1590772.3157378044</v>
      </c>
    </row>
    <row r="746" spans="1:15" x14ac:dyDescent="0.25">
      <c r="A746" s="13">
        <v>44458</v>
      </c>
      <c r="B746" s="97">
        <v>66587</v>
      </c>
      <c r="C746" t="s">
        <v>245</v>
      </c>
      <c r="D746" s="94" t="s">
        <v>335</v>
      </c>
      <c r="E746" t="s">
        <v>240</v>
      </c>
      <c r="F746" t="s">
        <v>551</v>
      </c>
      <c r="G746" s="50" t="s">
        <v>205</v>
      </c>
      <c r="H746" s="50">
        <v>2</v>
      </c>
      <c r="I746" s="100">
        <v>6.7391919697301583</v>
      </c>
      <c r="J746" s="52">
        <v>3834.68</v>
      </c>
      <c r="K746" s="67">
        <f t="shared" si="48"/>
        <v>1720784.1801408783</v>
      </c>
      <c r="L746" s="95">
        <f>+VLOOKUP(E746,MARGEN!A:B,2,FALSE)</f>
        <v>0.1</v>
      </c>
      <c r="M746" s="112">
        <f t="shared" si="45"/>
        <v>172078.41801408783</v>
      </c>
      <c r="N746" s="113">
        <f t="shared" si="46"/>
        <v>6883.1367205635133</v>
      </c>
      <c r="O746" s="113">
        <f t="shared" si="47"/>
        <v>1541822.6254062268</v>
      </c>
    </row>
    <row r="747" spans="1:15" x14ac:dyDescent="0.25">
      <c r="A747" s="13">
        <v>44459</v>
      </c>
      <c r="B747" s="97">
        <v>65679</v>
      </c>
      <c r="C747" s="88" t="s">
        <v>245</v>
      </c>
      <c r="D747" t="s">
        <v>335</v>
      </c>
      <c r="E747" t="s">
        <v>240</v>
      </c>
      <c r="F747" t="s">
        <v>558</v>
      </c>
      <c r="G747" s="50" t="s">
        <v>574</v>
      </c>
      <c r="H747" s="50">
        <v>2</v>
      </c>
      <c r="I747" s="100">
        <v>6.7391919697301583</v>
      </c>
      <c r="J747" s="52">
        <v>3834.68</v>
      </c>
      <c r="K747" s="67">
        <f t="shared" si="48"/>
        <v>1697319.0587873419</v>
      </c>
      <c r="L747" s="95">
        <f>+VLOOKUP(E747,MARGEN!A:B,2,FALSE)</f>
        <v>0.1</v>
      </c>
      <c r="M747" s="112">
        <f t="shared" si="45"/>
        <v>169731.90587873419</v>
      </c>
      <c r="N747" s="113">
        <f t="shared" si="46"/>
        <v>6789.2762351493675</v>
      </c>
      <c r="O747" s="113">
        <f t="shared" si="47"/>
        <v>1520797.8766734584</v>
      </c>
    </row>
    <row r="748" spans="1:15" x14ac:dyDescent="0.25">
      <c r="A748" s="13">
        <v>44460</v>
      </c>
      <c r="B748" s="97">
        <v>66585</v>
      </c>
      <c r="C748" t="s">
        <v>245</v>
      </c>
      <c r="D748" s="94" t="s">
        <v>335</v>
      </c>
      <c r="E748" t="s">
        <v>240</v>
      </c>
      <c r="F748" t="s">
        <v>562</v>
      </c>
      <c r="G748" s="50" t="s">
        <v>574</v>
      </c>
      <c r="H748" s="50">
        <v>2</v>
      </c>
      <c r="I748" s="100">
        <v>6.7391919697301583</v>
      </c>
      <c r="J748" s="52">
        <v>3834.68</v>
      </c>
      <c r="K748" s="67">
        <f t="shared" si="48"/>
        <v>1720732.4948515531</v>
      </c>
      <c r="L748" s="95">
        <f>+VLOOKUP(E748,MARGEN!A:B,2,FALSE)</f>
        <v>0.1</v>
      </c>
      <c r="M748" s="112">
        <f t="shared" si="45"/>
        <v>172073.24948515533</v>
      </c>
      <c r="N748" s="113">
        <f t="shared" si="46"/>
        <v>6882.9299794062126</v>
      </c>
      <c r="O748" s="113">
        <f t="shared" si="47"/>
        <v>1541776.3153869915</v>
      </c>
    </row>
    <row r="749" spans="1:15" x14ac:dyDescent="0.25">
      <c r="A749" s="13">
        <v>44461</v>
      </c>
      <c r="B749" s="97">
        <v>66471</v>
      </c>
      <c r="C749" t="s">
        <v>245</v>
      </c>
      <c r="D749" t="s">
        <v>335</v>
      </c>
      <c r="E749" t="s">
        <v>240</v>
      </c>
      <c r="F749" t="s">
        <v>558</v>
      </c>
      <c r="G749" s="50" t="s">
        <v>574</v>
      </c>
      <c r="H749" s="50">
        <v>2</v>
      </c>
      <c r="I749" s="100">
        <v>6.7391919697301583</v>
      </c>
      <c r="J749" s="52">
        <v>3834.68</v>
      </c>
      <c r="K749" s="67">
        <f t="shared" si="48"/>
        <v>1717786.4333600299</v>
      </c>
      <c r="L749" s="95">
        <f>+VLOOKUP(E749,MARGEN!A:B,2,FALSE)</f>
        <v>0.1</v>
      </c>
      <c r="M749" s="112">
        <f t="shared" si="45"/>
        <v>171778.64333600301</v>
      </c>
      <c r="N749" s="113">
        <f t="shared" si="46"/>
        <v>6871.1457334401193</v>
      </c>
      <c r="O749" s="113">
        <f t="shared" si="47"/>
        <v>1539136.6442905869</v>
      </c>
    </row>
    <row r="750" spans="1:15" x14ac:dyDescent="0.25">
      <c r="A750" s="13">
        <v>44462</v>
      </c>
      <c r="B750" s="97">
        <v>68703</v>
      </c>
      <c r="C750" t="s">
        <v>245</v>
      </c>
      <c r="D750" t="s">
        <v>335</v>
      </c>
      <c r="E750" t="s">
        <v>240</v>
      </c>
      <c r="F750" t="s">
        <v>558</v>
      </c>
      <c r="G750" s="50" t="s">
        <v>574</v>
      </c>
      <c r="H750" s="50">
        <v>2</v>
      </c>
      <c r="I750" s="100">
        <v>6.7391919697301583</v>
      </c>
      <c r="J750" s="52">
        <v>3834.68</v>
      </c>
      <c r="K750" s="67">
        <f t="shared" si="48"/>
        <v>1775467.216246696</v>
      </c>
      <c r="L750" s="95">
        <f>+VLOOKUP(E750,MARGEN!A:B,2,FALSE)</f>
        <v>0.1</v>
      </c>
      <c r="M750" s="112">
        <f t="shared" si="45"/>
        <v>177546.72162466962</v>
      </c>
      <c r="N750" s="113">
        <f t="shared" si="46"/>
        <v>7101.8688649867836</v>
      </c>
      <c r="O750" s="113">
        <f t="shared" si="47"/>
        <v>1590818.6257570395</v>
      </c>
    </row>
    <row r="751" spans="1:15" x14ac:dyDescent="0.25">
      <c r="A751" s="43">
        <v>44463</v>
      </c>
      <c r="B751" s="51">
        <v>68703</v>
      </c>
      <c r="C751" s="66" t="s">
        <v>245</v>
      </c>
      <c r="D751" s="66" t="s">
        <v>335</v>
      </c>
      <c r="E751" t="s">
        <v>240</v>
      </c>
      <c r="F751" s="50" t="s">
        <v>558</v>
      </c>
      <c r="G751" s="50" t="s">
        <v>574</v>
      </c>
      <c r="H751" s="50">
        <v>2</v>
      </c>
      <c r="I751" s="100">
        <v>6.7391919697301583</v>
      </c>
      <c r="J751" s="52">
        <v>3834.68</v>
      </c>
      <c r="K751" s="67">
        <f t="shared" si="48"/>
        <v>1775467.216246696</v>
      </c>
      <c r="L751" s="95">
        <f>+VLOOKUP(E751,MARGEN!A:B,2,FALSE)</f>
        <v>0.1</v>
      </c>
      <c r="M751" s="112">
        <f t="shared" si="45"/>
        <v>177546.72162466962</v>
      </c>
      <c r="N751" s="113">
        <f t="shared" si="46"/>
        <v>7101.8688649867836</v>
      </c>
      <c r="O751" s="113">
        <f t="shared" si="47"/>
        <v>1590818.6257570395</v>
      </c>
    </row>
    <row r="752" spans="1:15" x14ac:dyDescent="0.25">
      <c r="A752" s="13">
        <v>44464</v>
      </c>
      <c r="B752" s="97">
        <v>67545</v>
      </c>
      <c r="C752" t="s">
        <v>245</v>
      </c>
      <c r="D752" t="s">
        <v>335</v>
      </c>
      <c r="E752" t="s">
        <v>240</v>
      </c>
      <c r="F752" t="s">
        <v>562</v>
      </c>
      <c r="G752" s="50" t="s">
        <v>574</v>
      </c>
      <c r="H752" s="50">
        <v>2</v>
      </c>
      <c r="I752" s="100">
        <v>6.7391919697301583</v>
      </c>
      <c r="J752" s="52">
        <v>3834.68</v>
      </c>
      <c r="K752" s="67">
        <f t="shared" si="48"/>
        <v>1745541.4337275387</v>
      </c>
      <c r="L752" s="95">
        <f>+VLOOKUP(E752,MARGEN!A:B,2,FALSE)</f>
        <v>0.1</v>
      </c>
      <c r="M752" s="112">
        <f t="shared" si="45"/>
        <v>174554.14337275387</v>
      </c>
      <c r="N752" s="113">
        <f t="shared" si="46"/>
        <v>6982.1657349101552</v>
      </c>
      <c r="O752" s="113">
        <f t="shared" si="47"/>
        <v>1564005.1246198746</v>
      </c>
    </row>
    <row r="753" spans="1:15" x14ac:dyDescent="0.25">
      <c r="A753" s="13">
        <v>44465</v>
      </c>
      <c r="B753" s="97">
        <v>68701</v>
      </c>
      <c r="C753" t="s">
        <v>245</v>
      </c>
      <c r="D753" t="s">
        <v>335</v>
      </c>
      <c r="E753" t="s">
        <v>240</v>
      </c>
      <c r="F753" t="s">
        <v>566</v>
      </c>
      <c r="G753" s="50" t="s">
        <v>574</v>
      </c>
      <c r="H753" s="50">
        <v>2</v>
      </c>
      <c r="I753" s="100">
        <v>6.7391919697301583</v>
      </c>
      <c r="J753" s="52">
        <v>3834.68</v>
      </c>
      <c r="K753" s="67">
        <f t="shared" si="48"/>
        <v>1775415.5309573712</v>
      </c>
      <c r="L753" s="95">
        <f>+VLOOKUP(E753,MARGEN!A:B,2,FALSE)</f>
        <v>0.1</v>
      </c>
      <c r="M753" s="112">
        <f t="shared" si="45"/>
        <v>177541.55309573712</v>
      </c>
      <c r="N753" s="113">
        <f t="shared" si="46"/>
        <v>7101.6621238294847</v>
      </c>
      <c r="O753" s="113">
        <f t="shared" si="47"/>
        <v>1590772.3157378044</v>
      </c>
    </row>
    <row r="754" spans="1:15" x14ac:dyDescent="0.25">
      <c r="A754" s="43">
        <v>44466</v>
      </c>
      <c r="B754" s="51">
        <v>65679</v>
      </c>
      <c r="C754" s="66" t="s">
        <v>245</v>
      </c>
      <c r="D754" s="66" t="s">
        <v>335</v>
      </c>
      <c r="E754" t="s">
        <v>240</v>
      </c>
      <c r="F754" s="50" t="s">
        <v>558</v>
      </c>
      <c r="G754" s="50" t="s">
        <v>574</v>
      </c>
      <c r="H754" s="50">
        <v>2</v>
      </c>
      <c r="I754" s="100">
        <v>6.7391919697301583</v>
      </c>
      <c r="J754" s="52">
        <v>3834.68</v>
      </c>
      <c r="K754" s="67">
        <f t="shared" si="48"/>
        <v>1697319.0587873419</v>
      </c>
      <c r="L754" s="95">
        <f>+VLOOKUP(E754,MARGEN!A:B,2,FALSE)</f>
        <v>0.1</v>
      </c>
      <c r="M754" s="112">
        <f t="shared" si="45"/>
        <v>169731.90587873419</v>
      </c>
      <c r="N754" s="113">
        <f t="shared" si="46"/>
        <v>6789.2762351493675</v>
      </c>
      <c r="O754" s="113">
        <f t="shared" si="47"/>
        <v>1520797.8766734584</v>
      </c>
    </row>
    <row r="755" spans="1:15" x14ac:dyDescent="0.25">
      <c r="A755" s="43">
        <v>44467</v>
      </c>
      <c r="B755" s="51">
        <v>66585</v>
      </c>
      <c r="C755" s="66" t="s">
        <v>245</v>
      </c>
      <c r="D755" s="66" t="s">
        <v>335</v>
      </c>
      <c r="E755" t="s">
        <v>240</v>
      </c>
      <c r="F755" s="50" t="s">
        <v>562</v>
      </c>
      <c r="G755" s="50" t="s">
        <v>574</v>
      </c>
      <c r="H755" s="50">
        <v>2</v>
      </c>
      <c r="I755" s="100">
        <v>6.7391919697301583</v>
      </c>
      <c r="J755" s="52">
        <v>3834.68</v>
      </c>
      <c r="K755" s="67">
        <f t="shared" si="48"/>
        <v>1720732.4948515531</v>
      </c>
      <c r="L755" s="95">
        <f>+VLOOKUP(E755,MARGEN!A:B,2,FALSE)</f>
        <v>0.1</v>
      </c>
      <c r="M755" s="112">
        <f t="shared" si="45"/>
        <v>172073.24948515533</v>
      </c>
      <c r="N755" s="113">
        <f t="shared" si="46"/>
        <v>6882.9299794062126</v>
      </c>
      <c r="O755" s="113">
        <f t="shared" si="47"/>
        <v>1541776.3153869915</v>
      </c>
    </row>
    <row r="756" spans="1:15" x14ac:dyDescent="0.25">
      <c r="A756" s="43">
        <v>44468</v>
      </c>
      <c r="B756" s="51">
        <v>66471</v>
      </c>
      <c r="C756" s="66" t="s">
        <v>245</v>
      </c>
      <c r="D756" s="66" t="s">
        <v>335</v>
      </c>
      <c r="E756" t="s">
        <v>240</v>
      </c>
      <c r="F756" s="50" t="s">
        <v>558</v>
      </c>
      <c r="G756" s="50" t="s">
        <v>574</v>
      </c>
      <c r="H756" s="50">
        <v>2</v>
      </c>
      <c r="I756" s="100">
        <v>6.7391919697301583</v>
      </c>
      <c r="J756" s="52">
        <v>3834.68</v>
      </c>
      <c r="K756" s="67">
        <f t="shared" si="48"/>
        <v>1717786.4333600299</v>
      </c>
      <c r="L756" s="95">
        <f>+VLOOKUP(E756,MARGEN!A:B,2,FALSE)</f>
        <v>0.1</v>
      </c>
      <c r="M756" s="112">
        <f t="shared" si="45"/>
        <v>171778.64333600301</v>
      </c>
      <c r="N756" s="113">
        <f t="shared" si="46"/>
        <v>6871.1457334401193</v>
      </c>
      <c r="O756" s="113">
        <f t="shared" si="47"/>
        <v>1539136.6442905869</v>
      </c>
    </row>
    <row r="757" spans="1:15" x14ac:dyDescent="0.25">
      <c r="A757" s="13">
        <v>44446</v>
      </c>
      <c r="B757" s="97">
        <v>309963</v>
      </c>
      <c r="C757" s="88" t="s">
        <v>110</v>
      </c>
      <c r="D757" t="s">
        <v>473</v>
      </c>
      <c r="E757" t="s">
        <v>64</v>
      </c>
      <c r="F757" t="s">
        <v>557</v>
      </c>
      <c r="G757" s="50" t="s">
        <v>205</v>
      </c>
      <c r="H757" s="50">
        <v>2</v>
      </c>
      <c r="I757" s="100">
        <v>6.7391919697301583</v>
      </c>
      <c r="J757" s="52">
        <v>3834.68</v>
      </c>
      <c r="K757" s="67">
        <f t="shared" si="48"/>
        <v>8010263.6675177887</v>
      </c>
      <c r="L757" s="95">
        <f>+VLOOKUP(E757,MARGEN!A:B,2,FALSE)</f>
        <v>0.1</v>
      </c>
      <c r="M757" s="112">
        <f t="shared" si="45"/>
        <v>801026.36675177887</v>
      </c>
      <c r="N757" s="113">
        <f t="shared" si="46"/>
        <v>32041.054670071157</v>
      </c>
      <c r="O757" s="113">
        <f t="shared" si="47"/>
        <v>7177196.2460959386</v>
      </c>
    </row>
    <row r="758" spans="1:15" x14ac:dyDescent="0.25">
      <c r="A758" s="13">
        <v>44447</v>
      </c>
      <c r="B758" s="97">
        <v>309963</v>
      </c>
      <c r="C758" t="s">
        <v>110</v>
      </c>
      <c r="D758" s="94" t="s">
        <v>473</v>
      </c>
      <c r="E758" t="s">
        <v>64</v>
      </c>
      <c r="F758" t="s">
        <v>557</v>
      </c>
      <c r="G758" s="50" t="s">
        <v>205</v>
      </c>
      <c r="H758" s="50">
        <v>2</v>
      </c>
      <c r="I758" s="100">
        <v>6.7391919697301583</v>
      </c>
      <c r="J758" s="52">
        <v>3834.68</v>
      </c>
      <c r="K758" s="67">
        <f t="shared" si="48"/>
        <v>8010263.6675177887</v>
      </c>
      <c r="L758" s="95">
        <f>+VLOOKUP(E758,MARGEN!A:B,2,FALSE)</f>
        <v>0.1</v>
      </c>
      <c r="M758" s="112">
        <f t="shared" si="45"/>
        <v>801026.36675177887</v>
      </c>
      <c r="N758" s="113">
        <f t="shared" si="46"/>
        <v>32041.054670071157</v>
      </c>
      <c r="O758" s="113">
        <f t="shared" si="47"/>
        <v>7177196.2460959386</v>
      </c>
    </row>
    <row r="759" spans="1:15" x14ac:dyDescent="0.25">
      <c r="A759" s="13">
        <v>44448</v>
      </c>
      <c r="B759" s="97">
        <v>309961</v>
      </c>
      <c r="C759" t="s">
        <v>110</v>
      </c>
      <c r="D759" s="94" t="s">
        <v>473</v>
      </c>
      <c r="E759" t="s">
        <v>64</v>
      </c>
      <c r="F759" t="s">
        <v>566</v>
      </c>
      <c r="G759" s="50" t="s">
        <v>559</v>
      </c>
      <c r="H759" s="50">
        <v>2</v>
      </c>
      <c r="I759" s="100">
        <v>6.7391919697301583</v>
      </c>
      <c r="J759" s="52">
        <v>3834.68</v>
      </c>
      <c r="K759" s="67">
        <f t="shared" si="48"/>
        <v>8010211.9822284644</v>
      </c>
      <c r="L759" s="95">
        <f>+VLOOKUP(E759,MARGEN!A:B,2,FALSE)</f>
        <v>0.1</v>
      </c>
      <c r="M759" s="112">
        <f t="shared" si="45"/>
        <v>801021.19822284649</v>
      </c>
      <c r="N759" s="113">
        <f t="shared" si="46"/>
        <v>32040.84792891386</v>
      </c>
      <c r="O759" s="113">
        <f t="shared" si="47"/>
        <v>7177149.9360767035</v>
      </c>
    </row>
    <row r="760" spans="1:15" x14ac:dyDescent="0.25">
      <c r="A760" s="13">
        <v>44449</v>
      </c>
      <c r="B760" s="97">
        <v>309961</v>
      </c>
      <c r="C760" t="s">
        <v>110</v>
      </c>
      <c r="D760" s="94" t="s">
        <v>473</v>
      </c>
      <c r="E760" t="s">
        <v>64</v>
      </c>
      <c r="F760" t="s">
        <v>566</v>
      </c>
      <c r="G760" s="50" t="s">
        <v>559</v>
      </c>
      <c r="H760" s="50">
        <v>2</v>
      </c>
      <c r="I760" s="100">
        <v>6.7391919697301583</v>
      </c>
      <c r="J760" s="52">
        <v>3834.68</v>
      </c>
      <c r="K760" s="67">
        <f t="shared" si="48"/>
        <v>8010211.9822284644</v>
      </c>
      <c r="L760" s="95">
        <f>+VLOOKUP(E760,MARGEN!A:B,2,FALSE)</f>
        <v>0.1</v>
      </c>
      <c r="M760" s="112">
        <f t="shared" si="45"/>
        <v>801021.19822284649</v>
      </c>
      <c r="N760" s="113">
        <f t="shared" si="46"/>
        <v>32040.84792891386</v>
      </c>
      <c r="O760" s="113">
        <f t="shared" si="47"/>
        <v>7177149.9360767035</v>
      </c>
    </row>
    <row r="761" spans="1:15" x14ac:dyDescent="0.25">
      <c r="A761" s="13">
        <v>44450</v>
      </c>
      <c r="B761" s="97">
        <v>309969</v>
      </c>
      <c r="C761" t="s">
        <v>110</v>
      </c>
      <c r="D761" s="94" t="s">
        <v>473</v>
      </c>
      <c r="E761" t="s">
        <v>64</v>
      </c>
      <c r="F761" t="s">
        <v>558</v>
      </c>
      <c r="G761" s="50" t="s">
        <v>559</v>
      </c>
      <c r="H761" s="50">
        <v>2</v>
      </c>
      <c r="I761" s="100">
        <v>6.7391919697301583</v>
      </c>
      <c r="J761" s="52">
        <v>3834.68</v>
      </c>
      <c r="K761" s="67">
        <f t="shared" si="48"/>
        <v>8010418.7233857643</v>
      </c>
      <c r="L761" s="95">
        <f>+VLOOKUP(E761,MARGEN!A:B,2,FALSE)</f>
        <v>0.1</v>
      </c>
      <c r="M761" s="112">
        <f t="shared" si="45"/>
        <v>801041.87233857648</v>
      </c>
      <c r="N761" s="113">
        <f t="shared" si="46"/>
        <v>32041.674893543059</v>
      </c>
      <c r="O761" s="113">
        <f t="shared" si="47"/>
        <v>7177335.1761536449</v>
      </c>
    </row>
    <row r="762" spans="1:15" x14ac:dyDescent="0.25">
      <c r="A762" s="13">
        <v>44451</v>
      </c>
      <c r="B762" s="97">
        <v>309969</v>
      </c>
      <c r="C762" t="s">
        <v>110</v>
      </c>
      <c r="D762" s="94" t="s">
        <v>473</v>
      </c>
      <c r="E762" t="s">
        <v>64</v>
      </c>
      <c r="F762" t="s">
        <v>558</v>
      </c>
      <c r="G762" s="50" t="s">
        <v>559</v>
      </c>
      <c r="H762" s="50">
        <v>2</v>
      </c>
      <c r="I762" s="100">
        <v>6.7391919697301583</v>
      </c>
      <c r="J762" s="52">
        <v>3834.68</v>
      </c>
      <c r="K762" s="67">
        <f t="shared" si="48"/>
        <v>8010418.7233857643</v>
      </c>
      <c r="L762" s="95">
        <f>+VLOOKUP(E762,MARGEN!A:B,2,FALSE)</f>
        <v>0.1</v>
      </c>
      <c r="M762" s="112">
        <f t="shared" si="45"/>
        <v>801041.87233857648</v>
      </c>
      <c r="N762" s="113">
        <f t="shared" si="46"/>
        <v>32041.674893543059</v>
      </c>
      <c r="O762" s="113">
        <f t="shared" si="47"/>
        <v>7177335.1761536449</v>
      </c>
    </row>
    <row r="763" spans="1:15" x14ac:dyDescent="0.25">
      <c r="A763" s="13">
        <v>44452</v>
      </c>
      <c r="B763" s="97">
        <v>309969</v>
      </c>
      <c r="C763" t="s">
        <v>110</v>
      </c>
      <c r="D763" s="94" t="s">
        <v>473</v>
      </c>
      <c r="E763" t="s">
        <v>64</v>
      </c>
      <c r="F763" t="s">
        <v>558</v>
      </c>
      <c r="G763" s="50" t="s">
        <v>559</v>
      </c>
      <c r="H763" s="50">
        <v>2</v>
      </c>
      <c r="I763" s="100">
        <v>6.7391919697301583</v>
      </c>
      <c r="J763" s="52">
        <v>3834.68</v>
      </c>
      <c r="K763" s="67">
        <f t="shared" si="48"/>
        <v>8010418.7233857643</v>
      </c>
      <c r="L763" s="95">
        <f>+VLOOKUP(E763,MARGEN!A:B,2,FALSE)</f>
        <v>0.1</v>
      </c>
      <c r="M763" s="112">
        <f t="shared" si="45"/>
        <v>801041.87233857648</v>
      </c>
      <c r="N763" s="113">
        <f t="shared" si="46"/>
        <v>32041.674893543059</v>
      </c>
      <c r="O763" s="113">
        <f t="shared" si="47"/>
        <v>7177335.1761536449</v>
      </c>
    </row>
    <row r="764" spans="1:15" x14ac:dyDescent="0.25">
      <c r="A764" s="13">
        <v>44453</v>
      </c>
      <c r="B764" s="97">
        <v>309969</v>
      </c>
      <c r="C764" t="s">
        <v>110</v>
      </c>
      <c r="D764" s="94" t="s">
        <v>473</v>
      </c>
      <c r="E764" t="s">
        <v>64</v>
      </c>
      <c r="F764" t="s">
        <v>558</v>
      </c>
      <c r="G764" s="50" t="s">
        <v>559</v>
      </c>
      <c r="H764" s="50">
        <v>2</v>
      </c>
      <c r="I764" s="100">
        <v>6.7391919697301583</v>
      </c>
      <c r="J764" s="52">
        <v>3834.68</v>
      </c>
      <c r="K764" s="67">
        <f t="shared" si="48"/>
        <v>8010418.7233857643</v>
      </c>
      <c r="L764" s="95">
        <f>+VLOOKUP(E764,MARGEN!A:B,2,FALSE)</f>
        <v>0.1</v>
      </c>
      <c r="M764" s="112">
        <f t="shared" si="45"/>
        <v>801041.87233857648</v>
      </c>
      <c r="N764" s="113">
        <f t="shared" si="46"/>
        <v>32041.674893543059</v>
      </c>
      <c r="O764" s="113">
        <f t="shared" si="47"/>
        <v>7177335.1761536449</v>
      </c>
    </row>
    <row r="765" spans="1:15" x14ac:dyDescent="0.25">
      <c r="A765" s="13">
        <v>44454</v>
      </c>
      <c r="B765" s="97">
        <v>309948</v>
      </c>
      <c r="C765" t="s">
        <v>110</v>
      </c>
      <c r="D765" s="94" t="s">
        <v>473</v>
      </c>
      <c r="E765" t="s">
        <v>64</v>
      </c>
      <c r="F765" t="s">
        <v>551</v>
      </c>
      <c r="G765" s="50" t="s">
        <v>205</v>
      </c>
      <c r="H765" s="50">
        <v>2</v>
      </c>
      <c r="I765" s="100">
        <v>6.7391919697301583</v>
      </c>
      <c r="J765" s="52">
        <v>3834.68</v>
      </c>
      <c r="K765" s="67">
        <f t="shared" si="48"/>
        <v>8009876.0278478516</v>
      </c>
      <c r="L765" s="95">
        <f>+VLOOKUP(E765,MARGEN!A:B,2,FALSE)</f>
        <v>0.1</v>
      </c>
      <c r="M765" s="112">
        <f t="shared" si="45"/>
        <v>800987.60278478521</v>
      </c>
      <c r="N765" s="113">
        <f t="shared" si="46"/>
        <v>32039.504111391405</v>
      </c>
      <c r="O765" s="113">
        <f t="shared" si="47"/>
        <v>7176848.9209516747</v>
      </c>
    </row>
    <row r="766" spans="1:15" x14ac:dyDescent="0.25">
      <c r="A766" s="13">
        <v>44455</v>
      </c>
      <c r="B766" s="97">
        <v>309969</v>
      </c>
      <c r="C766" t="s">
        <v>110</v>
      </c>
      <c r="D766" t="s">
        <v>473</v>
      </c>
      <c r="E766" t="s">
        <v>64</v>
      </c>
      <c r="F766" t="s">
        <v>558</v>
      </c>
      <c r="G766" s="50" t="s">
        <v>574</v>
      </c>
      <c r="H766" s="50">
        <v>2</v>
      </c>
      <c r="I766" s="100">
        <v>6.7391919697301583</v>
      </c>
      <c r="J766" s="52">
        <v>3834.68</v>
      </c>
      <c r="K766" s="67">
        <f t="shared" si="48"/>
        <v>8010418.7233857643</v>
      </c>
      <c r="L766" s="95">
        <f>+VLOOKUP(E766,MARGEN!A:B,2,FALSE)</f>
        <v>0.1</v>
      </c>
      <c r="M766" s="112">
        <f t="shared" si="45"/>
        <v>801041.87233857648</v>
      </c>
      <c r="N766" s="113">
        <f t="shared" si="46"/>
        <v>32041.674893543059</v>
      </c>
      <c r="O766" s="113">
        <f t="shared" si="47"/>
        <v>7177335.1761536449</v>
      </c>
    </row>
    <row r="767" spans="1:15" x14ac:dyDescent="0.25">
      <c r="A767" s="13">
        <v>44461</v>
      </c>
      <c r="B767" s="97">
        <v>309969</v>
      </c>
      <c r="C767" t="s">
        <v>110</v>
      </c>
      <c r="D767" t="s">
        <v>473</v>
      </c>
      <c r="E767" t="s">
        <v>64</v>
      </c>
      <c r="F767" t="s">
        <v>558</v>
      </c>
      <c r="G767" s="50" t="s">
        <v>574</v>
      </c>
      <c r="H767" s="50">
        <v>2</v>
      </c>
      <c r="I767" s="100">
        <v>6.7391919697301583</v>
      </c>
      <c r="J767" s="52">
        <v>3834.68</v>
      </c>
      <c r="K767" s="67">
        <f t="shared" si="48"/>
        <v>8010418.7233857643</v>
      </c>
      <c r="L767" s="95">
        <f>+VLOOKUP(E767,MARGEN!A:B,2,FALSE)</f>
        <v>0.1</v>
      </c>
      <c r="M767" s="112">
        <f t="shared" si="45"/>
        <v>801041.87233857648</v>
      </c>
      <c r="N767" s="113">
        <f t="shared" si="46"/>
        <v>32041.674893543059</v>
      </c>
      <c r="O767" s="113">
        <f t="shared" si="47"/>
        <v>7177335.1761536449</v>
      </c>
    </row>
    <row r="768" spans="1:15" x14ac:dyDescent="0.25">
      <c r="A768" s="13">
        <v>44462</v>
      </c>
      <c r="B768" s="97">
        <v>309961</v>
      </c>
      <c r="C768" t="s">
        <v>110</v>
      </c>
      <c r="D768" t="s">
        <v>473</v>
      </c>
      <c r="E768" t="s">
        <v>64</v>
      </c>
      <c r="F768" t="s">
        <v>566</v>
      </c>
      <c r="G768" s="50" t="s">
        <v>574</v>
      </c>
      <c r="H768" s="50">
        <v>2</v>
      </c>
      <c r="I768" s="100">
        <v>6.7391919697301583</v>
      </c>
      <c r="J768" s="52">
        <v>3834.68</v>
      </c>
      <c r="K768" s="67">
        <f t="shared" si="48"/>
        <v>8010211.9822284644</v>
      </c>
      <c r="L768" s="95">
        <f>+VLOOKUP(E768,MARGEN!A:B,2,FALSE)</f>
        <v>0.1</v>
      </c>
      <c r="M768" s="112">
        <f t="shared" si="45"/>
        <v>801021.19822284649</v>
      </c>
      <c r="N768" s="113">
        <f t="shared" si="46"/>
        <v>32040.84792891386</v>
      </c>
      <c r="O768" s="113">
        <f t="shared" si="47"/>
        <v>7177149.9360767035</v>
      </c>
    </row>
    <row r="769" spans="1:15" x14ac:dyDescent="0.25">
      <c r="A769" s="13">
        <v>44447</v>
      </c>
      <c r="B769" s="97">
        <v>130145</v>
      </c>
      <c r="C769" t="s">
        <v>244</v>
      </c>
      <c r="D769" s="94" t="s">
        <v>467</v>
      </c>
      <c r="E769" t="s">
        <v>258</v>
      </c>
      <c r="F769" t="s">
        <v>572</v>
      </c>
      <c r="G769" s="50" t="s">
        <v>243</v>
      </c>
      <c r="H769" s="50">
        <v>2</v>
      </c>
      <c r="I769" s="100">
        <v>6.7391919697301583</v>
      </c>
      <c r="J769" s="52">
        <v>3834.68</v>
      </c>
      <c r="K769" s="67">
        <f t="shared" si="48"/>
        <v>3363290.9895990896</v>
      </c>
      <c r="L769" s="95">
        <f>+VLOOKUP(E769,MARGEN!A:B,2,FALSE)</f>
        <v>0.1</v>
      </c>
      <c r="M769" s="112">
        <f t="shared" si="45"/>
        <v>336329.098959909</v>
      </c>
      <c r="N769" s="113">
        <f t="shared" si="46"/>
        <v>13453.163958396359</v>
      </c>
      <c r="O769" s="113">
        <f t="shared" si="47"/>
        <v>3013508.7266807845</v>
      </c>
    </row>
    <row r="770" spans="1:15" x14ac:dyDescent="0.25">
      <c r="A770" s="13">
        <v>44448</v>
      </c>
      <c r="B770" s="51">
        <v>128957</v>
      </c>
      <c r="C770" s="66" t="s">
        <v>244</v>
      </c>
      <c r="D770" s="66" t="s">
        <v>467</v>
      </c>
      <c r="E770" t="s">
        <v>258</v>
      </c>
      <c r="F770" s="50" t="s">
        <v>557</v>
      </c>
      <c r="G770" s="50" t="s">
        <v>205</v>
      </c>
      <c r="H770" s="50">
        <v>2</v>
      </c>
      <c r="I770" s="100">
        <v>6.7391919697301583</v>
      </c>
      <c r="J770" s="52">
        <v>3834.68</v>
      </c>
      <c r="K770" s="67">
        <f t="shared" si="48"/>
        <v>3332589.9277400579</v>
      </c>
      <c r="L770" s="95">
        <f>+VLOOKUP(E770,MARGEN!A:B,2,FALSE)</f>
        <v>0.1</v>
      </c>
      <c r="M770" s="112">
        <f t="shared" si="45"/>
        <v>333258.9927740058</v>
      </c>
      <c r="N770" s="113">
        <f t="shared" si="46"/>
        <v>13330.359710960232</v>
      </c>
      <c r="O770" s="113">
        <f t="shared" si="47"/>
        <v>2986000.5752550918</v>
      </c>
    </row>
    <row r="771" spans="1:15" x14ac:dyDescent="0.25">
      <c r="A771" s="13">
        <v>44454</v>
      </c>
      <c r="B771" s="97">
        <v>128951</v>
      </c>
      <c r="C771" t="s">
        <v>244</v>
      </c>
      <c r="D771" s="94" t="s">
        <v>467</v>
      </c>
      <c r="E771" t="s">
        <v>258</v>
      </c>
      <c r="F771" t="s">
        <v>551</v>
      </c>
      <c r="G771" s="50" t="s">
        <v>205</v>
      </c>
      <c r="H771" s="50">
        <v>2</v>
      </c>
      <c r="I771" s="100">
        <v>6.7391919697301583</v>
      </c>
      <c r="J771" s="52">
        <v>3834.68</v>
      </c>
      <c r="K771" s="67">
        <f t="shared" si="48"/>
        <v>3332434.8718720828</v>
      </c>
      <c r="L771" s="95">
        <f>+VLOOKUP(E771,MARGEN!A:B,2,FALSE)</f>
        <v>0.1</v>
      </c>
      <c r="M771" s="112">
        <f t="shared" ref="M771:M834" si="49">+K771*L771</f>
        <v>333243.48718720832</v>
      </c>
      <c r="N771" s="113">
        <f t="shared" ref="N771:N834" si="50">+K771*4/1000</f>
        <v>13329.739487488332</v>
      </c>
      <c r="O771" s="113">
        <f t="shared" ref="O771:O834" si="51">+K771-M771-N771</f>
        <v>2985861.6451973864</v>
      </c>
    </row>
    <row r="772" spans="1:15" x14ac:dyDescent="0.25">
      <c r="A772" s="13">
        <v>44455</v>
      </c>
      <c r="B772" s="97">
        <v>130246</v>
      </c>
      <c r="C772" t="s">
        <v>244</v>
      </c>
      <c r="D772" s="94" t="s">
        <v>467</v>
      </c>
      <c r="E772" t="s">
        <v>258</v>
      </c>
      <c r="F772" t="s">
        <v>551</v>
      </c>
      <c r="G772" s="50" t="s">
        <v>205</v>
      </c>
      <c r="H772" s="50">
        <v>2</v>
      </c>
      <c r="I772" s="100">
        <v>6.7391919697301583</v>
      </c>
      <c r="J772" s="52">
        <v>3834.68</v>
      </c>
      <c r="K772" s="67">
        <f t="shared" si="48"/>
        <v>3365901.0967100007</v>
      </c>
      <c r="L772" s="95">
        <f>+VLOOKUP(E772,MARGEN!A:B,2,FALSE)</f>
        <v>0.1</v>
      </c>
      <c r="M772" s="112">
        <f t="shared" si="49"/>
        <v>336590.1096710001</v>
      </c>
      <c r="N772" s="113">
        <f t="shared" si="50"/>
        <v>13463.604386840003</v>
      </c>
      <c r="O772" s="113">
        <f t="shared" si="51"/>
        <v>3015847.3826521607</v>
      </c>
    </row>
    <row r="773" spans="1:15" x14ac:dyDescent="0.25">
      <c r="A773" s="13">
        <v>44456</v>
      </c>
      <c r="B773" s="97">
        <v>126551</v>
      </c>
      <c r="C773" t="s">
        <v>244</v>
      </c>
      <c r="D773" s="94" t="s">
        <v>467</v>
      </c>
      <c r="E773" t="s">
        <v>258</v>
      </c>
      <c r="F773" t="s">
        <v>551</v>
      </c>
      <c r="G773" s="50" t="s">
        <v>205</v>
      </c>
      <c r="H773" s="50">
        <v>2</v>
      </c>
      <c r="I773" s="100">
        <v>6.7391919697301583</v>
      </c>
      <c r="J773" s="52">
        <v>3834.68</v>
      </c>
      <c r="K773" s="67">
        <f t="shared" si="48"/>
        <v>3270412.5246821195</v>
      </c>
      <c r="L773" s="95">
        <f>+VLOOKUP(E773,MARGEN!A:B,2,FALSE)</f>
        <v>0.1</v>
      </c>
      <c r="M773" s="112">
        <f t="shared" si="49"/>
        <v>327041.25246821198</v>
      </c>
      <c r="N773" s="113">
        <f t="shared" si="50"/>
        <v>13081.650098728478</v>
      </c>
      <c r="O773" s="113">
        <f t="shared" si="51"/>
        <v>2930289.622115179</v>
      </c>
    </row>
    <row r="774" spans="1:15" x14ac:dyDescent="0.25">
      <c r="A774" s="13">
        <v>44457</v>
      </c>
      <c r="B774" s="97">
        <v>130246</v>
      </c>
      <c r="C774" t="s">
        <v>244</v>
      </c>
      <c r="D774" s="94" t="s">
        <v>467</v>
      </c>
      <c r="E774" t="s">
        <v>258</v>
      </c>
      <c r="F774" t="s">
        <v>551</v>
      </c>
      <c r="G774" s="50" t="s">
        <v>205</v>
      </c>
      <c r="H774" s="50">
        <v>2</v>
      </c>
      <c r="I774" s="100">
        <v>6.7391919697301583</v>
      </c>
      <c r="J774" s="52">
        <v>3834.68</v>
      </c>
      <c r="K774" s="67">
        <f t="shared" si="48"/>
        <v>3365901.0967100007</v>
      </c>
      <c r="L774" s="95">
        <f>+VLOOKUP(E774,MARGEN!A:B,2,FALSE)</f>
        <v>0.1</v>
      </c>
      <c r="M774" s="112">
        <f t="shared" si="49"/>
        <v>336590.1096710001</v>
      </c>
      <c r="N774" s="113">
        <f t="shared" si="50"/>
        <v>13463.604386840003</v>
      </c>
      <c r="O774" s="113">
        <f t="shared" si="51"/>
        <v>3015847.3826521607</v>
      </c>
    </row>
    <row r="775" spans="1:15" x14ac:dyDescent="0.25">
      <c r="A775" s="13">
        <v>44458</v>
      </c>
      <c r="B775" s="97">
        <v>128951</v>
      </c>
      <c r="C775" t="s">
        <v>244</v>
      </c>
      <c r="D775" s="94" t="s">
        <v>467</v>
      </c>
      <c r="E775" t="s">
        <v>258</v>
      </c>
      <c r="F775" t="s">
        <v>551</v>
      </c>
      <c r="G775" s="50" t="s">
        <v>205</v>
      </c>
      <c r="H775" s="50">
        <v>2</v>
      </c>
      <c r="I775" s="100">
        <v>6.7391919697301583</v>
      </c>
      <c r="J775" s="52">
        <v>3834.68</v>
      </c>
      <c r="K775" s="67">
        <f t="shared" si="48"/>
        <v>3332434.8718720828</v>
      </c>
      <c r="L775" s="95">
        <f>+VLOOKUP(E775,MARGEN!A:B,2,FALSE)</f>
        <v>0.1</v>
      </c>
      <c r="M775" s="112">
        <f t="shared" si="49"/>
        <v>333243.48718720832</v>
      </c>
      <c r="N775" s="113">
        <f t="shared" si="50"/>
        <v>13329.739487488332</v>
      </c>
      <c r="O775" s="113">
        <f t="shared" si="51"/>
        <v>2985861.6451973864</v>
      </c>
    </row>
    <row r="776" spans="1:15" x14ac:dyDescent="0.25">
      <c r="A776" s="13">
        <v>44459</v>
      </c>
      <c r="B776" s="97">
        <v>116566</v>
      </c>
      <c r="C776" t="s">
        <v>244</v>
      </c>
      <c r="D776" s="94" t="s">
        <v>467</v>
      </c>
      <c r="E776" t="s">
        <v>258</v>
      </c>
      <c r="F776" t="s">
        <v>573</v>
      </c>
      <c r="G776" s="50" t="s">
        <v>574</v>
      </c>
      <c r="H776" s="50">
        <v>2</v>
      </c>
      <c r="I776" s="100">
        <v>6.7391919697301583</v>
      </c>
      <c r="J776" s="52">
        <v>3834.68</v>
      </c>
      <c r="K776" s="67">
        <f t="shared" si="48"/>
        <v>3012373.717727208</v>
      </c>
      <c r="L776" s="95">
        <f>+VLOOKUP(E776,MARGEN!A:B,2,FALSE)</f>
        <v>0.1</v>
      </c>
      <c r="M776" s="112">
        <f t="shared" si="49"/>
        <v>301237.37177272083</v>
      </c>
      <c r="N776" s="113">
        <f t="shared" si="50"/>
        <v>12049.494870908833</v>
      </c>
      <c r="O776" s="113">
        <f t="shared" si="51"/>
        <v>2699086.8510835781</v>
      </c>
    </row>
    <row r="777" spans="1:15" x14ac:dyDescent="0.25">
      <c r="A777" s="13">
        <v>44460</v>
      </c>
      <c r="B777" s="97">
        <v>130269</v>
      </c>
      <c r="C777" t="s">
        <v>244</v>
      </c>
      <c r="D777" t="s">
        <v>467</v>
      </c>
      <c r="E777" t="s">
        <v>258</v>
      </c>
      <c r="F777" t="s">
        <v>573</v>
      </c>
      <c r="G777" s="50" t="s">
        <v>574</v>
      </c>
      <c r="H777" s="50">
        <v>2</v>
      </c>
      <c r="I777" s="100">
        <v>6.7391919697301583</v>
      </c>
      <c r="J777" s="52">
        <v>3834.68</v>
      </c>
      <c r="K777" s="67">
        <f t="shared" ref="K777:K840" si="52">+B777*I777*J777/1000</f>
        <v>3366495.4775372376</v>
      </c>
      <c r="L777" s="95">
        <f>+VLOOKUP(E777,MARGEN!A:B,2,FALSE)</f>
        <v>0.1</v>
      </c>
      <c r="M777" s="112">
        <f t="shared" si="49"/>
        <v>336649.5477537238</v>
      </c>
      <c r="N777" s="113">
        <f t="shared" si="50"/>
        <v>13465.98191014895</v>
      </c>
      <c r="O777" s="113">
        <f t="shared" si="51"/>
        <v>3016379.9478733647</v>
      </c>
    </row>
    <row r="778" spans="1:15" x14ac:dyDescent="0.25">
      <c r="A778" s="13">
        <v>44461</v>
      </c>
      <c r="B778" s="97">
        <v>126573</v>
      </c>
      <c r="C778" t="s">
        <v>244</v>
      </c>
      <c r="D778" t="s">
        <v>467</v>
      </c>
      <c r="E778" t="s">
        <v>258</v>
      </c>
      <c r="F778" t="s">
        <v>573</v>
      </c>
      <c r="G778" s="50" t="s">
        <v>574</v>
      </c>
      <c r="H778" s="50">
        <v>2</v>
      </c>
      <c r="I778" s="100">
        <v>6.7391919697301583</v>
      </c>
      <c r="J778" s="52">
        <v>3834.68</v>
      </c>
      <c r="K778" s="67">
        <f t="shared" si="52"/>
        <v>3270981.0628646938</v>
      </c>
      <c r="L778" s="95">
        <f>+VLOOKUP(E778,MARGEN!A:B,2,FALSE)</f>
        <v>0.1</v>
      </c>
      <c r="M778" s="112">
        <f t="shared" si="49"/>
        <v>327098.10628646938</v>
      </c>
      <c r="N778" s="113">
        <f t="shared" si="50"/>
        <v>13083.924251458775</v>
      </c>
      <c r="O778" s="113">
        <f t="shared" si="51"/>
        <v>2930799.0323267658</v>
      </c>
    </row>
    <row r="779" spans="1:15" x14ac:dyDescent="0.25">
      <c r="A779" s="13">
        <v>44462</v>
      </c>
      <c r="B779" s="97">
        <v>130269</v>
      </c>
      <c r="C779" t="s">
        <v>244</v>
      </c>
      <c r="D779" t="s">
        <v>467</v>
      </c>
      <c r="E779" t="s">
        <v>258</v>
      </c>
      <c r="F779" t="s">
        <v>573</v>
      </c>
      <c r="G779" s="50" t="s">
        <v>574</v>
      </c>
      <c r="H779" s="50">
        <v>2</v>
      </c>
      <c r="I779" s="100">
        <v>6.7391919697301583</v>
      </c>
      <c r="J779" s="52">
        <v>3834.68</v>
      </c>
      <c r="K779" s="67">
        <f t="shared" si="52"/>
        <v>3366495.4775372376</v>
      </c>
      <c r="L779" s="95">
        <f>+VLOOKUP(E779,MARGEN!A:B,2,FALSE)</f>
        <v>0.1</v>
      </c>
      <c r="M779" s="112">
        <f t="shared" si="49"/>
        <v>336649.5477537238</v>
      </c>
      <c r="N779" s="113">
        <f t="shared" si="50"/>
        <v>13465.98191014895</v>
      </c>
      <c r="O779" s="113">
        <f t="shared" si="51"/>
        <v>3016379.9478733647</v>
      </c>
    </row>
    <row r="780" spans="1:15" x14ac:dyDescent="0.25">
      <c r="A780" s="13">
        <v>44463</v>
      </c>
      <c r="B780" s="97">
        <v>128973</v>
      </c>
      <c r="C780" t="s">
        <v>244</v>
      </c>
      <c r="D780" t="s">
        <v>467</v>
      </c>
      <c r="E780" t="s">
        <v>258</v>
      </c>
      <c r="F780" t="s">
        <v>573</v>
      </c>
      <c r="G780" s="50" t="s">
        <v>574</v>
      </c>
      <c r="H780" s="50">
        <v>2</v>
      </c>
      <c r="I780" s="100">
        <v>6.7391919697301583</v>
      </c>
      <c r="J780" s="52">
        <v>3834.68</v>
      </c>
      <c r="K780" s="67">
        <f t="shared" si="52"/>
        <v>3333003.4100546576</v>
      </c>
      <c r="L780" s="95">
        <f>+VLOOKUP(E780,MARGEN!A:B,2,FALSE)</f>
        <v>0.1</v>
      </c>
      <c r="M780" s="112">
        <f t="shared" si="49"/>
        <v>333300.34100546577</v>
      </c>
      <c r="N780" s="113">
        <f t="shared" si="50"/>
        <v>13332.013640218631</v>
      </c>
      <c r="O780" s="113">
        <f t="shared" si="51"/>
        <v>2986371.0554089732</v>
      </c>
    </row>
    <row r="781" spans="1:15" x14ac:dyDescent="0.25">
      <c r="A781" s="13">
        <v>44464</v>
      </c>
      <c r="B781" s="97">
        <v>126501</v>
      </c>
      <c r="C781" t="s">
        <v>244</v>
      </c>
      <c r="D781" t="s">
        <v>467</v>
      </c>
      <c r="E781" t="s">
        <v>258</v>
      </c>
      <c r="F781" t="s">
        <v>573</v>
      </c>
      <c r="G781" s="50" t="s">
        <v>574</v>
      </c>
      <c r="H781" s="50">
        <v>2</v>
      </c>
      <c r="I781" s="100">
        <v>6.7391919697301583</v>
      </c>
      <c r="J781" s="52">
        <v>3834.68</v>
      </c>
      <c r="K781" s="67">
        <f t="shared" si="52"/>
        <v>3269120.3924489948</v>
      </c>
      <c r="L781" s="95">
        <f>+VLOOKUP(E781,MARGEN!A:B,2,FALSE)</f>
        <v>0.1</v>
      </c>
      <c r="M781" s="112">
        <f t="shared" si="49"/>
        <v>326912.03924489953</v>
      </c>
      <c r="N781" s="113">
        <f t="shared" si="50"/>
        <v>13076.481569795978</v>
      </c>
      <c r="O781" s="113">
        <f t="shared" si="51"/>
        <v>2929131.8716342994</v>
      </c>
    </row>
    <row r="782" spans="1:15" x14ac:dyDescent="0.25">
      <c r="A782" s="13">
        <v>44465</v>
      </c>
      <c r="B782" s="51">
        <v>122517</v>
      </c>
      <c r="C782" s="66" t="s">
        <v>244</v>
      </c>
      <c r="D782" s="66" t="s">
        <v>467</v>
      </c>
      <c r="E782" t="s">
        <v>258</v>
      </c>
      <c r="F782" s="50" t="s">
        <v>573</v>
      </c>
      <c r="G782" s="50" t="s">
        <v>574</v>
      </c>
      <c r="H782" s="50">
        <v>2</v>
      </c>
      <c r="I782" s="100">
        <v>6.7391919697301583</v>
      </c>
      <c r="J782" s="52">
        <v>3834.68</v>
      </c>
      <c r="K782" s="67">
        <f t="shared" si="52"/>
        <v>3166163.296113655</v>
      </c>
      <c r="L782" s="95">
        <f>+VLOOKUP(E782,MARGEN!A:B,2,FALSE)</f>
        <v>0.1</v>
      </c>
      <c r="M782" s="112">
        <f t="shared" si="49"/>
        <v>316616.32961136551</v>
      </c>
      <c r="N782" s="113">
        <f t="shared" si="50"/>
        <v>12664.653184454621</v>
      </c>
      <c r="O782" s="113">
        <f t="shared" si="51"/>
        <v>2836882.3133178349</v>
      </c>
    </row>
    <row r="783" spans="1:15" x14ac:dyDescent="0.25">
      <c r="A783" s="13">
        <v>44466</v>
      </c>
      <c r="B783" s="51">
        <v>116566</v>
      </c>
      <c r="C783" s="66" t="s">
        <v>244</v>
      </c>
      <c r="D783" s="66" t="s">
        <v>467</v>
      </c>
      <c r="E783" t="s">
        <v>258</v>
      </c>
      <c r="F783" s="50" t="s">
        <v>573</v>
      </c>
      <c r="G783" s="50" t="s">
        <v>574</v>
      </c>
      <c r="H783" s="50">
        <v>2</v>
      </c>
      <c r="I783" s="100">
        <v>6.7391919697301583</v>
      </c>
      <c r="J783" s="52">
        <v>3834.68</v>
      </c>
      <c r="K783" s="67">
        <f t="shared" si="52"/>
        <v>3012373.717727208</v>
      </c>
      <c r="L783" s="95">
        <f>+VLOOKUP(E783,MARGEN!A:B,2,FALSE)</f>
        <v>0.1</v>
      </c>
      <c r="M783" s="112">
        <f t="shared" si="49"/>
        <v>301237.37177272083</v>
      </c>
      <c r="N783" s="113">
        <f t="shared" si="50"/>
        <v>12049.494870908833</v>
      </c>
      <c r="O783" s="113">
        <f t="shared" si="51"/>
        <v>2699086.8510835781</v>
      </c>
    </row>
    <row r="784" spans="1:15" x14ac:dyDescent="0.25">
      <c r="A784" s="13">
        <v>44467</v>
      </c>
      <c r="B784" s="51">
        <v>130269</v>
      </c>
      <c r="C784" s="66" t="s">
        <v>244</v>
      </c>
      <c r="D784" s="66" t="s">
        <v>467</v>
      </c>
      <c r="E784" t="s">
        <v>258</v>
      </c>
      <c r="F784" s="50" t="s">
        <v>573</v>
      </c>
      <c r="G784" s="50" t="s">
        <v>574</v>
      </c>
      <c r="H784" s="50">
        <v>2</v>
      </c>
      <c r="I784" s="100">
        <v>6.7391919697301583</v>
      </c>
      <c r="J784" s="52">
        <v>3834.68</v>
      </c>
      <c r="K784" s="67">
        <f t="shared" si="52"/>
        <v>3366495.4775372376</v>
      </c>
      <c r="L784" s="95">
        <f>+VLOOKUP(E784,MARGEN!A:B,2,FALSE)</f>
        <v>0.1</v>
      </c>
      <c r="M784" s="112">
        <f t="shared" si="49"/>
        <v>336649.5477537238</v>
      </c>
      <c r="N784" s="113">
        <f t="shared" si="50"/>
        <v>13465.98191014895</v>
      </c>
      <c r="O784" s="113">
        <f t="shared" si="51"/>
        <v>3016379.9478733647</v>
      </c>
    </row>
    <row r="785" spans="1:15" x14ac:dyDescent="0.25">
      <c r="A785" s="13">
        <v>44468</v>
      </c>
      <c r="B785" s="51">
        <v>126573</v>
      </c>
      <c r="C785" s="66" t="s">
        <v>244</v>
      </c>
      <c r="D785" s="66" t="s">
        <v>467</v>
      </c>
      <c r="E785" t="s">
        <v>258</v>
      </c>
      <c r="F785" s="50" t="s">
        <v>573</v>
      </c>
      <c r="G785" s="50" t="s">
        <v>574</v>
      </c>
      <c r="H785" s="50">
        <v>2</v>
      </c>
      <c r="I785" s="100">
        <v>6.7391919697301583</v>
      </c>
      <c r="J785" s="52">
        <v>3834.68</v>
      </c>
      <c r="K785" s="67">
        <f t="shared" si="52"/>
        <v>3270981.0628646938</v>
      </c>
      <c r="L785" s="95">
        <f>+VLOOKUP(E785,MARGEN!A:B,2,FALSE)</f>
        <v>0.1</v>
      </c>
      <c r="M785" s="112">
        <f t="shared" si="49"/>
        <v>327098.10628646938</v>
      </c>
      <c r="N785" s="113">
        <f t="shared" si="50"/>
        <v>13083.924251458775</v>
      </c>
      <c r="O785" s="113">
        <f t="shared" si="51"/>
        <v>2930799.0323267658</v>
      </c>
    </row>
    <row r="786" spans="1:15" x14ac:dyDescent="0.25">
      <c r="A786" s="13">
        <v>44469</v>
      </c>
      <c r="B786" s="51">
        <v>130269</v>
      </c>
      <c r="C786" s="66" t="s">
        <v>244</v>
      </c>
      <c r="D786" s="66" t="s">
        <v>467</v>
      </c>
      <c r="E786" t="s">
        <v>258</v>
      </c>
      <c r="F786" s="50" t="s">
        <v>573</v>
      </c>
      <c r="G786" s="50" t="s">
        <v>574</v>
      </c>
      <c r="H786" s="50">
        <v>2</v>
      </c>
      <c r="I786" s="100">
        <v>6.7391919697301583</v>
      </c>
      <c r="J786" s="52">
        <v>3834.68</v>
      </c>
      <c r="K786" s="67">
        <f t="shared" si="52"/>
        <v>3366495.4775372376</v>
      </c>
      <c r="L786" s="95">
        <f>+VLOOKUP(E786,MARGEN!A:B,2,FALSE)</f>
        <v>0.1</v>
      </c>
      <c r="M786" s="112">
        <f t="shared" si="49"/>
        <v>336649.5477537238</v>
      </c>
      <c r="N786" s="113">
        <f t="shared" si="50"/>
        <v>13465.98191014895</v>
      </c>
      <c r="O786" s="113">
        <f t="shared" si="51"/>
        <v>3016379.9478733647</v>
      </c>
    </row>
    <row r="787" spans="1:15" x14ac:dyDescent="0.25">
      <c r="A787" s="13">
        <v>44440</v>
      </c>
      <c r="B787" s="97">
        <v>23901</v>
      </c>
      <c r="C787" t="s">
        <v>87</v>
      </c>
      <c r="D787" s="94" t="s">
        <v>401</v>
      </c>
      <c r="E787" t="s">
        <v>53</v>
      </c>
      <c r="F787" t="s">
        <v>558</v>
      </c>
      <c r="G787" s="50" t="s">
        <v>559</v>
      </c>
      <c r="H787" s="50">
        <v>2</v>
      </c>
      <c r="I787" s="100">
        <v>6.7391919697301583</v>
      </c>
      <c r="J787" s="52">
        <v>3834.68</v>
      </c>
      <c r="K787" s="67">
        <f t="shared" si="52"/>
        <v>617665.05007805023</v>
      </c>
      <c r="L787" s="95">
        <f>+VLOOKUP(E787,MARGEN!A:B,2,FALSE)</f>
        <v>0.1</v>
      </c>
      <c r="M787" s="112">
        <f t="shared" si="49"/>
        <v>61766.505007805026</v>
      </c>
      <c r="N787" s="113">
        <f t="shared" si="50"/>
        <v>2470.6602003122011</v>
      </c>
      <c r="O787" s="113">
        <f t="shared" si="51"/>
        <v>553427.88486993301</v>
      </c>
    </row>
    <row r="788" spans="1:15" x14ac:dyDescent="0.25">
      <c r="A788" s="13">
        <v>44441</v>
      </c>
      <c r="B788" s="97">
        <v>23901</v>
      </c>
      <c r="C788" t="s">
        <v>87</v>
      </c>
      <c r="D788" s="94" t="s">
        <v>401</v>
      </c>
      <c r="E788" t="s">
        <v>53</v>
      </c>
      <c r="F788" t="s">
        <v>558</v>
      </c>
      <c r="G788" s="50" t="s">
        <v>559</v>
      </c>
      <c r="H788" s="50">
        <v>2</v>
      </c>
      <c r="I788" s="100">
        <v>6.7391919697301583</v>
      </c>
      <c r="J788" s="52">
        <v>3834.68</v>
      </c>
      <c r="K788" s="67">
        <f t="shared" si="52"/>
        <v>617665.05007805023</v>
      </c>
      <c r="L788" s="95">
        <f>+VLOOKUP(E788,MARGEN!A:B,2,FALSE)</f>
        <v>0.1</v>
      </c>
      <c r="M788" s="112">
        <f t="shared" si="49"/>
        <v>61766.505007805026</v>
      </c>
      <c r="N788" s="113">
        <f t="shared" si="50"/>
        <v>2470.6602003122011</v>
      </c>
      <c r="O788" s="113">
        <f t="shared" si="51"/>
        <v>553427.88486993301</v>
      </c>
    </row>
    <row r="789" spans="1:15" x14ac:dyDescent="0.25">
      <c r="A789" s="13">
        <v>44442</v>
      </c>
      <c r="B789" s="97">
        <v>23898</v>
      </c>
      <c r="C789" t="s">
        <v>87</v>
      </c>
      <c r="D789" s="94" t="s">
        <v>401</v>
      </c>
      <c r="E789" t="s">
        <v>53</v>
      </c>
      <c r="F789" t="s">
        <v>562</v>
      </c>
      <c r="G789" s="50" t="s">
        <v>559</v>
      </c>
      <c r="H789" s="50">
        <v>2</v>
      </c>
      <c r="I789" s="100">
        <v>6.7391919697301583</v>
      </c>
      <c r="J789" s="52">
        <v>3834.68</v>
      </c>
      <c r="K789" s="67">
        <f t="shared" si="52"/>
        <v>617587.52214406279</v>
      </c>
      <c r="L789" s="95">
        <f>+VLOOKUP(E789,MARGEN!A:B,2,FALSE)</f>
        <v>0.1</v>
      </c>
      <c r="M789" s="112">
        <f t="shared" si="49"/>
        <v>61758.752214406282</v>
      </c>
      <c r="N789" s="113">
        <f t="shared" si="50"/>
        <v>2470.350088576251</v>
      </c>
      <c r="O789" s="113">
        <f t="shared" si="51"/>
        <v>553358.41984108032</v>
      </c>
    </row>
    <row r="790" spans="1:15" x14ac:dyDescent="0.25">
      <c r="A790" s="13">
        <v>44454</v>
      </c>
      <c r="B790" s="97">
        <v>23466</v>
      </c>
      <c r="C790" t="s">
        <v>87</v>
      </c>
      <c r="D790" s="94" t="s">
        <v>401</v>
      </c>
      <c r="E790" t="s">
        <v>53</v>
      </c>
      <c r="F790" t="s">
        <v>562</v>
      </c>
      <c r="G790" s="50" t="s">
        <v>559</v>
      </c>
      <c r="H790" s="50">
        <v>2</v>
      </c>
      <c r="I790" s="100">
        <v>6.7391919697301583</v>
      </c>
      <c r="J790" s="52">
        <v>3834.68</v>
      </c>
      <c r="K790" s="67">
        <f t="shared" si="52"/>
        <v>606423.49964986928</v>
      </c>
      <c r="L790" s="95">
        <f>+VLOOKUP(E790,MARGEN!A:B,2,FALSE)</f>
        <v>0.1</v>
      </c>
      <c r="M790" s="112">
        <f t="shared" si="49"/>
        <v>60642.349964986934</v>
      </c>
      <c r="N790" s="113">
        <f t="shared" si="50"/>
        <v>2425.6939985994773</v>
      </c>
      <c r="O790" s="113">
        <f t="shared" si="51"/>
        <v>543355.45568628295</v>
      </c>
    </row>
    <row r="791" spans="1:15" x14ac:dyDescent="0.25">
      <c r="A791" s="13">
        <v>44455</v>
      </c>
      <c r="B791" s="97">
        <v>23899</v>
      </c>
      <c r="C791" t="s">
        <v>87</v>
      </c>
      <c r="D791" s="94" t="s">
        <v>401</v>
      </c>
      <c r="E791" t="s">
        <v>53</v>
      </c>
      <c r="F791" t="s">
        <v>551</v>
      </c>
      <c r="G791" s="50" t="s">
        <v>205</v>
      </c>
      <c r="H791" s="50">
        <v>2</v>
      </c>
      <c r="I791" s="100">
        <v>6.7391919697301583</v>
      </c>
      <c r="J791" s="52">
        <v>3834.68</v>
      </c>
      <c r="K791" s="67">
        <f t="shared" si="52"/>
        <v>617613.36478872527</v>
      </c>
      <c r="L791" s="95">
        <f>+VLOOKUP(E791,MARGEN!A:B,2,FALSE)</f>
        <v>0.1</v>
      </c>
      <c r="M791" s="112">
        <f t="shared" si="49"/>
        <v>61761.33647887253</v>
      </c>
      <c r="N791" s="113">
        <f t="shared" si="50"/>
        <v>2470.4534591549009</v>
      </c>
      <c r="O791" s="113">
        <f t="shared" si="51"/>
        <v>553381.57485069777</v>
      </c>
    </row>
    <row r="792" spans="1:15" x14ac:dyDescent="0.25">
      <c r="A792" s="13">
        <v>44456</v>
      </c>
      <c r="B792" s="97">
        <v>23899</v>
      </c>
      <c r="C792" t="s">
        <v>87</v>
      </c>
      <c r="D792" s="94" t="s">
        <v>401</v>
      </c>
      <c r="E792" t="s">
        <v>53</v>
      </c>
      <c r="F792" t="s">
        <v>551</v>
      </c>
      <c r="G792" s="50" t="s">
        <v>205</v>
      </c>
      <c r="H792" s="50">
        <v>2</v>
      </c>
      <c r="I792" s="100">
        <v>6.7391919697301583</v>
      </c>
      <c r="J792" s="52">
        <v>3834.68</v>
      </c>
      <c r="K792" s="67">
        <f t="shared" si="52"/>
        <v>617613.36478872527</v>
      </c>
      <c r="L792" s="95">
        <f>+VLOOKUP(E792,MARGEN!A:B,2,FALSE)</f>
        <v>0.1</v>
      </c>
      <c r="M792" s="112">
        <f t="shared" si="49"/>
        <v>61761.33647887253</v>
      </c>
      <c r="N792" s="113">
        <f t="shared" si="50"/>
        <v>2470.4534591549009</v>
      </c>
      <c r="O792" s="113">
        <f t="shared" si="51"/>
        <v>553381.57485069777</v>
      </c>
    </row>
    <row r="793" spans="1:15" x14ac:dyDescent="0.25">
      <c r="A793" s="13">
        <v>44457</v>
      </c>
      <c r="B793" s="97">
        <v>23899</v>
      </c>
      <c r="C793" t="s">
        <v>87</v>
      </c>
      <c r="D793" s="94" t="s">
        <v>401</v>
      </c>
      <c r="E793" t="s">
        <v>53</v>
      </c>
      <c r="F793" t="s">
        <v>551</v>
      </c>
      <c r="G793" s="50" t="s">
        <v>205</v>
      </c>
      <c r="H793" s="50">
        <v>2</v>
      </c>
      <c r="I793" s="100">
        <v>6.7391919697301583</v>
      </c>
      <c r="J793" s="52">
        <v>3834.68</v>
      </c>
      <c r="K793" s="67">
        <f t="shared" si="52"/>
        <v>617613.36478872527</v>
      </c>
      <c r="L793" s="95">
        <f>+VLOOKUP(E793,MARGEN!A:B,2,FALSE)</f>
        <v>0.1</v>
      </c>
      <c r="M793" s="112">
        <f t="shared" si="49"/>
        <v>61761.33647887253</v>
      </c>
      <c r="N793" s="113">
        <f t="shared" si="50"/>
        <v>2470.4534591549009</v>
      </c>
      <c r="O793" s="113">
        <f t="shared" si="51"/>
        <v>553381.57485069777</v>
      </c>
    </row>
    <row r="794" spans="1:15" x14ac:dyDescent="0.25">
      <c r="A794" s="13">
        <v>44458</v>
      </c>
      <c r="B794" s="97">
        <v>23467</v>
      </c>
      <c r="C794" t="s">
        <v>87</v>
      </c>
      <c r="D794" s="94" t="s">
        <v>401</v>
      </c>
      <c r="E794" t="s">
        <v>53</v>
      </c>
      <c r="F794" t="s">
        <v>551</v>
      </c>
      <c r="G794" s="50" t="s">
        <v>205</v>
      </c>
      <c r="H794" s="50">
        <v>2</v>
      </c>
      <c r="I794" s="100">
        <v>6.7391919697301583</v>
      </c>
      <c r="J794" s="52">
        <v>3834.68</v>
      </c>
      <c r="K794" s="67">
        <f t="shared" si="52"/>
        <v>606449.34229453187</v>
      </c>
      <c r="L794" s="95">
        <f>+VLOOKUP(E794,MARGEN!A:B,2,FALSE)</f>
        <v>0.1</v>
      </c>
      <c r="M794" s="112">
        <f t="shared" si="49"/>
        <v>60644.934229453189</v>
      </c>
      <c r="N794" s="113">
        <f t="shared" si="50"/>
        <v>2425.7973691781276</v>
      </c>
      <c r="O794" s="113">
        <f t="shared" si="51"/>
        <v>543378.61069590051</v>
      </c>
    </row>
    <row r="795" spans="1:15" x14ac:dyDescent="0.25">
      <c r="A795" s="13">
        <v>44459</v>
      </c>
      <c r="B795" s="97">
        <v>23903</v>
      </c>
      <c r="C795" t="s">
        <v>87</v>
      </c>
      <c r="D795" t="s">
        <v>401</v>
      </c>
      <c r="E795" t="s">
        <v>53</v>
      </c>
      <c r="F795" t="s">
        <v>573</v>
      </c>
      <c r="G795" s="50" t="s">
        <v>574</v>
      </c>
      <c r="H795" s="50">
        <v>2</v>
      </c>
      <c r="I795" s="100">
        <v>6.7391919697301583</v>
      </c>
      <c r="J795" s="52">
        <v>3834.68</v>
      </c>
      <c r="K795" s="67">
        <f t="shared" si="52"/>
        <v>617716.73536737519</v>
      </c>
      <c r="L795" s="95">
        <f>+VLOOKUP(E795,MARGEN!A:B,2,FALSE)</f>
        <v>0.1</v>
      </c>
      <c r="M795" s="112">
        <f t="shared" si="49"/>
        <v>61771.673536737522</v>
      </c>
      <c r="N795" s="113">
        <f t="shared" si="50"/>
        <v>2470.8669414695009</v>
      </c>
      <c r="O795" s="113">
        <f t="shared" si="51"/>
        <v>553474.19488916814</v>
      </c>
    </row>
    <row r="796" spans="1:15" x14ac:dyDescent="0.25">
      <c r="A796" s="13">
        <v>44460</v>
      </c>
      <c r="B796" s="97">
        <v>23903</v>
      </c>
      <c r="C796" t="s">
        <v>87</v>
      </c>
      <c r="D796" s="94" t="s">
        <v>401</v>
      </c>
      <c r="E796" t="s">
        <v>53</v>
      </c>
      <c r="F796" t="s">
        <v>573</v>
      </c>
      <c r="G796" s="50" t="s">
        <v>574</v>
      </c>
      <c r="H796" s="50">
        <v>2</v>
      </c>
      <c r="I796" s="100">
        <v>6.7391919697301583</v>
      </c>
      <c r="J796" s="52">
        <v>3834.68</v>
      </c>
      <c r="K796" s="67">
        <f t="shared" si="52"/>
        <v>617716.73536737519</v>
      </c>
      <c r="L796" s="95">
        <f>+VLOOKUP(E796,MARGEN!A:B,2,FALSE)</f>
        <v>0.1</v>
      </c>
      <c r="M796" s="112">
        <f t="shared" si="49"/>
        <v>61771.673536737522</v>
      </c>
      <c r="N796" s="113">
        <f t="shared" si="50"/>
        <v>2470.8669414695009</v>
      </c>
      <c r="O796" s="113">
        <f t="shared" si="51"/>
        <v>553474.19488916814</v>
      </c>
    </row>
    <row r="797" spans="1:15" x14ac:dyDescent="0.25">
      <c r="A797" s="13">
        <v>44461</v>
      </c>
      <c r="B797" s="97">
        <v>23903</v>
      </c>
      <c r="C797" t="s">
        <v>87</v>
      </c>
      <c r="D797" t="s">
        <v>401</v>
      </c>
      <c r="E797" t="s">
        <v>53</v>
      </c>
      <c r="F797" t="s">
        <v>573</v>
      </c>
      <c r="G797" s="50" t="s">
        <v>574</v>
      </c>
      <c r="H797" s="50">
        <v>2</v>
      </c>
      <c r="I797" s="100">
        <v>6.7391919697301583</v>
      </c>
      <c r="J797" s="52">
        <v>3834.68</v>
      </c>
      <c r="K797" s="67">
        <f t="shared" si="52"/>
        <v>617716.73536737519</v>
      </c>
      <c r="L797" s="95">
        <f>+VLOOKUP(E797,MARGEN!A:B,2,FALSE)</f>
        <v>0.1</v>
      </c>
      <c r="M797" s="112">
        <f t="shared" si="49"/>
        <v>61771.673536737522</v>
      </c>
      <c r="N797" s="113">
        <f t="shared" si="50"/>
        <v>2470.8669414695009</v>
      </c>
      <c r="O797" s="113">
        <f t="shared" si="51"/>
        <v>553474.19488916814</v>
      </c>
    </row>
    <row r="798" spans="1:15" x14ac:dyDescent="0.25">
      <c r="A798" s="13">
        <v>44462</v>
      </c>
      <c r="B798" s="97">
        <v>23903</v>
      </c>
      <c r="C798" t="s">
        <v>87</v>
      </c>
      <c r="D798" t="s">
        <v>401</v>
      </c>
      <c r="E798" t="s">
        <v>53</v>
      </c>
      <c r="F798" t="s">
        <v>573</v>
      </c>
      <c r="G798" s="50" t="s">
        <v>574</v>
      </c>
      <c r="H798" s="50">
        <v>2</v>
      </c>
      <c r="I798" s="100">
        <v>6.7391919697301583</v>
      </c>
      <c r="J798" s="52">
        <v>3834.68</v>
      </c>
      <c r="K798" s="67">
        <f t="shared" si="52"/>
        <v>617716.73536737519</v>
      </c>
      <c r="L798" s="95">
        <f>+VLOOKUP(E798,MARGEN!A:B,2,FALSE)</f>
        <v>0.1</v>
      </c>
      <c r="M798" s="112">
        <f t="shared" si="49"/>
        <v>61771.673536737522</v>
      </c>
      <c r="N798" s="113">
        <f t="shared" si="50"/>
        <v>2470.8669414695009</v>
      </c>
      <c r="O798" s="113">
        <f t="shared" si="51"/>
        <v>553474.19488916814</v>
      </c>
    </row>
    <row r="799" spans="1:15" x14ac:dyDescent="0.25">
      <c r="A799" s="13">
        <v>44463</v>
      </c>
      <c r="B799" s="97">
        <v>23471</v>
      </c>
      <c r="C799" t="s">
        <v>87</v>
      </c>
      <c r="D799" t="s">
        <v>401</v>
      </c>
      <c r="E799" t="s">
        <v>53</v>
      </c>
      <c r="F799" t="s">
        <v>573</v>
      </c>
      <c r="G799" s="50" t="s">
        <v>574</v>
      </c>
      <c r="H799" s="50">
        <v>2</v>
      </c>
      <c r="I799" s="100">
        <v>6.7391919697301583</v>
      </c>
      <c r="J799" s="52">
        <v>3834.68</v>
      </c>
      <c r="K799" s="67">
        <f t="shared" si="52"/>
        <v>606552.71287318168</v>
      </c>
      <c r="L799" s="95">
        <f>+VLOOKUP(E799,MARGEN!A:B,2,FALSE)</f>
        <v>0.1</v>
      </c>
      <c r="M799" s="112">
        <f t="shared" si="49"/>
        <v>60655.271287318174</v>
      </c>
      <c r="N799" s="113">
        <f t="shared" si="50"/>
        <v>2426.2108514927268</v>
      </c>
      <c r="O799" s="113">
        <f t="shared" si="51"/>
        <v>543471.23073437077</v>
      </c>
    </row>
    <row r="800" spans="1:15" x14ac:dyDescent="0.25">
      <c r="A800" s="13">
        <v>44464</v>
      </c>
      <c r="B800" s="97">
        <v>23903</v>
      </c>
      <c r="C800" t="s">
        <v>87</v>
      </c>
      <c r="D800" t="s">
        <v>401</v>
      </c>
      <c r="E800" t="s">
        <v>53</v>
      </c>
      <c r="F800" t="s">
        <v>573</v>
      </c>
      <c r="G800" s="50" t="s">
        <v>574</v>
      </c>
      <c r="H800" s="50">
        <v>2</v>
      </c>
      <c r="I800" s="100">
        <v>6.7391919697301583</v>
      </c>
      <c r="J800" s="52">
        <v>3834.68</v>
      </c>
      <c r="K800" s="67">
        <f t="shared" si="52"/>
        <v>617716.73536737519</v>
      </c>
      <c r="L800" s="95">
        <f>+VLOOKUP(E800,MARGEN!A:B,2,FALSE)</f>
        <v>0.1</v>
      </c>
      <c r="M800" s="112">
        <f t="shared" si="49"/>
        <v>61771.673536737522</v>
      </c>
      <c r="N800" s="113">
        <f t="shared" si="50"/>
        <v>2470.8669414695009</v>
      </c>
      <c r="O800" s="113">
        <f t="shared" si="51"/>
        <v>553474.19488916814</v>
      </c>
    </row>
    <row r="801" spans="1:15" x14ac:dyDescent="0.25">
      <c r="A801" s="13">
        <v>44465</v>
      </c>
      <c r="B801" s="51">
        <v>19727</v>
      </c>
      <c r="C801" s="66" t="s">
        <v>87</v>
      </c>
      <c r="D801" s="66" t="s">
        <v>401</v>
      </c>
      <c r="E801" t="s">
        <v>53</v>
      </c>
      <c r="F801" s="50" t="s">
        <v>573</v>
      </c>
      <c r="G801" s="50" t="s">
        <v>574</v>
      </c>
      <c r="H801" s="50">
        <v>2</v>
      </c>
      <c r="I801" s="100">
        <v>6.7391919697301583</v>
      </c>
      <c r="J801" s="52">
        <v>3834.68</v>
      </c>
      <c r="K801" s="67">
        <f t="shared" si="52"/>
        <v>509797.85125683853</v>
      </c>
      <c r="L801" s="95">
        <f>+VLOOKUP(E801,MARGEN!A:B,2,FALSE)</f>
        <v>0.1</v>
      </c>
      <c r="M801" s="112">
        <f t="shared" si="49"/>
        <v>50979.785125683855</v>
      </c>
      <c r="N801" s="113">
        <f t="shared" si="50"/>
        <v>2039.1914050273542</v>
      </c>
      <c r="O801" s="113">
        <f t="shared" si="51"/>
        <v>456778.87472612731</v>
      </c>
    </row>
    <row r="802" spans="1:15" x14ac:dyDescent="0.25">
      <c r="A802" s="13">
        <v>44466</v>
      </c>
      <c r="B802" s="51">
        <v>23903</v>
      </c>
      <c r="C802" s="66" t="s">
        <v>87</v>
      </c>
      <c r="D802" s="66" t="s">
        <v>401</v>
      </c>
      <c r="E802" t="s">
        <v>53</v>
      </c>
      <c r="F802" s="50" t="s">
        <v>573</v>
      </c>
      <c r="G802" s="50" t="s">
        <v>574</v>
      </c>
      <c r="H802" s="50">
        <v>2</v>
      </c>
      <c r="I802" s="100">
        <v>6.7391919697301583</v>
      </c>
      <c r="J802" s="52">
        <v>3834.68</v>
      </c>
      <c r="K802" s="67">
        <f t="shared" si="52"/>
        <v>617716.73536737519</v>
      </c>
      <c r="L802" s="95">
        <f>+VLOOKUP(E802,MARGEN!A:B,2,FALSE)</f>
        <v>0.1</v>
      </c>
      <c r="M802" s="112">
        <f t="shared" si="49"/>
        <v>61771.673536737522</v>
      </c>
      <c r="N802" s="113">
        <f t="shared" si="50"/>
        <v>2470.8669414695009</v>
      </c>
      <c r="O802" s="113">
        <f t="shared" si="51"/>
        <v>553474.19488916814</v>
      </c>
    </row>
    <row r="803" spans="1:15" x14ac:dyDescent="0.25">
      <c r="A803" s="13">
        <v>44467</v>
      </c>
      <c r="B803" s="51">
        <v>23903</v>
      </c>
      <c r="C803" s="66" t="s">
        <v>87</v>
      </c>
      <c r="D803" s="66" t="s">
        <v>401</v>
      </c>
      <c r="E803" t="s">
        <v>53</v>
      </c>
      <c r="F803" s="50" t="s">
        <v>573</v>
      </c>
      <c r="G803" s="50" t="s">
        <v>574</v>
      </c>
      <c r="H803" s="50">
        <v>2</v>
      </c>
      <c r="I803" s="100">
        <v>6.7391919697301583</v>
      </c>
      <c r="J803" s="52">
        <v>3834.68</v>
      </c>
      <c r="K803" s="67">
        <f t="shared" si="52"/>
        <v>617716.73536737519</v>
      </c>
      <c r="L803" s="95">
        <f>+VLOOKUP(E803,MARGEN!A:B,2,FALSE)</f>
        <v>0.1</v>
      </c>
      <c r="M803" s="112">
        <f t="shared" si="49"/>
        <v>61771.673536737522</v>
      </c>
      <c r="N803" s="113">
        <f t="shared" si="50"/>
        <v>2470.8669414695009</v>
      </c>
      <c r="O803" s="113">
        <f t="shared" si="51"/>
        <v>553474.19488916814</v>
      </c>
    </row>
    <row r="804" spans="1:15" x14ac:dyDescent="0.25">
      <c r="A804" s="13">
        <v>44468</v>
      </c>
      <c r="B804" s="51">
        <v>23903</v>
      </c>
      <c r="C804" s="66" t="s">
        <v>87</v>
      </c>
      <c r="D804" s="66" t="s">
        <v>401</v>
      </c>
      <c r="E804" t="s">
        <v>53</v>
      </c>
      <c r="F804" s="50" t="s">
        <v>573</v>
      </c>
      <c r="G804" s="50" t="s">
        <v>574</v>
      </c>
      <c r="H804" s="50">
        <v>2</v>
      </c>
      <c r="I804" s="100">
        <v>6.7391919697301583</v>
      </c>
      <c r="J804" s="52">
        <v>3834.68</v>
      </c>
      <c r="K804" s="67">
        <f t="shared" si="52"/>
        <v>617716.73536737519</v>
      </c>
      <c r="L804" s="95">
        <f>+VLOOKUP(E804,MARGEN!A:B,2,FALSE)</f>
        <v>0.1</v>
      </c>
      <c r="M804" s="112">
        <f t="shared" si="49"/>
        <v>61771.673536737522</v>
      </c>
      <c r="N804" s="113">
        <f t="shared" si="50"/>
        <v>2470.8669414695009</v>
      </c>
      <c r="O804" s="113">
        <f t="shared" si="51"/>
        <v>553474.19488916814</v>
      </c>
    </row>
    <row r="805" spans="1:15" x14ac:dyDescent="0.25">
      <c r="A805" s="13">
        <v>44469</v>
      </c>
      <c r="B805" s="51">
        <v>23903</v>
      </c>
      <c r="C805" s="66" t="s">
        <v>87</v>
      </c>
      <c r="D805" s="66" t="s">
        <v>401</v>
      </c>
      <c r="E805" t="s">
        <v>53</v>
      </c>
      <c r="F805" s="50" t="s">
        <v>573</v>
      </c>
      <c r="G805" s="50" t="s">
        <v>574</v>
      </c>
      <c r="H805" s="50">
        <v>2</v>
      </c>
      <c r="I805" s="100">
        <v>6.7391919697301583</v>
      </c>
      <c r="J805" s="52">
        <v>3834.68</v>
      </c>
      <c r="K805" s="67">
        <f t="shared" si="52"/>
        <v>617716.73536737519</v>
      </c>
      <c r="L805" s="95">
        <f>+VLOOKUP(E805,MARGEN!A:B,2,FALSE)</f>
        <v>0.1</v>
      </c>
      <c r="M805" s="112">
        <f t="shared" si="49"/>
        <v>61771.673536737522</v>
      </c>
      <c r="N805" s="113">
        <f t="shared" si="50"/>
        <v>2470.8669414695009</v>
      </c>
      <c r="O805" s="113">
        <f t="shared" si="51"/>
        <v>553474.19488916814</v>
      </c>
    </row>
    <row r="806" spans="1:15" x14ac:dyDescent="0.25">
      <c r="A806" s="13">
        <v>44446</v>
      </c>
      <c r="B806" s="97">
        <v>19677</v>
      </c>
      <c r="C806" t="s">
        <v>115</v>
      </c>
      <c r="D806" s="94" t="s">
        <v>485</v>
      </c>
      <c r="E806" t="s">
        <v>140</v>
      </c>
      <c r="F806" t="s">
        <v>557</v>
      </c>
      <c r="G806" s="50" t="s">
        <v>205</v>
      </c>
      <c r="H806" s="50">
        <v>2</v>
      </c>
      <c r="I806" s="100">
        <v>6.7391919697301583</v>
      </c>
      <c r="J806" s="52">
        <v>3834.68</v>
      </c>
      <c r="K806" s="67">
        <f t="shared" si="52"/>
        <v>508505.71902371425</v>
      </c>
      <c r="L806" s="95">
        <f>+VLOOKUP(E806,MARGEN!A:B,2,FALSE)</f>
        <v>0.1</v>
      </c>
      <c r="M806" s="112">
        <f t="shared" si="49"/>
        <v>50850.571902371426</v>
      </c>
      <c r="N806" s="113">
        <f t="shared" si="50"/>
        <v>2034.0228760948571</v>
      </c>
      <c r="O806" s="113">
        <f t="shared" si="51"/>
        <v>455621.12424524798</v>
      </c>
    </row>
    <row r="807" spans="1:15" x14ac:dyDescent="0.25">
      <c r="A807" s="13">
        <v>44447</v>
      </c>
      <c r="B807" s="97">
        <v>19677</v>
      </c>
      <c r="C807" t="s">
        <v>115</v>
      </c>
      <c r="D807" s="94" t="s">
        <v>485</v>
      </c>
      <c r="E807" t="s">
        <v>140</v>
      </c>
      <c r="F807" t="s">
        <v>557</v>
      </c>
      <c r="G807" s="50" t="s">
        <v>205</v>
      </c>
      <c r="H807" s="50">
        <v>2</v>
      </c>
      <c r="I807" s="100">
        <v>6.7391919697301583</v>
      </c>
      <c r="J807" s="52">
        <v>3834.68</v>
      </c>
      <c r="K807" s="67">
        <f t="shared" si="52"/>
        <v>508505.71902371425</v>
      </c>
      <c r="L807" s="95">
        <f>+VLOOKUP(E807,MARGEN!A:B,2,FALSE)</f>
        <v>0.1</v>
      </c>
      <c r="M807" s="112">
        <f t="shared" si="49"/>
        <v>50850.571902371426</v>
      </c>
      <c r="N807" s="113">
        <f t="shared" si="50"/>
        <v>2034.0228760948571</v>
      </c>
      <c r="O807" s="113">
        <f t="shared" si="51"/>
        <v>455621.12424524798</v>
      </c>
    </row>
    <row r="808" spans="1:15" x14ac:dyDescent="0.25">
      <c r="A808" s="13">
        <v>44454</v>
      </c>
      <c r="B808" s="97">
        <v>19677</v>
      </c>
      <c r="C808" t="s">
        <v>115</v>
      </c>
      <c r="D808" s="94" t="s">
        <v>485</v>
      </c>
      <c r="E808" t="s">
        <v>140</v>
      </c>
      <c r="F808" t="s">
        <v>558</v>
      </c>
      <c r="G808" s="50" t="s">
        <v>559</v>
      </c>
      <c r="H808" s="50">
        <v>2</v>
      </c>
      <c r="I808" s="100">
        <v>6.7391919697301583</v>
      </c>
      <c r="J808" s="52">
        <v>3834.68</v>
      </c>
      <c r="K808" s="67">
        <f t="shared" si="52"/>
        <v>508505.71902371425</v>
      </c>
      <c r="L808" s="95">
        <f>+VLOOKUP(E808,MARGEN!A:B,2,FALSE)</f>
        <v>0.1</v>
      </c>
      <c r="M808" s="112">
        <f t="shared" si="49"/>
        <v>50850.571902371426</v>
      </c>
      <c r="N808" s="113">
        <f t="shared" si="50"/>
        <v>2034.0228760948571</v>
      </c>
      <c r="O808" s="113">
        <f t="shared" si="51"/>
        <v>455621.12424524798</v>
      </c>
    </row>
    <row r="809" spans="1:15" x14ac:dyDescent="0.25">
      <c r="A809" s="13">
        <v>44455</v>
      </c>
      <c r="B809" s="97">
        <v>19677</v>
      </c>
      <c r="C809" t="s">
        <v>115</v>
      </c>
      <c r="D809" s="94" t="s">
        <v>485</v>
      </c>
      <c r="E809" t="s">
        <v>140</v>
      </c>
      <c r="F809" t="s">
        <v>558</v>
      </c>
      <c r="G809" s="50" t="s">
        <v>559</v>
      </c>
      <c r="H809" s="50">
        <v>2</v>
      </c>
      <c r="I809" s="100">
        <v>6.7391919697301583</v>
      </c>
      <c r="J809" s="52">
        <v>3834.68</v>
      </c>
      <c r="K809" s="67">
        <f t="shared" si="52"/>
        <v>508505.71902371425</v>
      </c>
      <c r="L809" s="95">
        <f>+VLOOKUP(E809,MARGEN!A:B,2,FALSE)</f>
        <v>0.1</v>
      </c>
      <c r="M809" s="112">
        <f t="shared" si="49"/>
        <v>50850.571902371426</v>
      </c>
      <c r="N809" s="113">
        <f t="shared" si="50"/>
        <v>2034.0228760948571</v>
      </c>
      <c r="O809" s="113">
        <f t="shared" si="51"/>
        <v>455621.12424524798</v>
      </c>
    </row>
    <row r="810" spans="1:15" x14ac:dyDescent="0.25">
      <c r="A810" s="13">
        <v>44455</v>
      </c>
      <c r="B810" s="97">
        <v>19677</v>
      </c>
      <c r="C810" t="s">
        <v>115</v>
      </c>
      <c r="D810" s="94" t="s">
        <v>485</v>
      </c>
      <c r="E810" t="s">
        <v>140</v>
      </c>
      <c r="F810" t="s">
        <v>558</v>
      </c>
      <c r="G810" s="50" t="s">
        <v>559</v>
      </c>
      <c r="H810" s="50">
        <v>2</v>
      </c>
      <c r="I810" s="100">
        <v>6.7391919697301583</v>
      </c>
      <c r="J810" s="52">
        <v>3834.68</v>
      </c>
      <c r="K810" s="67">
        <f t="shared" si="52"/>
        <v>508505.71902371425</v>
      </c>
      <c r="L810" s="95">
        <f>+VLOOKUP(E810,MARGEN!A:B,2,FALSE)</f>
        <v>0.1</v>
      </c>
      <c r="M810" s="112">
        <f t="shared" si="49"/>
        <v>50850.571902371426</v>
      </c>
      <c r="N810" s="113">
        <f t="shared" si="50"/>
        <v>2034.0228760948571</v>
      </c>
      <c r="O810" s="113">
        <f t="shared" si="51"/>
        <v>455621.12424524798</v>
      </c>
    </row>
    <row r="811" spans="1:15" x14ac:dyDescent="0.25">
      <c r="A811" s="13">
        <v>44456</v>
      </c>
      <c r="B811" s="97">
        <v>19677</v>
      </c>
      <c r="C811" t="s">
        <v>115</v>
      </c>
      <c r="D811" s="94" t="s">
        <v>485</v>
      </c>
      <c r="E811" t="s">
        <v>140</v>
      </c>
      <c r="F811" t="s">
        <v>558</v>
      </c>
      <c r="G811" s="50" t="s">
        <v>559</v>
      </c>
      <c r="H811" s="50">
        <v>2</v>
      </c>
      <c r="I811" s="100">
        <v>6.7391919697301583</v>
      </c>
      <c r="J811" s="52">
        <v>3834.68</v>
      </c>
      <c r="K811" s="67">
        <f t="shared" si="52"/>
        <v>508505.71902371425</v>
      </c>
      <c r="L811" s="95">
        <f>+VLOOKUP(E811,MARGEN!A:B,2,FALSE)</f>
        <v>0.1</v>
      </c>
      <c r="M811" s="112">
        <f t="shared" si="49"/>
        <v>50850.571902371426</v>
      </c>
      <c r="N811" s="113">
        <f t="shared" si="50"/>
        <v>2034.0228760948571</v>
      </c>
      <c r="O811" s="113">
        <f t="shared" si="51"/>
        <v>455621.12424524798</v>
      </c>
    </row>
    <row r="812" spans="1:15" x14ac:dyDescent="0.25">
      <c r="A812" s="13">
        <v>44461</v>
      </c>
      <c r="B812" s="97">
        <v>19677</v>
      </c>
      <c r="C812" t="s">
        <v>115</v>
      </c>
      <c r="D812" t="s">
        <v>485</v>
      </c>
      <c r="E812" t="s">
        <v>140</v>
      </c>
      <c r="F812" t="s">
        <v>558</v>
      </c>
      <c r="G812" s="50" t="s">
        <v>574</v>
      </c>
      <c r="H812" s="50">
        <v>2</v>
      </c>
      <c r="I812" s="100">
        <v>6.7391919697301583</v>
      </c>
      <c r="J812" s="52">
        <v>3834.68</v>
      </c>
      <c r="K812" s="67">
        <f t="shared" si="52"/>
        <v>508505.71902371425</v>
      </c>
      <c r="L812" s="95">
        <f>+VLOOKUP(E812,MARGEN!A:B,2,FALSE)</f>
        <v>0.1</v>
      </c>
      <c r="M812" s="112">
        <f t="shared" si="49"/>
        <v>50850.571902371426</v>
      </c>
      <c r="N812" s="113">
        <f t="shared" si="50"/>
        <v>2034.0228760948571</v>
      </c>
      <c r="O812" s="113">
        <f t="shared" si="51"/>
        <v>455621.12424524798</v>
      </c>
    </row>
    <row r="813" spans="1:15" x14ac:dyDescent="0.25">
      <c r="A813" s="13">
        <v>44462</v>
      </c>
      <c r="B813" s="97">
        <v>19677</v>
      </c>
      <c r="C813" t="s">
        <v>115</v>
      </c>
      <c r="D813" t="s">
        <v>485</v>
      </c>
      <c r="E813" t="s">
        <v>140</v>
      </c>
      <c r="F813" t="s">
        <v>558</v>
      </c>
      <c r="G813" s="50" t="s">
        <v>574</v>
      </c>
      <c r="H813" s="50">
        <v>2</v>
      </c>
      <c r="I813" s="100">
        <v>6.7391919697301583</v>
      </c>
      <c r="J813" s="52">
        <v>3834.68</v>
      </c>
      <c r="K813" s="67">
        <f t="shared" si="52"/>
        <v>508505.71902371425</v>
      </c>
      <c r="L813" s="95">
        <f>+VLOOKUP(E813,MARGEN!A:B,2,FALSE)</f>
        <v>0.1</v>
      </c>
      <c r="M813" s="112">
        <f t="shared" si="49"/>
        <v>50850.571902371426</v>
      </c>
      <c r="N813" s="113">
        <f t="shared" si="50"/>
        <v>2034.0228760948571</v>
      </c>
      <c r="O813" s="113">
        <f t="shared" si="51"/>
        <v>455621.12424524798</v>
      </c>
    </row>
    <row r="814" spans="1:15" x14ac:dyDescent="0.25">
      <c r="A814" s="13">
        <v>44463</v>
      </c>
      <c r="B814" s="97">
        <v>19677</v>
      </c>
      <c r="C814" t="s">
        <v>115</v>
      </c>
      <c r="D814" t="s">
        <v>485</v>
      </c>
      <c r="E814" t="s">
        <v>140</v>
      </c>
      <c r="F814" t="s">
        <v>558</v>
      </c>
      <c r="G814" s="50" t="s">
        <v>574</v>
      </c>
      <c r="H814" s="50">
        <v>2</v>
      </c>
      <c r="I814" s="100">
        <v>6.7391919697301583</v>
      </c>
      <c r="J814" s="52">
        <v>3834.68</v>
      </c>
      <c r="K814" s="67">
        <f t="shared" si="52"/>
        <v>508505.71902371425</v>
      </c>
      <c r="L814" s="95">
        <f>+VLOOKUP(E814,MARGEN!A:B,2,FALSE)</f>
        <v>0.1</v>
      </c>
      <c r="M814" s="112">
        <f t="shared" si="49"/>
        <v>50850.571902371426</v>
      </c>
      <c r="N814" s="113">
        <f t="shared" si="50"/>
        <v>2034.0228760948571</v>
      </c>
      <c r="O814" s="113">
        <f t="shared" si="51"/>
        <v>455621.12424524798</v>
      </c>
    </row>
    <row r="815" spans="1:15" x14ac:dyDescent="0.25">
      <c r="A815" s="13">
        <v>44464</v>
      </c>
      <c r="B815" s="97">
        <v>19676</v>
      </c>
      <c r="C815" t="s">
        <v>115</v>
      </c>
      <c r="D815" s="94" t="s">
        <v>485</v>
      </c>
      <c r="E815" t="s">
        <v>140</v>
      </c>
      <c r="F815" t="s">
        <v>551</v>
      </c>
      <c r="G815" s="50" t="s">
        <v>205</v>
      </c>
      <c r="H815" s="50">
        <v>2</v>
      </c>
      <c r="I815" s="100">
        <v>6.7391919697301583</v>
      </c>
      <c r="J815" s="52">
        <v>3834.68</v>
      </c>
      <c r="K815" s="67">
        <f t="shared" si="52"/>
        <v>508479.87637905177</v>
      </c>
      <c r="L815" s="95">
        <f>+VLOOKUP(E815,MARGEN!A:B,2,FALSE)</f>
        <v>0.1</v>
      </c>
      <c r="M815" s="112">
        <f t="shared" si="49"/>
        <v>50847.987637905178</v>
      </c>
      <c r="N815" s="113">
        <f t="shared" si="50"/>
        <v>2033.919505516207</v>
      </c>
      <c r="O815" s="113">
        <f t="shared" si="51"/>
        <v>455597.96923563041</v>
      </c>
    </row>
    <row r="816" spans="1:15" x14ac:dyDescent="0.25">
      <c r="A816" s="13">
        <v>44466</v>
      </c>
      <c r="B816" s="97">
        <v>19677</v>
      </c>
      <c r="C816" t="s">
        <v>115</v>
      </c>
      <c r="D816" s="94" t="s">
        <v>485</v>
      </c>
      <c r="E816" t="s">
        <v>140</v>
      </c>
      <c r="F816" t="s">
        <v>558</v>
      </c>
      <c r="G816" s="50" t="s">
        <v>574</v>
      </c>
      <c r="H816" s="50">
        <v>2</v>
      </c>
      <c r="I816" s="100">
        <v>6.7391919697301583</v>
      </c>
      <c r="J816" s="52">
        <v>3834.68</v>
      </c>
      <c r="K816" s="67">
        <f t="shared" si="52"/>
        <v>508505.71902371425</v>
      </c>
      <c r="L816" s="95">
        <f>+VLOOKUP(E816,MARGEN!A:B,2,FALSE)</f>
        <v>0.1</v>
      </c>
      <c r="M816" s="112">
        <f t="shared" si="49"/>
        <v>50850.571902371426</v>
      </c>
      <c r="N816" s="113">
        <f t="shared" si="50"/>
        <v>2034.0228760948571</v>
      </c>
      <c r="O816" s="113">
        <f t="shared" si="51"/>
        <v>455621.12424524798</v>
      </c>
    </row>
    <row r="817" spans="1:15" x14ac:dyDescent="0.25">
      <c r="A817" s="13">
        <v>44467</v>
      </c>
      <c r="B817" s="97">
        <v>19675</v>
      </c>
      <c r="C817" t="s">
        <v>115</v>
      </c>
      <c r="D817" s="94" t="s">
        <v>485</v>
      </c>
      <c r="E817" t="s">
        <v>140</v>
      </c>
      <c r="F817" t="s">
        <v>562</v>
      </c>
      <c r="G817" s="50" t="s">
        <v>574</v>
      </c>
      <c r="H817" s="50">
        <v>2</v>
      </c>
      <c r="I817" s="100">
        <v>6.7391919697301583</v>
      </c>
      <c r="J817" s="52">
        <v>3834.68</v>
      </c>
      <c r="K817" s="67">
        <f t="shared" si="52"/>
        <v>508454.03373438923</v>
      </c>
      <c r="L817" s="95">
        <f>+VLOOKUP(E817,MARGEN!A:B,2,FALSE)</f>
        <v>0.1</v>
      </c>
      <c r="M817" s="112">
        <f t="shared" si="49"/>
        <v>50845.403373438923</v>
      </c>
      <c r="N817" s="113">
        <f t="shared" si="50"/>
        <v>2033.8161349375569</v>
      </c>
      <c r="O817" s="113">
        <f t="shared" si="51"/>
        <v>455574.81422601274</v>
      </c>
    </row>
    <row r="818" spans="1:15" x14ac:dyDescent="0.25">
      <c r="A818" s="13">
        <v>44447</v>
      </c>
      <c r="B818" s="97">
        <v>13187</v>
      </c>
      <c r="C818" t="s">
        <v>242</v>
      </c>
      <c r="D818" s="94" t="s">
        <v>379</v>
      </c>
      <c r="E818" t="s">
        <v>241</v>
      </c>
      <c r="F818" t="s">
        <v>572</v>
      </c>
      <c r="G818" s="50" t="s">
        <v>243</v>
      </c>
      <c r="H818" s="50">
        <v>2</v>
      </c>
      <c r="I818" s="100">
        <v>6.7391919697301583</v>
      </c>
      <c r="J818" s="52">
        <v>3834.68</v>
      </c>
      <c r="K818" s="67">
        <f t="shared" si="52"/>
        <v>340786.95516418759</v>
      </c>
      <c r="L818" s="95">
        <f>+VLOOKUP(E818,MARGEN!A:B,2,FALSE)</f>
        <v>0.1</v>
      </c>
      <c r="M818" s="112">
        <f t="shared" si="49"/>
        <v>34078.69551641876</v>
      </c>
      <c r="N818" s="113">
        <f t="shared" si="50"/>
        <v>1363.1478206567504</v>
      </c>
      <c r="O818" s="113">
        <f t="shared" si="51"/>
        <v>305345.11182711204</v>
      </c>
    </row>
    <row r="819" spans="1:15" x14ac:dyDescent="0.25">
      <c r="A819" s="13">
        <v>44462</v>
      </c>
      <c r="B819" s="97">
        <v>13198</v>
      </c>
      <c r="C819" t="s">
        <v>242</v>
      </c>
      <c r="D819" t="s">
        <v>379</v>
      </c>
      <c r="E819" t="s">
        <v>241</v>
      </c>
      <c r="F819" t="s">
        <v>558</v>
      </c>
      <c r="G819" s="50" t="s">
        <v>574</v>
      </c>
      <c r="H819" s="50">
        <v>2</v>
      </c>
      <c r="I819" s="100">
        <v>6.7391919697301583</v>
      </c>
      <c r="J819" s="52">
        <v>3834.68</v>
      </c>
      <c r="K819" s="67">
        <f t="shared" si="52"/>
        <v>341071.22425547498</v>
      </c>
      <c r="L819" s="95">
        <f>+VLOOKUP(E819,MARGEN!A:B,2,FALSE)</f>
        <v>0.1</v>
      </c>
      <c r="M819" s="112">
        <f t="shared" si="49"/>
        <v>34107.122425547503</v>
      </c>
      <c r="N819" s="113">
        <f t="shared" si="50"/>
        <v>1364.2848970219</v>
      </c>
      <c r="O819" s="113">
        <f t="shared" si="51"/>
        <v>305599.81693290558</v>
      </c>
    </row>
    <row r="820" spans="1:15" x14ac:dyDescent="0.25">
      <c r="A820" s="13">
        <v>44463</v>
      </c>
      <c r="B820" s="97">
        <v>13198</v>
      </c>
      <c r="C820" t="s">
        <v>242</v>
      </c>
      <c r="D820" t="s">
        <v>379</v>
      </c>
      <c r="E820" t="s">
        <v>241</v>
      </c>
      <c r="F820" t="s">
        <v>558</v>
      </c>
      <c r="G820" s="50" t="s">
        <v>574</v>
      </c>
      <c r="H820" s="50">
        <v>2</v>
      </c>
      <c r="I820" s="100">
        <v>6.7391919697301583</v>
      </c>
      <c r="J820" s="52">
        <v>3834.68</v>
      </c>
      <c r="K820" s="67">
        <f t="shared" si="52"/>
        <v>341071.22425547498</v>
      </c>
      <c r="L820" s="95">
        <f>+VLOOKUP(E820,MARGEN!A:B,2,FALSE)</f>
        <v>0.1</v>
      </c>
      <c r="M820" s="112">
        <f t="shared" si="49"/>
        <v>34107.122425547503</v>
      </c>
      <c r="N820" s="113">
        <f t="shared" si="50"/>
        <v>1364.2848970219</v>
      </c>
      <c r="O820" s="113">
        <f t="shared" si="51"/>
        <v>305599.81693290558</v>
      </c>
    </row>
    <row r="821" spans="1:15" x14ac:dyDescent="0.25">
      <c r="A821" s="13">
        <v>44464</v>
      </c>
      <c r="B821" s="97">
        <v>13197</v>
      </c>
      <c r="C821" t="s">
        <v>242</v>
      </c>
      <c r="D821" t="s">
        <v>379</v>
      </c>
      <c r="E821" t="s">
        <v>241</v>
      </c>
      <c r="F821" t="s">
        <v>562</v>
      </c>
      <c r="G821" s="50" t="s">
        <v>574</v>
      </c>
      <c r="H821" s="50">
        <v>2</v>
      </c>
      <c r="I821" s="100">
        <v>6.7391919697301583</v>
      </c>
      <c r="J821" s="52">
        <v>3834.68</v>
      </c>
      <c r="K821" s="67">
        <f t="shared" si="52"/>
        <v>341045.38161081244</v>
      </c>
      <c r="L821" s="95">
        <f>+VLOOKUP(E821,MARGEN!A:B,2,FALSE)</f>
        <v>0.1</v>
      </c>
      <c r="M821" s="112">
        <f t="shared" si="49"/>
        <v>34104.538161081247</v>
      </c>
      <c r="N821" s="113">
        <f t="shared" si="50"/>
        <v>1364.1815264432498</v>
      </c>
      <c r="O821" s="113">
        <f t="shared" si="51"/>
        <v>305576.66192328796</v>
      </c>
    </row>
    <row r="822" spans="1:15" x14ac:dyDescent="0.25">
      <c r="A822" s="43">
        <v>44465</v>
      </c>
      <c r="B822" s="51">
        <v>13198</v>
      </c>
      <c r="C822" s="66" t="s">
        <v>242</v>
      </c>
      <c r="D822" s="66" t="s">
        <v>379</v>
      </c>
      <c r="E822" t="s">
        <v>241</v>
      </c>
      <c r="F822" s="50" t="s">
        <v>566</v>
      </c>
      <c r="G822" s="50" t="s">
        <v>574</v>
      </c>
      <c r="H822" s="50">
        <v>2</v>
      </c>
      <c r="I822" s="100">
        <v>6.7391919697301583</v>
      </c>
      <c r="J822" s="52">
        <v>3834.68</v>
      </c>
      <c r="K822" s="67">
        <f t="shared" si="52"/>
        <v>341071.22425547498</v>
      </c>
      <c r="L822" s="95">
        <f>+VLOOKUP(E822,MARGEN!A:B,2,FALSE)</f>
        <v>0.1</v>
      </c>
      <c r="M822" s="112">
        <f t="shared" si="49"/>
        <v>34107.122425547503</v>
      </c>
      <c r="N822" s="113">
        <f t="shared" si="50"/>
        <v>1364.2848970219</v>
      </c>
      <c r="O822" s="113">
        <f t="shared" si="51"/>
        <v>305599.81693290558</v>
      </c>
    </row>
    <row r="823" spans="1:15" x14ac:dyDescent="0.25">
      <c r="A823" s="43">
        <v>44466</v>
      </c>
      <c r="B823" s="51">
        <v>13198</v>
      </c>
      <c r="C823" s="66" t="s">
        <v>242</v>
      </c>
      <c r="D823" s="66" t="s">
        <v>379</v>
      </c>
      <c r="E823" t="s">
        <v>241</v>
      </c>
      <c r="F823" s="50" t="s">
        <v>558</v>
      </c>
      <c r="G823" s="50" t="s">
        <v>574</v>
      </c>
      <c r="H823" s="50">
        <v>2</v>
      </c>
      <c r="I823" s="100">
        <v>6.7391919697301583</v>
      </c>
      <c r="J823" s="52">
        <v>3834.68</v>
      </c>
      <c r="K823" s="67">
        <f t="shared" si="52"/>
        <v>341071.22425547498</v>
      </c>
      <c r="L823" s="95">
        <f>+VLOOKUP(E823,MARGEN!A:B,2,FALSE)</f>
        <v>0.1</v>
      </c>
      <c r="M823" s="112">
        <f t="shared" si="49"/>
        <v>34107.122425547503</v>
      </c>
      <c r="N823" s="113">
        <f t="shared" si="50"/>
        <v>1364.2848970219</v>
      </c>
      <c r="O823" s="113">
        <f t="shared" si="51"/>
        <v>305599.81693290558</v>
      </c>
    </row>
    <row r="824" spans="1:15" x14ac:dyDescent="0.25">
      <c r="A824" s="43">
        <v>44467</v>
      </c>
      <c r="B824" s="51">
        <v>13198</v>
      </c>
      <c r="C824" s="66" t="s">
        <v>242</v>
      </c>
      <c r="D824" s="66" t="s">
        <v>379</v>
      </c>
      <c r="E824" t="s">
        <v>241</v>
      </c>
      <c r="F824" s="50" t="s">
        <v>566</v>
      </c>
      <c r="G824" s="50" t="s">
        <v>574</v>
      </c>
      <c r="H824" s="50">
        <v>2</v>
      </c>
      <c r="I824" s="100">
        <v>6.7391919697301583</v>
      </c>
      <c r="J824" s="52">
        <v>3834.68</v>
      </c>
      <c r="K824" s="67">
        <f t="shared" si="52"/>
        <v>341071.22425547498</v>
      </c>
      <c r="L824" s="95">
        <f>+VLOOKUP(E824,MARGEN!A:B,2,FALSE)</f>
        <v>0.1</v>
      </c>
      <c r="M824" s="112">
        <f t="shared" si="49"/>
        <v>34107.122425547503</v>
      </c>
      <c r="N824" s="113">
        <f t="shared" si="50"/>
        <v>1364.2848970219</v>
      </c>
      <c r="O824" s="113">
        <f t="shared" si="51"/>
        <v>305599.81693290558</v>
      </c>
    </row>
    <row r="825" spans="1:15" x14ac:dyDescent="0.25">
      <c r="A825" s="43">
        <v>44468</v>
      </c>
      <c r="B825" s="51">
        <v>13198</v>
      </c>
      <c r="C825" s="66" t="s">
        <v>242</v>
      </c>
      <c r="D825" s="66" t="s">
        <v>379</v>
      </c>
      <c r="E825" t="s">
        <v>241</v>
      </c>
      <c r="F825" s="50" t="s">
        <v>558</v>
      </c>
      <c r="G825" s="50" t="s">
        <v>574</v>
      </c>
      <c r="H825" s="50">
        <v>2</v>
      </c>
      <c r="I825" s="100">
        <v>6.7391919697301583</v>
      </c>
      <c r="J825" s="52">
        <v>3834.68</v>
      </c>
      <c r="K825" s="67">
        <f t="shared" si="52"/>
        <v>341071.22425547498</v>
      </c>
      <c r="L825" s="95">
        <f>+VLOOKUP(E825,MARGEN!A:B,2,FALSE)</f>
        <v>0.1</v>
      </c>
      <c r="M825" s="112">
        <f t="shared" si="49"/>
        <v>34107.122425547503</v>
      </c>
      <c r="N825" s="113">
        <f t="shared" si="50"/>
        <v>1364.2848970219</v>
      </c>
      <c r="O825" s="113">
        <f t="shared" si="51"/>
        <v>305599.81693290558</v>
      </c>
    </row>
    <row r="826" spans="1:15" x14ac:dyDescent="0.25">
      <c r="A826" s="13">
        <v>44444</v>
      </c>
      <c r="B826" s="97">
        <v>500674</v>
      </c>
      <c r="C826" t="s">
        <v>145</v>
      </c>
      <c r="D826" s="94" t="s">
        <v>400</v>
      </c>
      <c r="E826" t="s">
        <v>65</v>
      </c>
      <c r="F826" t="s">
        <v>558</v>
      </c>
      <c r="G826" s="50" t="s">
        <v>559</v>
      </c>
      <c r="H826" s="50">
        <v>2</v>
      </c>
      <c r="I826" s="100">
        <v>6.7391919697301583</v>
      </c>
      <c r="J826" s="52">
        <v>3834.68</v>
      </c>
      <c r="K826" s="67">
        <f t="shared" si="52"/>
        <v>12938740.273744935</v>
      </c>
      <c r="L826" s="95">
        <f>+VLOOKUP(E826,MARGEN!A:B,2,FALSE)</f>
        <v>0.08</v>
      </c>
      <c r="M826" s="112">
        <f t="shared" si="49"/>
        <v>1035099.2218995949</v>
      </c>
      <c r="N826" s="113">
        <f t="shared" si="50"/>
        <v>51754.961094979742</v>
      </c>
      <c r="O826" s="113">
        <f t="shared" si="51"/>
        <v>11851886.090750361</v>
      </c>
    </row>
    <row r="827" spans="1:15" x14ac:dyDescent="0.25">
      <c r="A827" s="13">
        <v>44445</v>
      </c>
      <c r="B827" s="97">
        <v>497374</v>
      </c>
      <c r="C827" t="s">
        <v>145</v>
      </c>
      <c r="D827" s="94" t="s">
        <v>400</v>
      </c>
      <c r="E827" t="s">
        <v>65</v>
      </c>
      <c r="F827" t="s">
        <v>566</v>
      </c>
      <c r="G827" s="50" t="s">
        <v>559</v>
      </c>
      <c r="H827" s="50">
        <v>2</v>
      </c>
      <c r="I827" s="100">
        <v>6.7391919697301583</v>
      </c>
      <c r="J827" s="52">
        <v>3834.68</v>
      </c>
      <c r="K827" s="67">
        <f t="shared" si="52"/>
        <v>12853459.546358736</v>
      </c>
      <c r="L827" s="95">
        <f>+VLOOKUP(E827,MARGEN!A:B,2,FALSE)</f>
        <v>0.08</v>
      </c>
      <c r="M827" s="112">
        <f t="shared" si="49"/>
        <v>1028276.7637086989</v>
      </c>
      <c r="N827" s="113">
        <f t="shared" si="50"/>
        <v>51413.838185434943</v>
      </c>
      <c r="O827" s="113">
        <f t="shared" si="51"/>
        <v>11773768.944464602</v>
      </c>
    </row>
    <row r="828" spans="1:15" x14ac:dyDescent="0.25">
      <c r="A828" s="13">
        <v>44446</v>
      </c>
      <c r="B828" s="97">
        <v>503757</v>
      </c>
      <c r="C828" t="s">
        <v>145</v>
      </c>
      <c r="D828" s="94" t="s">
        <v>400</v>
      </c>
      <c r="E828" t="s">
        <v>65</v>
      </c>
      <c r="F828" t="s">
        <v>566</v>
      </c>
      <c r="G828" s="50" t="s">
        <v>559</v>
      </c>
      <c r="H828" s="50">
        <v>2</v>
      </c>
      <c r="I828" s="100">
        <v>6.7391919697301583</v>
      </c>
      <c r="J828" s="52">
        <v>3834.68</v>
      </c>
      <c r="K828" s="67">
        <f t="shared" si="52"/>
        <v>13018413.147239378</v>
      </c>
      <c r="L828" s="95">
        <f>+VLOOKUP(E828,MARGEN!A:B,2,FALSE)</f>
        <v>0.08</v>
      </c>
      <c r="M828" s="112">
        <f t="shared" si="49"/>
        <v>1041473.0517791503</v>
      </c>
      <c r="N828" s="113">
        <f t="shared" si="50"/>
        <v>52073.652588957513</v>
      </c>
      <c r="O828" s="113">
        <f t="shared" si="51"/>
        <v>11924866.442871269</v>
      </c>
    </row>
    <row r="829" spans="1:15" x14ac:dyDescent="0.25">
      <c r="A829" s="13">
        <v>44447</v>
      </c>
      <c r="B829" s="97">
        <v>542607</v>
      </c>
      <c r="C829" t="s">
        <v>145</v>
      </c>
      <c r="D829" s="94" t="s">
        <v>400</v>
      </c>
      <c r="E829" t="s">
        <v>65</v>
      </c>
      <c r="F829" t="s">
        <v>566</v>
      </c>
      <c r="G829" s="50" t="s">
        <v>559</v>
      </c>
      <c r="H829" s="50">
        <v>2</v>
      </c>
      <c r="I829" s="100">
        <v>6.7391919697301583</v>
      </c>
      <c r="J829" s="52">
        <v>3834.68</v>
      </c>
      <c r="K829" s="67">
        <f t="shared" si="52"/>
        <v>14022399.892376913</v>
      </c>
      <c r="L829" s="95">
        <f>+VLOOKUP(E829,MARGEN!A:B,2,FALSE)</f>
        <v>0.08</v>
      </c>
      <c r="M829" s="112">
        <f t="shared" si="49"/>
        <v>1121791.9913901531</v>
      </c>
      <c r="N829" s="113">
        <f t="shared" si="50"/>
        <v>56089.599569507649</v>
      </c>
      <c r="O829" s="113">
        <f t="shared" si="51"/>
        <v>12844518.301417252</v>
      </c>
    </row>
    <row r="830" spans="1:15" x14ac:dyDescent="0.25">
      <c r="A830" s="13">
        <v>44448</v>
      </c>
      <c r="B830" s="97">
        <v>503613</v>
      </c>
      <c r="C830" t="s">
        <v>145</v>
      </c>
      <c r="D830" s="94" t="s">
        <v>400</v>
      </c>
      <c r="E830" t="s">
        <v>65</v>
      </c>
      <c r="F830" t="s">
        <v>566</v>
      </c>
      <c r="G830" s="50" t="s">
        <v>559</v>
      </c>
      <c r="H830" s="50">
        <v>2</v>
      </c>
      <c r="I830" s="100">
        <v>6.7391919697301583</v>
      </c>
      <c r="J830" s="52">
        <v>3834.68</v>
      </c>
      <c r="K830" s="67">
        <f t="shared" si="52"/>
        <v>13014691.806407981</v>
      </c>
      <c r="L830" s="95">
        <f>+VLOOKUP(E830,MARGEN!A:B,2,FALSE)</f>
        <v>0.08</v>
      </c>
      <c r="M830" s="112">
        <f t="shared" si="49"/>
        <v>1041175.3445126385</v>
      </c>
      <c r="N830" s="113">
        <f t="shared" si="50"/>
        <v>52058.76722563192</v>
      </c>
      <c r="O830" s="113">
        <f t="shared" si="51"/>
        <v>11921457.69466971</v>
      </c>
    </row>
    <row r="831" spans="1:15" x14ac:dyDescent="0.25">
      <c r="A831" s="13">
        <v>44449</v>
      </c>
      <c r="B831" s="97">
        <v>500877</v>
      </c>
      <c r="C831" t="s">
        <v>145</v>
      </c>
      <c r="D831" s="94" t="s">
        <v>400</v>
      </c>
      <c r="E831" t="s">
        <v>65</v>
      </c>
      <c r="F831" t="s">
        <v>566</v>
      </c>
      <c r="G831" s="50" t="s">
        <v>559</v>
      </c>
      <c r="H831" s="50">
        <v>2</v>
      </c>
      <c r="I831" s="100">
        <v>6.7391919697301583</v>
      </c>
      <c r="J831" s="52">
        <v>3834.68</v>
      </c>
      <c r="K831" s="67">
        <f t="shared" si="52"/>
        <v>12943986.330611421</v>
      </c>
      <c r="L831" s="95">
        <f>+VLOOKUP(E831,MARGEN!A:B,2,FALSE)</f>
        <v>0.08</v>
      </c>
      <c r="M831" s="112">
        <f t="shared" si="49"/>
        <v>1035518.9064489137</v>
      </c>
      <c r="N831" s="113">
        <f t="shared" si="50"/>
        <v>51775.945322445681</v>
      </c>
      <c r="O831" s="113">
        <f t="shared" si="51"/>
        <v>11856691.478840061</v>
      </c>
    </row>
    <row r="832" spans="1:15" x14ac:dyDescent="0.25">
      <c r="A832" s="13">
        <v>44450</v>
      </c>
      <c r="B832" s="97">
        <v>500661</v>
      </c>
      <c r="C832" t="s">
        <v>145</v>
      </c>
      <c r="D832" s="94" t="s">
        <v>400</v>
      </c>
      <c r="E832" t="s">
        <v>65</v>
      </c>
      <c r="F832" t="s">
        <v>566</v>
      </c>
      <c r="G832" s="50" t="s">
        <v>559</v>
      </c>
      <c r="H832" s="50">
        <v>2</v>
      </c>
      <c r="I832" s="100">
        <v>6.7391919697301583</v>
      </c>
      <c r="J832" s="52">
        <v>3834.68</v>
      </c>
      <c r="K832" s="67">
        <f t="shared" si="52"/>
        <v>12938404.319364322</v>
      </c>
      <c r="L832" s="95">
        <f>+VLOOKUP(E832,MARGEN!A:B,2,FALSE)</f>
        <v>0.08</v>
      </c>
      <c r="M832" s="112">
        <f t="shared" si="49"/>
        <v>1035072.3455491458</v>
      </c>
      <c r="N832" s="113">
        <f t="shared" si="50"/>
        <v>51753.617277457291</v>
      </c>
      <c r="O832" s="113">
        <f t="shared" si="51"/>
        <v>11851578.35653772</v>
      </c>
    </row>
    <row r="833" spans="1:15" x14ac:dyDescent="0.25">
      <c r="A833" s="13">
        <v>44451</v>
      </c>
      <c r="B833" s="97">
        <v>500877</v>
      </c>
      <c r="C833" t="s">
        <v>145</v>
      </c>
      <c r="D833" s="94" t="s">
        <v>400</v>
      </c>
      <c r="E833" t="s">
        <v>65</v>
      </c>
      <c r="F833" t="s">
        <v>566</v>
      </c>
      <c r="G833" s="50" t="s">
        <v>559</v>
      </c>
      <c r="H833" s="50">
        <v>2</v>
      </c>
      <c r="I833" s="100">
        <v>6.7391919697301583</v>
      </c>
      <c r="J833" s="52">
        <v>3834.68</v>
      </c>
      <c r="K833" s="67">
        <f t="shared" si="52"/>
        <v>12943986.330611421</v>
      </c>
      <c r="L833" s="95">
        <f>+VLOOKUP(E833,MARGEN!A:B,2,FALSE)</f>
        <v>0.08</v>
      </c>
      <c r="M833" s="112">
        <f t="shared" si="49"/>
        <v>1035518.9064489137</v>
      </c>
      <c r="N833" s="113">
        <f t="shared" si="50"/>
        <v>51775.945322445681</v>
      </c>
      <c r="O833" s="113">
        <f t="shared" si="51"/>
        <v>11856691.478840061</v>
      </c>
    </row>
    <row r="834" spans="1:15" x14ac:dyDescent="0.25">
      <c r="A834" s="13">
        <v>44452</v>
      </c>
      <c r="B834" s="97">
        <v>497374</v>
      </c>
      <c r="C834" t="s">
        <v>145</v>
      </c>
      <c r="D834" s="94" t="s">
        <v>400</v>
      </c>
      <c r="E834" t="s">
        <v>65</v>
      </c>
      <c r="F834" t="s">
        <v>566</v>
      </c>
      <c r="G834" s="50" t="s">
        <v>559</v>
      </c>
      <c r="H834" s="50">
        <v>2</v>
      </c>
      <c r="I834" s="100">
        <v>6.7391919697301583</v>
      </c>
      <c r="J834" s="52">
        <v>3834.68</v>
      </c>
      <c r="K834" s="67">
        <f t="shared" si="52"/>
        <v>12853459.546358736</v>
      </c>
      <c r="L834" s="95">
        <f>+VLOOKUP(E834,MARGEN!A:B,2,FALSE)</f>
        <v>0.08</v>
      </c>
      <c r="M834" s="112">
        <f t="shared" si="49"/>
        <v>1028276.7637086989</v>
      </c>
      <c r="N834" s="113">
        <f t="shared" si="50"/>
        <v>51413.838185434943</v>
      </c>
      <c r="O834" s="113">
        <f t="shared" si="51"/>
        <v>11773768.944464602</v>
      </c>
    </row>
    <row r="835" spans="1:15" x14ac:dyDescent="0.25">
      <c r="A835" s="13">
        <v>44453</v>
      </c>
      <c r="B835" s="97">
        <v>503757</v>
      </c>
      <c r="C835" t="s">
        <v>145</v>
      </c>
      <c r="D835" s="94" t="s">
        <v>400</v>
      </c>
      <c r="E835" t="s">
        <v>65</v>
      </c>
      <c r="F835" t="s">
        <v>566</v>
      </c>
      <c r="G835" s="50" t="s">
        <v>559</v>
      </c>
      <c r="H835" s="50">
        <v>2</v>
      </c>
      <c r="I835" s="100">
        <v>6.7391919697301583</v>
      </c>
      <c r="J835" s="52">
        <v>3834.68</v>
      </c>
      <c r="K835" s="67">
        <f t="shared" si="52"/>
        <v>13018413.147239378</v>
      </c>
      <c r="L835" s="95">
        <f>+VLOOKUP(E835,MARGEN!A:B,2,FALSE)</f>
        <v>0.08</v>
      </c>
      <c r="M835" s="112">
        <f t="shared" ref="M835:M898" si="53">+K835*L835</f>
        <v>1041473.0517791503</v>
      </c>
      <c r="N835" s="113">
        <f t="shared" ref="N835:N898" si="54">+K835*4/1000</f>
        <v>52073.652588957513</v>
      </c>
      <c r="O835" s="113">
        <f t="shared" ref="O835:O898" si="55">+K835-M835-N835</f>
        <v>11924866.442871269</v>
      </c>
    </row>
    <row r="836" spans="1:15" x14ac:dyDescent="0.25">
      <c r="A836" s="13">
        <v>44454</v>
      </c>
      <c r="B836" s="97">
        <v>542607</v>
      </c>
      <c r="C836" t="s">
        <v>145</v>
      </c>
      <c r="D836" s="94" t="s">
        <v>400</v>
      </c>
      <c r="E836" t="s">
        <v>65</v>
      </c>
      <c r="F836" t="s">
        <v>566</v>
      </c>
      <c r="G836" s="50" t="s">
        <v>559</v>
      </c>
      <c r="H836" s="50">
        <v>2</v>
      </c>
      <c r="I836" s="100">
        <v>6.7391919697301583</v>
      </c>
      <c r="J836" s="52">
        <v>3834.68</v>
      </c>
      <c r="K836" s="67">
        <f t="shared" si="52"/>
        <v>14022399.892376913</v>
      </c>
      <c r="L836" s="95">
        <f>+VLOOKUP(E836,MARGEN!A:B,2,FALSE)</f>
        <v>0.08</v>
      </c>
      <c r="M836" s="112">
        <f t="shared" si="53"/>
        <v>1121791.9913901531</v>
      </c>
      <c r="N836" s="113">
        <f t="shared" si="54"/>
        <v>56089.599569507649</v>
      </c>
      <c r="O836" s="113">
        <f t="shared" si="55"/>
        <v>12844518.301417252</v>
      </c>
    </row>
    <row r="837" spans="1:15" x14ac:dyDescent="0.25">
      <c r="A837" s="13">
        <v>44455</v>
      </c>
      <c r="B837" s="97">
        <v>503591</v>
      </c>
      <c r="C837" t="s">
        <v>145</v>
      </c>
      <c r="D837" s="94" t="s">
        <v>400</v>
      </c>
      <c r="E837" t="s">
        <v>65</v>
      </c>
      <c r="F837" t="s">
        <v>551</v>
      </c>
      <c r="G837" s="50" t="s">
        <v>205</v>
      </c>
      <c r="H837" s="50">
        <v>2</v>
      </c>
      <c r="I837" s="100">
        <v>6.7391919697301583</v>
      </c>
      <c r="J837" s="52">
        <v>3834.68</v>
      </c>
      <c r="K837" s="67">
        <f t="shared" si="52"/>
        <v>13014123.268225405</v>
      </c>
      <c r="L837" s="95">
        <f>+VLOOKUP(E837,MARGEN!A:B,2,FALSE)</f>
        <v>0.08</v>
      </c>
      <c r="M837" s="112">
        <f t="shared" si="53"/>
        <v>1041129.8614580325</v>
      </c>
      <c r="N837" s="113">
        <f t="shared" si="54"/>
        <v>52056.49307290162</v>
      </c>
      <c r="O837" s="113">
        <f t="shared" si="55"/>
        <v>11920936.913694471</v>
      </c>
    </row>
    <row r="838" spans="1:15" x14ac:dyDescent="0.25">
      <c r="A838" s="13">
        <v>44456</v>
      </c>
      <c r="B838" s="97">
        <v>500855</v>
      </c>
      <c r="C838" t="s">
        <v>145</v>
      </c>
      <c r="D838" s="94" t="s">
        <v>400</v>
      </c>
      <c r="E838" t="s">
        <v>65</v>
      </c>
      <c r="F838" t="s">
        <v>551</v>
      </c>
      <c r="G838" s="50" t="s">
        <v>205</v>
      </c>
      <c r="H838" s="50">
        <v>2</v>
      </c>
      <c r="I838" s="100">
        <v>6.7391919697301583</v>
      </c>
      <c r="J838" s="52">
        <v>3834.68</v>
      </c>
      <c r="K838" s="67">
        <f t="shared" si="52"/>
        <v>12943417.792428846</v>
      </c>
      <c r="L838" s="95">
        <f>+VLOOKUP(E838,MARGEN!A:B,2,FALSE)</f>
        <v>0.08</v>
      </c>
      <c r="M838" s="112">
        <f t="shared" si="53"/>
        <v>1035473.4233943076</v>
      </c>
      <c r="N838" s="113">
        <f t="shared" si="54"/>
        <v>51773.671169715381</v>
      </c>
      <c r="O838" s="113">
        <f t="shared" si="55"/>
        <v>11856170.697864823</v>
      </c>
    </row>
    <row r="839" spans="1:15" x14ac:dyDescent="0.25">
      <c r="A839" s="13">
        <v>44457</v>
      </c>
      <c r="B839" s="97">
        <v>503200</v>
      </c>
      <c r="C839" t="s">
        <v>145</v>
      </c>
      <c r="D839" s="94" t="s">
        <v>400</v>
      </c>
      <c r="E839" t="s">
        <v>65</v>
      </c>
      <c r="F839" t="s">
        <v>572</v>
      </c>
      <c r="G839" s="50" t="s">
        <v>243</v>
      </c>
      <c r="H839" s="50">
        <v>2</v>
      </c>
      <c r="I839" s="100">
        <v>6.7391919697301583</v>
      </c>
      <c r="J839" s="52">
        <v>3834.68</v>
      </c>
      <c r="K839" s="67">
        <f t="shared" si="52"/>
        <v>13004018.794162372</v>
      </c>
      <c r="L839" s="95">
        <f>+VLOOKUP(E839,MARGEN!A:B,2,FALSE)</f>
        <v>0.08</v>
      </c>
      <c r="M839" s="112">
        <f t="shared" si="53"/>
        <v>1040321.5035329898</v>
      </c>
      <c r="N839" s="113">
        <f t="shared" si="54"/>
        <v>52016.075176649487</v>
      </c>
      <c r="O839" s="113">
        <f t="shared" si="55"/>
        <v>11911681.215452734</v>
      </c>
    </row>
    <row r="840" spans="1:15" x14ac:dyDescent="0.25">
      <c r="A840" s="13">
        <v>44458</v>
      </c>
      <c r="B840" s="97">
        <v>542609</v>
      </c>
      <c r="C840" t="s">
        <v>145</v>
      </c>
      <c r="D840" s="94" t="s">
        <v>400</v>
      </c>
      <c r="E840" t="s">
        <v>65</v>
      </c>
      <c r="F840" t="s">
        <v>557</v>
      </c>
      <c r="G840" s="50" t="s">
        <v>205</v>
      </c>
      <c r="H840" s="50">
        <v>2</v>
      </c>
      <c r="I840" s="100">
        <v>6.7391919697301583</v>
      </c>
      <c r="J840" s="52">
        <v>3834.68</v>
      </c>
      <c r="K840" s="67">
        <f t="shared" si="52"/>
        <v>14022451.577666236</v>
      </c>
      <c r="L840" s="95">
        <f>+VLOOKUP(E840,MARGEN!A:B,2,FALSE)</f>
        <v>0.08</v>
      </c>
      <c r="M840" s="112">
        <f t="shared" si="53"/>
        <v>1121796.1262132989</v>
      </c>
      <c r="N840" s="113">
        <f t="shared" si="54"/>
        <v>56089.806310664942</v>
      </c>
      <c r="O840" s="113">
        <f t="shared" si="55"/>
        <v>12844565.645142272</v>
      </c>
    </row>
    <row r="841" spans="1:15" x14ac:dyDescent="0.25">
      <c r="A841" s="13">
        <v>44459</v>
      </c>
      <c r="B841" s="97">
        <v>497439</v>
      </c>
      <c r="C841" t="s">
        <v>145</v>
      </c>
      <c r="D841" s="94" t="s">
        <v>400</v>
      </c>
      <c r="E841" t="s">
        <v>65</v>
      </c>
      <c r="F841" t="s">
        <v>573</v>
      </c>
      <c r="G841" s="50" t="s">
        <v>574</v>
      </c>
      <c r="H841" s="50">
        <v>2</v>
      </c>
      <c r="I841" s="100">
        <v>6.7391919697301583</v>
      </c>
      <c r="J841" s="52">
        <v>3834.68</v>
      </c>
      <c r="K841" s="67">
        <f t="shared" ref="K841:K904" si="56">+B841*I841*J841/1000</f>
        <v>12855139.318261797</v>
      </c>
      <c r="L841" s="95">
        <f>+VLOOKUP(E841,MARGEN!A:B,2,FALSE)</f>
        <v>0.08</v>
      </c>
      <c r="M841" s="112">
        <f t="shared" si="53"/>
        <v>1028411.1454609438</v>
      </c>
      <c r="N841" s="113">
        <f t="shared" si="54"/>
        <v>51420.557273047183</v>
      </c>
      <c r="O841" s="113">
        <f t="shared" si="55"/>
        <v>11775307.615527805</v>
      </c>
    </row>
    <row r="842" spans="1:15" x14ac:dyDescent="0.25">
      <c r="A842" s="13">
        <v>44460</v>
      </c>
      <c r="B842" s="97">
        <v>503823</v>
      </c>
      <c r="C842" t="s">
        <v>145</v>
      </c>
      <c r="D842" s="94" t="s">
        <v>400</v>
      </c>
      <c r="E842" t="s">
        <v>65</v>
      </c>
      <c r="F842" t="s">
        <v>573</v>
      </c>
      <c r="G842" s="50" t="s">
        <v>574</v>
      </c>
      <c r="H842" s="50">
        <v>2</v>
      </c>
      <c r="I842" s="100">
        <v>6.7391919697301583</v>
      </c>
      <c r="J842" s="52">
        <v>3834.68</v>
      </c>
      <c r="K842" s="67">
        <f t="shared" si="56"/>
        <v>13020118.761787102</v>
      </c>
      <c r="L842" s="95">
        <f>+VLOOKUP(E842,MARGEN!A:B,2,FALSE)</f>
        <v>0.08</v>
      </c>
      <c r="M842" s="112">
        <f t="shared" si="53"/>
        <v>1041609.5009429682</v>
      </c>
      <c r="N842" s="113">
        <f t="shared" si="54"/>
        <v>52080.475047148408</v>
      </c>
      <c r="O842" s="113">
        <f t="shared" si="55"/>
        <v>11926428.785796985</v>
      </c>
    </row>
    <row r="843" spans="1:15" x14ac:dyDescent="0.25">
      <c r="A843" s="13">
        <v>44461</v>
      </c>
      <c r="B843" s="97">
        <v>542679</v>
      </c>
      <c r="C843" t="s">
        <v>145</v>
      </c>
      <c r="D843" t="s">
        <v>400</v>
      </c>
      <c r="E843" t="s">
        <v>65</v>
      </c>
      <c r="F843" t="s">
        <v>573</v>
      </c>
      <c r="G843" s="50" t="s">
        <v>574</v>
      </c>
      <c r="H843" s="50">
        <v>2</v>
      </c>
      <c r="I843" s="100">
        <v>6.7391919697301583</v>
      </c>
      <c r="J843" s="52">
        <v>3834.68</v>
      </c>
      <c r="K843" s="67">
        <f t="shared" si="56"/>
        <v>14024260.56279261</v>
      </c>
      <c r="L843" s="95">
        <f>+VLOOKUP(E843,MARGEN!A:B,2,FALSE)</f>
        <v>0.08</v>
      </c>
      <c r="M843" s="112">
        <f t="shared" si="53"/>
        <v>1121940.8450234088</v>
      </c>
      <c r="N843" s="113">
        <f t="shared" si="54"/>
        <v>56097.042251170438</v>
      </c>
      <c r="O843" s="113">
        <f t="shared" si="55"/>
        <v>12846222.675518032</v>
      </c>
    </row>
    <row r="844" spans="1:15" x14ac:dyDescent="0.25">
      <c r="A844" s="13">
        <v>44462</v>
      </c>
      <c r="B844" s="97">
        <v>503679</v>
      </c>
      <c r="C844" t="s">
        <v>145</v>
      </c>
      <c r="D844" t="s">
        <v>400</v>
      </c>
      <c r="E844" t="s">
        <v>65</v>
      </c>
      <c r="F844" t="s">
        <v>573</v>
      </c>
      <c r="G844" s="50" t="s">
        <v>574</v>
      </c>
      <c r="H844" s="50">
        <v>2</v>
      </c>
      <c r="I844" s="100">
        <v>6.7391919697301583</v>
      </c>
      <c r="J844" s="52">
        <v>3834.68</v>
      </c>
      <c r="K844" s="67">
        <f t="shared" si="56"/>
        <v>13016397.420955705</v>
      </c>
      <c r="L844" s="95">
        <f>+VLOOKUP(E844,MARGEN!A:B,2,FALSE)</f>
        <v>0.08</v>
      </c>
      <c r="M844" s="112">
        <f t="shared" si="53"/>
        <v>1041311.7936764564</v>
      </c>
      <c r="N844" s="113">
        <f t="shared" si="54"/>
        <v>52065.589683822815</v>
      </c>
      <c r="O844" s="113">
        <f t="shared" si="55"/>
        <v>11923020.037595425</v>
      </c>
    </row>
    <row r="845" spans="1:15" x14ac:dyDescent="0.25">
      <c r="A845" s="13">
        <v>44463</v>
      </c>
      <c r="B845" s="97">
        <v>500943</v>
      </c>
      <c r="C845" t="s">
        <v>145</v>
      </c>
      <c r="D845" t="s">
        <v>400</v>
      </c>
      <c r="E845" t="s">
        <v>65</v>
      </c>
      <c r="F845" t="s">
        <v>573</v>
      </c>
      <c r="G845" s="50" t="s">
        <v>574</v>
      </c>
      <c r="H845" s="50">
        <v>2</v>
      </c>
      <c r="I845" s="100">
        <v>6.7391919697301583</v>
      </c>
      <c r="J845" s="52">
        <v>3834.68</v>
      </c>
      <c r="K845" s="67">
        <f t="shared" si="56"/>
        <v>12945691.945159145</v>
      </c>
      <c r="L845" s="95">
        <f>+VLOOKUP(E845,MARGEN!A:B,2,FALSE)</f>
        <v>0.08</v>
      </c>
      <c r="M845" s="112">
        <f t="shared" si="53"/>
        <v>1035655.3556127317</v>
      </c>
      <c r="N845" s="113">
        <f t="shared" si="54"/>
        <v>51782.767780636575</v>
      </c>
      <c r="O845" s="113">
        <f t="shared" si="55"/>
        <v>11858253.821765775</v>
      </c>
    </row>
    <row r="846" spans="1:15" x14ac:dyDescent="0.25">
      <c r="A846" s="13">
        <v>44464</v>
      </c>
      <c r="B846" s="97">
        <v>500727</v>
      </c>
      <c r="C846" t="s">
        <v>145</v>
      </c>
      <c r="D846" t="s">
        <v>400</v>
      </c>
      <c r="E846" t="s">
        <v>65</v>
      </c>
      <c r="F846" t="s">
        <v>573</v>
      </c>
      <c r="G846" s="50" t="s">
        <v>574</v>
      </c>
      <c r="H846" s="50">
        <v>2</v>
      </c>
      <c r="I846" s="100">
        <v>6.7391919697301583</v>
      </c>
      <c r="J846" s="52">
        <v>3834.68</v>
      </c>
      <c r="K846" s="67">
        <f t="shared" si="56"/>
        <v>12940109.933912048</v>
      </c>
      <c r="L846" s="95">
        <f>+VLOOKUP(E846,MARGEN!A:B,2,FALSE)</f>
        <v>0.08</v>
      </c>
      <c r="M846" s="112">
        <f t="shared" si="53"/>
        <v>1035208.7947129639</v>
      </c>
      <c r="N846" s="113">
        <f t="shared" si="54"/>
        <v>51760.439735648193</v>
      </c>
      <c r="O846" s="113">
        <f t="shared" si="55"/>
        <v>11853140.699463436</v>
      </c>
    </row>
    <row r="847" spans="1:15" x14ac:dyDescent="0.25">
      <c r="A847" s="43">
        <v>44465</v>
      </c>
      <c r="B847" s="51">
        <v>505527</v>
      </c>
      <c r="C847" s="66" t="s">
        <v>145</v>
      </c>
      <c r="D847" s="66" t="s">
        <v>400</v>
      </c>
      <c r="E847" t="s">
        <v>65</v>
      </c>
      <c r="F847" s="50" t="s">
        <v>573</v>
      </c>
      <c r="G847" s="50" t="s">
        <v>574</v>
      </c>
      <c r="H847" s="50">
        <v>2</v>
      </c>
      <c r="I847" s="100">
        <v>6.7391919697301583</v>
      </c>
      <c r="J847" s="52">
        <v>3834.68</v>
      </c>
      <c r="K847" s="67">
        <f t="shared" si="56"/>
        <v>13064154.628291976</v>
      </c>
      <c r="L847" s="95">
        <f>+VLOOKUP(E847,MARGEN!A:B,2,FALSE)</f>
        <v>0.08</v>
      </c>
      <c r="M847" s="112">
        <f t="shared" si="53"/>
        <v>1045132.3702633581</v>
      </c>
      <c r="N847" s="113">
        <f t="shared" si="54"/>
        <v>52256.618513167901</v>
      </c>
      <c r="O847" s="113">
        <f t="shared" si="55"/>
        <v>11966765.639515448</v>
      </c>
    </row>
    <row r="848" spans="1:15" x14ac:dyDescent="0.25">
      <c r="A848" s="43">
        <v>44466</v>
      </c>
      <c r="B848" s="51">
        <v>497439</v>
      </c>
      <c r="C848" s="66" t="s">
        <v>145</v>
      </c>
      <c r="D848" s="66" t="s">
        <v>400</v>
      </c>
      <c r="E848" t="s">
        <v>65</v>
      </c>
      <c r="F848" s="50" t="s">
        <v>573</v>
      </c>
      <c r="G848" s="50" t="s">
        <v>574</v>
      </c>
      <c r="H848" s="50">
        <v>2</v>
      </c>
      <c r="I848" s="100">
        <v>6.7391919697301583</v>
      </c>
      <c r="J848" s="52">
        <v>3834.68</v>
      </c>
      <c r="K848" s="67">
        <f t="shared" si="56"/>
        <v>12855139.318261797</v>
      </c>
      <c r="L848" s="95">
        <f>+VLOOKUP(E848,MARGEN!A:B,2,FALSE)</f>
        <v>0.08</v>
      </c>
      <c r="M848" s="112">
        <f t="shared" si="53"/>
        <v>1028411.1454609438</v>
      </c>
      <c r="N848" s="113">
        <f t="shared" si="54"/>
        <v>51420.557273047183</v>
      </c>
      <c r="O848" s="113">
        <f t="shared" si="55"/>
        <v>11775307.615527805</v>
      </c>
    </row>
    <row r="849" spans="1:15" x14ac:dyDescent="0.25">
      <c r="A849" s="43">
        <v>44467</v>
      </c>
      <c r="B849" s="51">
        <v>503823</v>
      </c>
      <c r="C849" s="66" t="s">
        <v>145</v>
      </c>
      <c r="D849" s="66" t="s">
        <v>400</v>
      </c>
      <c r="E849" t="s">
        <v>65</v>
      </c>
      <c r="F849" s="50" t="s">
        <v>573</v>
      </c>
      <c r="G849" s="50" t="s">
        <v>574</v>
      </c>
      <c r="H849" s="50">
        <v>2</v>
      </c>
      <c r="I849" s="100">
        <v>6.7391919697301583</v>
      </c>
      <c r="J849" s="52">
        <v>3834.68</v>
      </c>
      <c r="K849" s="67">
        <f t="shared" si="56"/>
        <v>13020118.761787102</v>
      </c>
      <c r="L849" s="95">
        <f>+VLOOKUP(E849,MARGEN!A:B,2,FALSE)</f>
        <v>0.08</v>
      </c>
      <c r="M849" s="112">
        <f t="shared" si="53"/>
        <v>1041609.5009429682</v>
      </c>
      <c r="N849" s="113">
        <f t="shared" si="54"/>
        <v>52080.475047148408</v>
      </c>
      <c r="O849" s="113">
        <f t="shared" si="55"/>
        <v>11926428.785796985</v>
      </c>
    </row>
    <row r="850" spans="1:15" x14ac:dyDescent="0.25">
      <c r="A850" s="43">
        <v>44468</v>
      </c>
      <c r="B850" s="51">
        <v>542679</v>
      </c>
      <c r="C850" s="66" t="s">
        <v>145</v>
      </c>
      <c r="D850" s="66" t="s">
        <v>400</v>
      </c>
      <c r="E850" t="s">
        <v>65</v>
      </c>
      <c r="F850" s="50" t="s">
        <v>573</v>
      </c>
      <c r="G850" s="50" t="s">
        <v>574</v>
      </c>
      <c r="H850" s="50">
        <v>2</v>
      </c>
      <c r="I850" s="100">
        <v>6.7391919697301583</v>
      </c>
      <c r="J850" s="52">
        <v>3834.68</v>
      </c>
      <c r="K850" s="67">
        <f t="shared" si="56"/>
        <v>14024260.56279261</v>
      </c>
      <c r="L850" s="95">
        <f>+VLOOKUP(E850,MARGEN!A:B,2,FALSE)</f>
        <v>0.08</v>
      </c>
      <c r="M850" s="112">
        <f t="shared" si="53"/>
        <v>1121940.8450234088</v>
      </c>
      <c r="N850" s="113">
        <f t="shared" si="54"/>
        <v>56097.042251170438</v>
      </c>
      <c r="O850" s="113">
        <f t="shared" si="55"/>
        <v>12846222.675518032</v>
      </c>
    </row>
    <row r="851" spans="1:15" x14ac:dyDescent="0.25">
      <c r="A851" s="43">
        <v>44469</v>
      </c>
      <c r="B851" s="51">
        <v>503679</v>
      </c>
      <c r="C851" s="66" t="s">
        <v>145</v>
      </c>
      <c r="D851" s="66" t="s">
        <v>400</v>
      </c>
      <c r="E851" t="s">
        <v>65</v>
      </c>
      <c r="F851" s="50" t="s">
        <v>573</v>
      </c>
      <c r="G851" s="50" t="s">
        <v>574</v>
      </c>
      <c r="H851" s="50">
        <v>2</v>
      </c>
      <c r="I851" s="100">
        <v>6.7391919697301583</v>
      </c>
      <c r="J851" s="52">
        <v>3834.68</v>
      </c>
      <c r="K851" s="67">
        <f t="shared" si="56"/>
        <v>13016397.420955705</v>
      </c>
      <c r="L851" s="95">
        <f>+VLOOKUP(E851,MARGEN!A:B,2,FALSE)</f>
        <v>0.08</v>
      </c>
      <c r="M851" s="112">
        <f t="shared" si="53"/>
        <v>1041311.7936764564</v>
      </c>
      <c r="N851" s="113">
        <f t="shared" si="54"/>
        <v>52065.589683822815</v>
      </c>
      <c r="O851" s="113">
        <f t="shared" si="55"/>
        <v>11923020.037595425</v>
      </c>
    </row>
    <row r="852" spans="1:15" x14ac:dyDescent="0.25">
      <c r="A852" s="13">
        <v>44447</v>
      </c>
      <c r="B852" s="97">
        <v>29035</v>
      </c>
      <c r="C852" t="s">
        <v>133</v>
      </c>
      <c r="D852" s="94" t="s">
        <v>487</v>
      </c>
      <c r="E852" t="s">
        <v>38</v>
      </c>
      <c r="F852" t="s">
        <v>572</v>
      </c>
      <c r="G852" s="50" t="s">
        <v>243</v>
      </c>
      <c r="H852" s="50">
        <v>2</v>
      </c>
      <c r="I852" s="100">
        <v>6.7391919697301583</v>
      </c>
      <c r="J852" s="52">
        <v>3834.68</v>
      </c>
      <c r="K852" s="67">
        <f t="shared" si="56"/>
        <v>750341.1877752475</v>
      </c>
      <c r="L852" s="95">
        <f>+VLOOKUP(E852,MARGEN!A:B,2,FALSE)</f>
        <v>0.1</v>
      </c>
      <c r="M852" s="112">
        <f t="shared" si="53"/>
        <v>75034.118777524753</v>
      </c>
      <c r="N852" s="113">
        <f t="shared" si="54"/>
        <v>3001.3647511009899</v>
      </c>
      <c r="O852" s="113">
        <f t="shared" si="55"/>
        <v>672305.7042466217</v>
      </c>
    </row>
    <row r="853" spans="1:15" x14ac:dyDescent="0.25">
      <c r="A853" s="13">
        <v>44454</v>
      </c>
      <c r="B853" s="97">
        <v>29034</v>
      </c>
      <c r="C853" t="s">
        <v>133</v>
      </c>
      <c r="D853" s="94" t="s">
        <v>487</v>
      </c>
      <c r="E853" t="s">
        <v>38</v>
      </c>
      <c r="F853" t="s">
        <v>551</v>
      </c>
      <c r="G853" s="50" t="s">
        <v>205</v>
      </c>
      <c r="H853" s="50">
        <v>2</v>
      </c>
      <c r="I853" s="100">
        <v>6.7391919697301583</v>
      </c>
      <c r="J853" s="52">
        <v>3834.68</v>
      </c>
      <c r="K853" s="67">
        <f t="shared" si="56"/>
        <v>750315.3451305849</v>
      </c>
      <c r="L853" s="95">
        <f>+VLOOKUP(E853,MARGEN!A:B,2,FALSE)</f>
        <v>0.1</v>
      </c>
      <c r="M853" s="112">
        <f t="shared" si="53"/>
        <v>75031.53451305849</v>
      </c>
      <c r="N853" s="113">
        <f t="shared" si="54"/>
        <v>3001.2613805223396</v>
      </c>
      <c r="O853" s="113">
        <f t="shared" si="55"/>
        <v>672282.54923700402</v>
      </c>
    </row>
    <row r="854" spans="1:15" x14ac:dyDescent="0.25">
      <c r="A854" s="13">
        <v>44455</v>
      </c>
      <c r="B854" s="97">
        <v>29060</v>
      </c>
      <c r="C854" t="s">
        <v>133</v>
      </c>
      <c r="D854" s="94" t="s">
        <v>487</v>
      </c>
      <c r="E854" t="s">
        <v>38</v>
      </c>
      <c r="F854" t="s">
        <v>558</v>
      </c>
      <c r="G854" s="50" t="s">
        <v>559</v>
      </c>
      <c r="H854" s="50">
        <v>2</v>
      </c>
      <c r="I854" s="100">
        <v>6.7391919697301583</v>
      </c>
      <c r="J854" s="52">
        <v>3834.68</v>
      </c>
      <c r="K854" s="67">
        <f t="shared" si="56"/>
        <v>750987.25389180961</v>
      </c>
      <c r="L854" s="95">
        <f>+VLOOKUP(E854,MARGEN!A:B,2,FALSE)</f>
        <v>0.1</v>
      </c>
      <c r="M854" s="112">
        <f t="shared" si="53"/>
        <v>75098.725389180967</v>
      </c>
      <c r="N854" s="113">
        <f t="shared" si="54"/>
        <v>3003.9490155672383</v>
      </c>
      <c r="O854" s="113">
        <f t="shared" si="55"/>
        <v>672884.57948706148</v>
      </c>
    </row>
    <row r="855" spans="1:15" x14ac:dyDescent="0.25">
      <c r="A855" s="13">
        <v>44456</v>
      </c>
      <c r="B855" s="97">
        <v>24069</v>
      </c>
      <c r="C855" t="s">
        <v>133</v>
      </c>
      <c r="D855" s="94" t="s">
        <v>487</v>
      </c>
      <c r="E855" t="s">
        <v>38</v>
      </c>
      <c r="F855" t="s">
        <v>558</v>
      </c>
      <c r="G855" s="50" t="s">
        <v>559</v>
      </c>
      <c r="H855" s="50">
        <v>2</v>
      </c>
      <c r="I855" s="100">
        <v>6.7391919697301583</v>
      </c>
      <c r="J855" s="52">
        <v>3834.68</v>
      </c>
      <c r="K855" s="67">
        <f t="shared" si="56"/>
        <v>622006.61438134767</v>
      </c>
      <c r="L855" s="95">
        <f>+VLOOKUP(E855,MARGEN!A:B,2,FALSE)</f>
        <v>0.1</v>
      </c>
      <c r="M855" s="112">
        <f t="shared" si="53"/>
        <v>62200.661438134768</v>
      </c>
      <c r="N855" s="113">
        <f t="shared" si="54"/>
        <v>2488.0264575253905</v>
      </c>
      <c r="O855" s="113">
        <f t="shared" si="55"/>
        <v>557317.92648568749</v>
      </c>
    </row>
    <row r="856" spans="1:15" x14ac:dyDescent="0.25">
      <c r="A856" s="13">
        <v>44457</v>
      </c>
      <c r="B856" s="97">
        <v>27859</v>
      </c>
      <c r="C856" t="s">
        <v>133</v>
      </c>
      <c r="D856" s="94" t="s">
        <v>487</v>
      </c>
      <c r="E856" t="s">
        <v>38</v>
      </c>
      <c r="F856" t="s">
        <v>566</v>
      </c>
      <c r="G856" s="50" t="s">
        <v>559</v>
      </c>
      <c r="H856" s="50">
        <v>2</v>
      </c>
      <c r="I856" s="100">
        <v>6.7391919697301583</v>
      </c>
      <c r="J856" s="52">
        <v>3834.68</v>
      </c>
      <c r="K856" s="67">
        <f t="shared" si="56"/>
        <v>719950.23765216535</v>
      </c>
      <c r="L856" s="95">
        <f>+VLOOKUP(E856,MARGEN!A:B,2,FALSE)</f>
        <v>0.1</v>
      </c>
      <c r="M856" s="112">
        <f t="shared" si="53"/>
        <v>71995.023765216538</v>
      </c>
      <c r="N856" s="113">
        <f t="shared" si="54"/>
        <v>2879.8009506086614</v>
      </c>
      <c r="O856" s="113">
        <f t="shared" si="55"/>
        <v>645075.41293634009</v>
      </c>
    </row>
    <row r="857" spans="1:15" x14ac:dyDescent="0.25">
      <c r="A857" s="13">
        <v>44458</v>
      </c>
      <c r="B857" s="51">
        <v>22315</v>
      </c>
      <c r="C857" s="66" t="s">
        <v>133</v>
      </c>
      <c r="D857" s="66" t="s">
        <v>487</v>
      </c>
      <c r="E857" t="s">
        <v>38</v>
      </c>
      <c r="F857" s="50" t="s">
        <v>551</v>
      </c>
      <c r="G857" s="50" t="s">
        <v>205</v>
      </c>
      <c r="H857" s="50">
        <v>2</v>
      </c>
      <c r="I857" s="100">
        <v>6.7391919697301583</v>
      </c>
      <c r="J857" s="52">
        <v>3834.68</v>
      </c>
      <c r="K857" s="67">
        <f t="shared" si="56"/>
        <v>576678.61564334924</v>
      </c>
      <c r="L857" s="95">
        <f>+VLOOKUP(E857,MARGEN!A:B,2,FALSE)</f>
        <v>0.1</v>
      </c>
      <c r="M857" s="112">
        <f t="shared" si="53"/>
        <v>57667.861564334926</v>
      </c>
      <c r="N857" s="113">
        <f t="shared" si="54"/>
        <v>2306.7144625733968</v>
      </c>
      <c r="O857" s="113">
        <f t="shared" si="55"/>
        <v>516704.03961644089</v>
      </c>
    </row>
    <row r="858" spans="1:15" x14ac:dyDescent="0.25">
      <c r="A858" s="13">
        <v>44459</v>
      </c>
      <c r="B858" s="97">
        <v>28079</v>
      </c>
      <c r="C858" t="s">
        <v>133</v>
      </c>
      <c r="D858" s="94" t="s">
        <v>487</v>
      </c>
      <c r="E858" t="s">
        <v>38</v>
      </c>
      <c r="F858" t="s">
        <v>573</v>
      </c>
      <c r="G858" s="50" t="s">
        <v>574</v>
      </c>
      <c r="H858" s="50">
        <v>2</v>
      </c>
      <c r="I858" s="100">
        <v>6.7391919697301583</v>
      </c>
      <c r="J858" s="52">
        <v>3834.68</v>
      </c>
      <c r="K858" s="67">
        <f t="shared" si="56"/>
        <v>725635.61947791197</v>
      </c>
      <c r="L858" s="95">
        <f>+VLOOKUP(E858,MARGEN!A:B,2,FALSE)</f>
        <v>0.1</v>
      </c>
      <c r="M858" s="112">
        <f t="shared" si="53"/>
        <v>72563.561947791197</v>
      </c>
      <c r="N858" s="113">
        <f t="shared" si="54"/>
        <v>2902.5424779116479</v>
      </c>
      <c r="O858" s="113">
        <f t="shared" si="55"/>
        <v>650169.51505220903</v>
      </c>
    </row>
    <row r="859" spans="1:15" x14ac:dyDescent="0.25">
      <c r="A859" s="13">
        <v>44460</v>
      </c>
      <c r="B859" s="97">
        <v>22319</v>
      </c>
      <c r="C859" s="88" t="s">
        <v>133</v>
      </c>
      <c r="D859" t="s">
        <v>487</v>
      </c>
      <c r="E859" t="s">
        <v>38</v>
      </c>
      <c r="F859" t="s">
        <v>573</v>
      </c>
      <c r="G859" s="50" t="s">
        <v>574</v>
      </c>
      <c r="H859" s="50">
        <v>2</v>
      </c>
      <c r="I859" s="100">
        <v>6.7391919697301583</v>
      </c>
      <c r="J859" s="52">
        <v>3834.68</v>
      </c>
      <c r="K859" s="67">
        <f t="shared" si="56"/>
        <v>576781.98622199916</v>
      </c>
      <c r="L859" s="95">
        <f>+VLOOKUP(E859,MARGEN!A:B,2,FALSE)</f>
        <v>0.1</v>
      </c>
      <c r="M859" s="112">
        <f t="shared" si="53"/>
        <v>57678.198622199918</v>
      </c>
      <c r="N859" s="113">
        <f t="shared" si="54"/>
        <v>2307.1279448879968</v>
      </c>
      <c r="O859" s="113">
        <f t="shared" si="55"/>
        <v>516796.6596549112</v>
      </c>
    </row>
    <row r="860" spans="1:15" x14ac:dyDescent="0.25">
      <c r="A860" s="13">
        <v>44461</v>
      </c>
      <c r="B860" s="97">
        <v>29039</v>
      </c>
      <c r="C860" t="s">
        <v>133</v>
      </c>
      <c r="D860" t="s">
        <v>487</v>
      </c>
      <c r="E860" t="s">
        <v>38</v>
      </c>
      <c r="F860" t="s">
        <v>573</v>
      </c>
      <c r="G860" s="50" t="s">
        <v>574</v>
      </c>
      <c r="H860" s="50">
        <v>2</v>
      </c>
      <c r="I860" s="100">
        <v>6.7391919697301583</v>
      </c>
      <c r="J860" s="52">
        <v>3834.68</v>
      </c>
      <c r="K860" s="67">
        <f t="shared" si="56"/>
        <v>750444.5583538973</v>
      </c>
      <c r="L860" s="95">
        <f>+VLOOKUP(E860,MARGEN!A:B,2,FALSE)</f>
        <v>0.1</v>
      </c>
      <c r="M860" s="112">
        <f t="shared" si="53"/>
        <v>75044.45583538973</v>
      </c>
      <c r="N860" s="113">
        <f t="shared" si="54"/>
        <v>3001.7782334155891</v>
      </c>
      <c r="O860" s="113">
        <f t="shared" si="55"/>
        <v>672398.32428509195</v>
      </c>
    </row>
    <row r="861" spans="1:15" x14ac:dyDescent="0.25">
      <c r="A861" s="13">
        <v>44462</v>
      </c>
      <c r="B861" s="97">
        <v>29063</v>
      </c>
      <c r="C861" t="s">
        <v>133</v>
      </c>
      <c r="D861" t="s">
        <v>487</v>
      </c>
      <c r="E861" t="s">
        <v>38</v>
      </c>
      <c r="F861" t="s">
        <v>573</v>
      </c>
      <c r="G861" s="50" t="s">
        <v>574</v>
      </c>
      <c r="H861" s="50">
        <v>2</v>
      </c>
      <c r="I861" s="100">
        <v>6.7391919697301583</v>
      </c>
      <c r="J861" s="52">
        <v>3834.68</v>
      </c>
      <c r="K861" s="67">
        <f t="shared" si="56"/>
        <v>751064.78182579693</v>
      </c>
      <c r="L861" s="95">
        <f>+VLOOKUP(E861,MARGEN!A:B,2,FALSE)</f>
        <v>0.1</v>
      </c>
      <c r="M861" s="112">
        <f t="shared" si="53"/>
        <v>75106.478182579696</v>
      </c>
      <c r="N861" s="113">
        <f t="shared" si="54"/>
        <v>3004.2591273031876</v>
      </c>
      <c r="O861" s="113">
        <f t="shared" si="55"/>
        <v>672954.04451591405</v>
      </c>
    </row>
    <row r="862" spans="1:15" x14ac:dyDescent="0.25">
      <c r="A862" s="13">
        <v>44463</v>
      </c>
      <c r="B862" s="97">
        <v>24071</v>
      </c>
      <c r="C862" t="s">
        <v>133</v>
      </c>
      <c r="D862" t="s">
        <v>487</v>
      </c>
      <c r="E862" t="s">
        <v>38</v>
      </c>
      <c r="F862" t="s">
        <v>573</v>
      </c>
      <c r="G862" s="50" t="s">
        <v>574</v>
      </c>
      <c r="H862" s="50">
        <v>2</v>
      </c>
      <c r="I862" s="100">
        <v>6.7391919697301583</v>
      </c>
      <c r="J862" s="52">
        <v>3834.68</v>
      </c>
      <c r="K862" s="67">
        <f t="shared" si="56"/>
        <v>622058.29967067263</v>
      </c>
      <c r="L862" s="95">
        <f>+VLOOKUP(E862,MARGEN!A:B,2,FALSE)</f>
        <v>0.1</v>
      </c>
      <c r="M862" s="112">
        <f t="shared" si="53"/>
        <v>62205.829967067264</v>
      </c>
      <c r="N862" s="113">
        <f t="shared" si="54"/>
        <v>2488.2331986826907</v>
      </c>
      <c r="O862" s="113">
        <f t="shared" si="55"/>
        <v>557364.23650492274</v>
      </c>
    </row>
    <row r="863" spans="1:15" x14ac:dyDescent="0.25">
      <c r="A863" s="13">
        <v>44464</v>
      </c>
      <c r="B863" s="97">
        <v>27863</v>
      </c>
      <c r="C863" t="s">
        <v>133</v>
      </c>
      <c r="D863" t="s">
        <v>487</v>
      </c>
      <c r="E863" t="s">
        <v>38</v>
      </c>
      <c r="F863" t="s">
        <v>573</v>
      </c>
      <c r="G863" s="50" t="s">
        <v>574</v>
      </c>
      <c r="H863" s="50">
        <v>2</v>
      </c>
      <c r="I863" s="100">
        <v>6.7391919697301583</v>
      </c>
      <c r="J863" s="52">
        <v>3834.68</v>
      </c>
      <c r="K863" s="67">
        <f t="shared" si="56"/>
        <v>720053.60823081515</v>
      </c>
      <c r="L863" s="95">
        <f>+VLOOKUP(E863,MARGEN!A:B,2,FALSE)</f>
        <v>0.1</v>
      </c>
      <c r="M863" s="112">
        <f t="shared" si="53"/>
        <v>72005.360823081515</v>
      </c>
      <c r="N863" s="113">
        <f t="shared" si="54"/>
        <v>2880.2144329232606</v>
      </c>
      <c r="O863" s="113">
        <f t="shared" si="55"/>
        <v>645168.03297481046</v>
      </c>
    </row>
    <row r="864" spans="1:15" x14ac:dyDescent="0.25">
      <c r="A864" s="13">
        <v>44465</v>
      </c>
      <c r="B864" s="97">
        <v>13847</v>
      </c>
      <c r="C864" t="s">
        <v>133</v>
      </c>
      <c r="D864" t="s">
        <v>487</v>
      </c>
      <c r="E864" t="s">
        <v>38</v>
      </c>
      <c r="F864" t="s">
        <v>573</v>
      </c>
      <c r="G864" s="50" t="s">
        <v>574</v>
      </c>
      <c r="H864" s="50">
        <v>2</v>
      </c>
      <c r="I864" s="100">
        <v>6.7391919697301583</v>
      </c>
      <c r="J864" s="52">
        <v>3834.68</v>
      </c>
      <c r="K864" s="67">
        <f t="shared" si="56"/>
        <v>357843.10064142756</v>
      </c>
      <c r="L864" s="95">
        <f>+VLOOKUP(E864,MARGEN!A:B,2,FALSE)</f>
        <v>0.1</v>
      </c>
      <c r="M864" s="112">
        <f t="shared" si="53"/>
        <v>35784.310064142759</v>
      </c>
      <c r="N864" s="113">
        <f t="shared" si="54"/>
        <v>1431.3724025657102</v>
      </c>
      <c r="O864" s="113">
        <f t="shared" si="55"/>
        <v>320627.41817471909</v>
      </c>
    </row>
    <row r="865" spans="1:15" x14ac:dyDescent="0.25">
      <c r="A865" s="43">
        <v>44466</v>
      </c>
      <c r="B865" s="51">
        <v>28076</v>
      </c>
      <c r="C865" s="66" t="s">
        <v>133</v>
      </c>
      <c r="D865" s="66" t="s">
        <v>487</v>
      </c>
      <c r="E865" t="s">
        <v>38</v>
      </c>
      <c r="F865" s="50" t="s">
        <v>558</v>
      </c>
      <c r="G865" s="50" t="s">
        <v>574</v>
      </c>
      <c r="H865" s="50">
        <v>2</v>
      </c>
      <c r="I865" s="100">
        <v>6.7391919697301583</v>
      </c>
      <c r="J865" s="52">
        <v>3834.68</v>
      </c>
      <c r="K865" s="67">
        <f t="shared" si="56"/>
        <v>725558.09154392441</v>
      </c>
      <c r="L865" s="95">
        <f>+VLOOKUP(E865,MARGEN!A:B,2,FALSE)</f>
        <v>0.1</v>
      </c>
      <c r="M865" s="112">
        <f t="shared" si="53"/>
        <v>72555.809154392438</v>
      </c>
      <c r="N865" s="113">
        <f t="shared" si="54"/>
        <v>2902.2323661756977</v>
      </c>
      <c r="O865" s="113">
        <f t="shared" si="55"/>
        <v>650100.05002335622</v>
      </c>
    </row>
    <row r="866" spans="1:15" x14ac:dyDescent="0.25">
      <c r="A866" s="43">
        <v>44467</v>
      </c>
      <c r="B866" s="51">
        <v>22315</v>
      </c>
      <c r="C866" s="66" t="s">
        <v>133</v>
      </c>
      <c r="D866" s="66" t="s">
        <v>487</v>
      </c>
      <c r="E866" t="s">
        <v>38</v>
      </c>
      <c r="F866" s="50" t="s">
        <v>562</v>
      </c>
      <c r="G866" s="50" t="s">
        <v>574</v>
      </c>
      <c r="H866" s="50">
        <v>2</v>
      </c>
      <c r="I866" s="100">
        <v>6.7391919697301583</v>
      </c>
      <c r="J866" s="52">
        <v>3834.68</v>
      </c>
      <c r="K866" s="67">
        <f t="shared" si="56"/>
        <v>576678.61564334924</v>
      </c>
      <c r="L866" s="95">
        <f>+VLOOKUP(E866,MARGEN!A:B,2,FALSE)</f>
        <v>0.1</v>
      </c>
      <c r="M866" s="112">
        <f t="shared" si="53"/>
        <v>57667.861564334926</v>
      </c>
      <c r="N866" s="113">
        <f t="shared" si="54"/>
        <v>2306.7144625733968</v>
      </c>
      <c r="O866" s="113">
        <f t="shared" si="55"/>
        <v>516704.03961644089</v>
      </c>
    </row>
    <row r="867" spans="1:15" x14ac:dyDescent="0.25">
      <c r="A867" s="43">
        <v>44468</v>
      </c>
      <c r="B867" s="51">
        <v>29036</v>
      </c>
      <c r="C867" s="66" t="s">
        <v>133</v>
      </c>
      <c r="D867" s="66" t="s">
        <v>487</v>
      </c>
      <c r="E867" t="s">
        <v>38</v>
      </c>
      <c r="F867" s="50" t="s">
        <v>558</v>
      </c>
      <c r="G867" s="50" t="s">
        <v>574</v>
      </c>
      <c r="H867" s="50">
        <v>2</v>
      </c>
      <c r="I867" s="100">
        <v>6.7391919697301583</v>
      </c>
      <c r="J867" s="52">
        <v>3834.68</v>
      </c>
      <c r="K867" s="67">
        <f t="shared" si="56"/>
        <v>750367.03041990986</v>
      </c>
      <c r="L867" s="95">
        <f>+VLOOKUP(E867,MARGEN!A:B,2,FALSE)</f>
        <v>0.1</v>
      </c>
      <c r="M867" s="112">
        <f t="shared" si="53"/>
        <v>75036.703041990986</v>
      </c>
      <c r="N867" s="113">
        <f t="shared" si="54"/>
        <v>3001.4681216796394</v>
      </c>
      <c r="O867" s="113">
        <f t="shared" si="55"/>
        <v>672328.85925623926</v>
      </c>
    </row>
    <row r="868" spans="1:15" x14ac:dyDescent="0.25">
      <c r="A868" s="13">
        <v>44440</v>
      </c>
      <c r="B868" s="97">
        <v>14998</v>
      </c>
      <c r="C868" t="s">
        <v>508</v>
      </c>
      <c r="D868" s="94" t="s">
        <v>509</v>
      </c>
      <c r="E868" t="s">
        <v>259</v>
      </c>
      <c r="F868" t="s">
        <v>558</v>
      </c>
      <c r="G868" s="50" t="s">
        <v>559</v>
      </c>
      <c r="H868" s="50">
        <v>2</v>
      </c>
      <c r="I868" s="100">
        <v>6.7391919697301583</v>
      </c>
      <c r="J868" s="52">
        <v>3834.68</v>
      </c>
      <c r="K868" s="67">
        <f t="shared" si="56"/>
        <v>387587.98464794765</v>
      </c>
      <c r="L868" s="95">
        <f>+VLOOKUP(E868,MARGEN!A:B,2,FALSE)</f>
        <v>0.1</v>
      </c>
      <c r="M868" s="112">
        <f t="shared" si="53"/>
        <v>38758.798464794767</v>
      </c>
      <c r="N868" s="113">
        <f t="shared" si="54"/>
        <v>1550.3519385917907</v>
      </c>
      <c r="O868" s="113">
        <f t="shared" si="55"/>
        <v>347278.83424456109</v>
      </c>
    </row>
    <row r="869" spans="1:15" x14ac:dyDescent="0.25">
      <c r="A869" s="13">
        <v>44441</v>
      </c>
      <c r="B869" s="97">
        <v>14998</v>
      </c>
      <c r="C869" t="s">
        <v>508</v>
      </c>
      <c r="D869" s="94" t="s">
        <v>509</v>
      </c>
      <c r="E869" t="s">
        <v>259</v>
      </c>
      <c r="F869" t="s">
        <v>558</v>
      </c>
      <c r="G869" s="50" t="s">
        <v>559</v>
      </c>
      <c r="H869" s="50">
        <v>2</v>
      </c>
      <c r="I869" s="100">
        <v>6.7391919697301583</v>
      </c>
      <c r="J869" s="52">
        <v>3834.68</v>
      </c>
      <c r="K869" s="67">
        <f t="shared" si="56"/>
        <v>387587.98464794765</v>
      </c>
      <c r="L869" s="95">
        <f>+VLOOKUP(E869,MARGEN!A:B,2,FALSE)</f>
        <v>0.1</v>
      </c>
      <c r="M869" s="112">
        <f t="shared" si="53"/>
        <v>38758.798464794767</v>
      </c>
      <c r="N869" s="113">
        <f t="shared" si="54"/>
        <v>1550.3519385917907</v>
      </c>
      <c r="O869" s="113">
        <f t="shared" si="55"/>
        <v>347278.83424456109</v>
      </c>
    </row>
    <row r="870" spans="1:15" x14ac:dyDescent="0.25">
      <c r="A870" s="13">
        <v>44442</v>
      </c>
      <c r="B870" s="51">
        <v>14998</v>
      </c>
      <c r="C870" s="66" t="s">
        <v>508</v>
      </c>
      <c r="D870" s="66" t="s">
        <v>509</v>
      </c>
      <c r="E870" t="s">
        <v>259</v>
      </c>
      <c r="F870" s="50" t="s">
        <v>558</v>
      </c>
      <c r="G870" s="50" t="s">
        <v>559</v>
      </c>
      <c r="H870" s="50">
        <v>2</v>
      </c>
      <c r="I870" s="100">
        <v>6.7391919697301583</v>
      </c>
      <c r="J870" s="52">
        <v>3834.68</v>
      </c>
      <c r="K870" s="67">
        <f t="shared" si="56"/>
        <v>387587.98464794765</v>
      </c>
      <c r="L870" s="95">
        <f>+VLOOKUP(E870,MARGEN!A:B,2,FALSE)</f>
        <v>0.1</v>
      </c>
      <c r="M870" s="112">
        <f t="shared" si="53"/>
        <v>38758.798464794767</v>
      </c>
      <c r="N870" s="113">
        <f t="shared" si="54"/>
        <v>1550.3519385917907</v>
      </c>
      <c r="O870" s="113">
        <f t="shared" si="55"/>
        <v>347278.83424456109</v>
      </c>
    </row>
    <row r="871" spans="1:15" x14ac:dyDescent="0.25">
      <c r="A871" s="13">
        <v>44454</v>
      </c>
      <c r="B871" s="97">
        <v>14997</v>
      </c>
      <c r="C871" t="s">
        <v>508</v>
      </c>
      <c r="D871" s="94" t="s">
        <v>509</v>
      </c>
      <c r="E871" t="s">
        <v>259</v>
      </c>
      <c r="F871" t="s">
        <v>551</v>
      </c>
      <c r="G871" s="50" t="s">
        <v>205</v>
      </c>
      <c r="H871" s="50">
        <v>2</v>
      </c>
      <c r="I871" s="100">
        <v>6.7391919697301583</v>
      </c>
      <c r="J871" s="52">
        <v>3834.68</v>
      </c>
      <c r="K871" s="67">
        <f t="shared" si="56"/>
        <v>387562.14200328523</v>
      </c>
      <c r="L871" s="95">
        <f>+VLOOKUP(E871,MARGEN!A:B,2,FALSE)</f>
        <v>0.1</v>
      </c>
      <c r="M871" s="112">
        <f t="shared" si="53"/>
        <v>38756.214200328526</v>
      </c>
      <c r="N871" s="113">
        <f t="shared" si="54"/>
        <v>1550.248568013141</v>
      </c>
      <c r="O871" s="113">
        <f t="shared" si="55"/>
        <v>347255.67923494359</v>
      </c>
    </row>
    <row r="872" spans="1:15" x14ac:dyDescent="0.25">
      <c r="A872" s="13">
        <v>44455</v>
      </c>
      <c r="B872" s="97">
        <v>14998</v>
      </c>
      <c r="C872" t="s">
        <v>508</v>
      </c>
      <c r="D872" s="94" t="s">
        <v>509</v>
      </c>
      <c r="E872" t="s">
        <v>259</v>
      </c>
      <c r="F872" t="s">
        <v>558</v>
      </c>
      <c r="G872" s="50" t="s">
        <v>559</v>
      </c>
      <c r="H872" s="50">
        <v>2</v>
      </c>
      <c r="I872" s="100">
        <v>6.7391919697301583</v>
      </c>
      <c r="J872" s="52">
        <v>3834.68</v>
      </c>
      <c r="K872" s="67">
        <f t="shared" si="56"/>
        <v>387587.98464794765</v>
      </c>
      <c r="L872" s="95">
        <f>+VLOOKUP(E872,MARGEN!A:B,2,FALSE)</f>
        <v>0.1</v>
      </c>
      <c r="M872" s="112">
        <f t="shared" si="53"/>
        <v>38758.798464794767</v>
      </c>
      <c r="N872" s="113">
        <f t="shared" si="54"/>
        <v>1550.3519385917907</v>
      </c>
      <c r="O872" s="113">
        <f t="shared" si="55"/>
        <v>347278.83424456109</v>
      </c>
    </row>
    <row r="873" spans="1:15" x14ac:dyDescent="0.25">
      <c r="A873" s="13">
        <v>44456</v>
      </c>
      <c r="B873" s="97">
        <v>14998</v>
      </c>
      <c r="C873" t="s">
        <v>508</v>
      </c>
      <c r="D873" s="94" t="s">
        <v>509</v>
      </c>
      <c r="E873" t="s">
        <v>259</v>
      </c>
      <c r="F873" t="s">
        <v>558</v>
      </c>
      <c r="G873" s="50" t="s">
        <v>559</v>
      </c>
      <c r="H873" s="50">
        <v>2</v>
      </c>
      <c r="I873" s="100">
        <v>6.7391919697301583</v>
      </c>
      <c r="J873" s="52">
        <v>3834.68</v>
      </c>
      <c r="K873" s="67">
        <f t="shared" si="56"/>
        <v>387587.98464794765</v>
      </c>
      <c r="L873" s="95">
        <f>+VLOOKUP(E873,MARGEN!A:B,2,FALSE)</f>
        <v>0.1</v>
      </c>
      <c r="M873" s="112">
        <f t="shared" si="53"/>
        <v>38758.798464794767</v>
      </c>
      <c r="N873" s="113">
        <f t="shared" si="54"/>
        <v>1550.3519385917907</v>
      </c>
      <c r="O873" s="113">
        <f t="shared" si="55"/>
        <v>347278.83424456109</v>
      </c>
    </row>
    <row r="874" spans="1:15" x14ac:dyDescent="0.25">
      <c r="A874" s="13">
        <v>44457</v>
      </c>
      <c r="B874" s="97">
        <v>14997</v>
      </c>
      <c r="C874" t="s">
        <v>508</v>
      </c>
      <c r="D874" s="94" t="s">
        <v>509</v>
      </c>
      <c r="E874" t="s">
        <v>259</v>
      </c>
      <c r="F874" t="s">
        <v>551</v>
      </c>
      <c r="G874" s="50" t="s">
        <v>205</v>
      </c>
      <c r="H874" s="50">
        <v>2</v>
      </c>
      <c r="I874" s="100">
        <v>6.7391919697301583</v>
      </c>
      <c r="J874" s="52">
        <v>3834.68</v>
      </c>
      <c r="K874" s="67">
        <f t="shared" si="56"/>
        <v>387562.14200328523</v>
      </c>
      <c r="L874" s="95">
        <f>+VLOOKUP(E874,MARGEN!A:B,2,FALSE)</f>
        <v>0.1</v>
      </c>
      <c r="M874" s="112">
        <f t="shared" si="53"/>
        <v>38756.214200328526</v>
      </c>
      <c r="N874" s="113">
        <f t="shared" si="54"/>
        <v>1550.248568013141</v>
      </c>
      <c r="O874" s="113">
        <f t="shared" si="55"/>
        <v>347255.67923494359</v>
      </c>
    </row>
    <row r="875" spans="1:15" x14ac:dyDescent="0.25">
      <c r="A875" s="43">
        <v>44458</v>
      </c>
      <c r="B875" s="51">
        <v>14999</v>
      </c>
      <c r="C875" s="66" t="s">
        <v>508</v>
      </c>
      <c r="D875" s="66" t="s">
        <v>509</v>
      </c>
      <c r="E875" t="s">
        <v>259</v>
      </c>
      <c r="F875" s="50" t="s">
        <v>573</v>
      </c>
      <c r="G875" s="50" t="s">
        <v>574</v>
      </c>
      <c r="H875" s="50">
        <v>2</v>
      </c>
      <c r="I875" s="100">
        <v>6.7391919697301583</v>
      </c>
      <c r="J875" s="52">
        <v>3834.68</v>
      </c>
      <c r="K875" s="67">
        <f t="shared" si="56"/>
        <v>387613.82729261019</v>
      </c>
      <c r="L875" s="95">
        <f>+VLOOKUP(E875,MARGEN!A:B,2,FALSE)</f>
        <v>0.1</v>
      </c>
      <c r="M875" s="112">
        <f t="shared" si="53"/>
        <v>38761.382729261022</v>
      </c>
      <c r="N875" s="113">
        <f t="shared" si="54"/>
        <v>1550.4553091704408</v>
      </c>
      <c r="O875" s="113">
        <f t="shared" si="55"/>
        <v>347301.98925417877</v>
      </c>
    </row>
    <row r="876" spans="1:15" x14ac:dyDescent="0.25">
      <c r="A876" s="13">
        <v>44459</v>
      </c>
      <c r="B876" s="97">
        <v>14999</v>
      </c>
      <c r="C876" t="s">
        <v>508</v>
      </c>
      <c r="D876" s="94" t="s">
        <v>509</v>
      </c>
      <c r="E876" t="s">
        <v>259</v>
      </c>
      <c r="F876" t="s">
        <v>573</v>
      </c>
      <c r="G876" s="50" t="s">
        <v>574</v>
      </c>
      <c r="H876" s="50">
        <v>2</v>
      </c>
      <c r="I876" s="100">
        <v>6.7391919697301583</v>
      </c>
      <c r="J876" s="52">
        <v>3834.68</v>
      </c>
      <c r="K876" s="67">
        <f t="shared" si="56"/>
        <v>387613.82729261019</v>
      </c>
      <c r="L876" s="95">
        <f>+VLOOKUP(E876,MARGEN!A:B,2,FALSE)</f>
        <v>0.1</v>
      </c>
      <c r="M876" s="112">
        <f t="shared" si="53"/>
        <v>38761.382729261022</v>
      </c>
      <c r="N876" s="113">
        <f t="shared" si="54"/>
        <v>1550.4553091704408</v>
      </c>
      <c r="O876" s="113">
        <f t="shared" si="55"/>
        <v>347301.98925417877</v>
      </c>
    </row>
    <row r="877" spans="1:15" x14ac:dyDescent="0.25">
      <c r="A877" s="13">
        <v>44460</v>
      </c>
      <c r="B877" s="97">
        <v>14999</v>
      </c>
      <c r="C877" t="s">
        <v>508</v>
      </c>
      <c r="D877" s="94" t="s">
        <v>509</v>
      </c>
      <c r="E877" t="s">
        <v>259</v>
      </c>
      <c r="F877" t="s">
        <v>573</v>
      </c>
      <c r="G877" s="50" t="s">
        <v>574</v>
      </c>
      <c r="H877" s="50">
        <v>2</v>
      </c>
      <c r="I877" s="100">
        <v>6.7391919697301583</v>
      </c>
      <c r="J877" s="52">
        <v>3834.68</v>
      </c>
      <c r="K877" s="67">
        <f t="shared" si="56"/>
        <v>387613.82729261019</v>
      </c>
      <c r="L877" s="95">
        <f>+VLOOKUP(E877,MARGEN!A:B,2,FALSE)</f>
        <v>0.1</v>
      </c>
      <c r="M877" s="112">
        <f t="shared" si="53"/>
        <v>38761.382729261022</v>
      </c>
      <c r="N877" s="113">
        <f t="shared" si="54"/>
        <v>1550.4553091704408</v>
      </c>
      <c r="O877" s="113">
        <f t="shared" si="55"/>
        <v>347301.98925417877</v>
      </c>
    </row>
    <row r="878" spans="1:15" x14ac:dyDescent="0.25">
      <c r="A878" s="13">
        <v>44461</v>
      </c>
      <c r="B878" s="97">
        <v>14999</v>
      </c>
      <c r="C878" t="s">
        <v>508</v>
      </c>
      <c r="D878" t="s">
        <v>509</v>
      </c>
      <c r="E878" t="s">
        <v>259</v>
      </c>
      <c r="F878" t="s">
        <v>573</v>
      </c>
      <c r="G878" s="50" t="s">
        <v>574</v>
      </c>
      <c r="H878" s="50">
        <v>2</v>
      </c>
      <c r="I878" s="100">
        <v>6.7391919697301583</v>
      </c>
      <c r="J878" s="52">
        <v>3834.68</v>
      </c>
      <c r="K878" s="67">
        <f t="shared" si="56"/>
        <v>387613.82729261019</v>
      </c>
      <c r="L878" s="95">
        <f>+VLOOKUP(E878,MARGEN!A:B,2,FALSE)</f>
        <v>0.1</v>
      </c>
      <c r="M878" s="112">
        <f t="shared" si="53"/>
        <v>38761.382729261022</v>
      </c>
      <c r="N878" s="113">
        <f t="shared" si="54"/>
        <v>1550.4553091704408</v>
      </c>
      <c r="O878" s="113">
        <f t="shared" si="55"/>
        <v>347301.98925417877</v>
      </c>
    </row>
    <row r="879" spans="1:15" x14ac:dyDescent="0.25">
      <c r="A879" s="13">
        <v>44462</v>
      </c>
      <c r="B879" s="97">
        <v>14998</v>
      </c>
      <c r="C879" t="s">
        <v>508</v>
      </c>
      <c r="D879" t="s">
        <v>509</v>
      </c>
      <c r="E879" t="s">
        <v>259</v>
      </c>
      <c r="F879" t="s">
        <v>558</v>
      </c>
      <c r="G879" s="50" t="s">
        <v>574</v>
      </c>
      <c r="H879" s="50">
        <v>2</v>
      </c>
      <c r="I879" s="100">
        <v>6.7391919697301583</v>
      </c>
      <c r="J879" s="52">
        <v>3834.68</v>
      </c>
      <c r="K879" s="67">
        <f t="shared" si="56"/>
        <v>387587.98464794765</v>
      </c>
      <c r="L879" s="95">
        <f>+VLOOKUP(E879,MARGEN!A:B,2,FALSE)</f>
        <v>0.1</v>
      </c>
      <c r="M879" s="112">
        <f t="shared" si="53"/>
        <v>38758.798464794767</v>
      </c>
      <c r="N879" s="113">
        <f t="shared" si="54"/>
        <v>1550.3519385917907</v>
      </c>
      <c r="O879" s="113">
        <f t="shared" si="55"/>
        <v>347278.83424456109</v>
      </c>
    </row>
    <row r="880" spans="1:15" x14ac:dyDescent="0.25">
      <c r="A880" s="13">
        <v>44463</v>
      </c>
      <c r="B880" s="97">
        <v>14998</v>
      </c>
      <c r="C880" t="s">
        <v>508</v>
      </c>
      <c r="D880" t="s">
        <v>509</v>
      </c>
      <c r="E880" t="s">
        <v>259</v>
      </c>
      <c r="F880" t="s">
        <v>558</v>
      </c>
      <c r="G880" s="50" t="s">
        <v>574</v>
      </c>
      <c r="H880" s="50">
        <v>2</v>
      </c>
      <c r="I880" s="100">
        <v>6.7391919697301583</v>
      </c>
      <c r="J880" s="52">
        <v>3834.68</v>
      </c>
      <c r="K880" s="67">
        <f t="shared" si="56"/>
        <v>387587.98464794765</v>
      </c>
      <c r="L880" s="95">
        <f>+VLOOKUP(E880,MARGEN!A:B,2,FALSE)</f>
        <v>0.1</v>
      </c>
      <c r="M880" s="112">
        <f t="shared" si="53"/>
        <v>38758.798464794767</v>
      </c>
      <c r="N880" s="113">
        <f t="shared" si="54"/>
        <v>1550.3519385917907</v>
      </c>
      <c r="O880" s="113">
        <f t="shared" si="55"/>
        <v>347278.83424456109</v>
      </c>
    </row>
    <row r="881" spans="1:15" x14ac:dyDescent="0.25">
      <c r="A881" s="13">
        <v>44464</v>
      </c>
      <c r="B881" s="97">
        <v>14996</v>
      </c>
      <c r="C881" t="s">
        <v>508</v>
      </c>
      <c r="D881" t="s">
        <v>509</v>
      </c>
      <c r="E881" t="s">
        <v>259</v>
      </c>
      <c r="F881" t="s">
        <v>562</v>
      </c>
      <c r="G881" s="50" t="s">
        <v>574</v>
      </c>
      <c r="H881" s="50">
        <v>2</v>
      </c>
      <c r="I881" s="100">
        <v>6.7391919697301583</v>
      </c>
      <c r="J881" s="52">
        <v>3834.68</v>
      </c>
      <c r="K881" s="67">
        <f t="shared" si="56"/>
        <v>387536.29935862269</v>
      </c>
      <c r="L881" s="95">
        <f>+VLOOKUP(E881,MARGEN!A:B,2,FALSE)</f>
        <v>0.1</v>
      </c>
      <c r="M881" s="112">
        <f t="shared" si="53"/>
        <v>38753.629935862271</v>
      </c>
      <c r="N881" s="113">
        <f t="shared" si="54"/>
        <v>1550.1451974344907</v>
      </c>
      <c r="O881" s="113">
        <f t="shared" si="55"/>
        <v>347232.52422532596</v>
      </c>
    </row>
    <row r="882" spans="1:15" x14ac:dyDescent="0.25">
      <c r="A882" s="43">
        <v>44465</v>
      </c>
      <c r="B882" s="51">
        <v>14999</v>
      </c>
      <c r="C882" s="66" t="s">
        <v>508</v>
      </c>
      <c r="D882" s="66" t="s">
        <v>509</v>
      </c>
      <c r="E882" t="s">
        <v>259</v>
      </c>
      <c r="F882" s="50" t="s">
        <v>573</v>
      </c>
      <c r="G882" s="50" t="s">
        <v>574</v>
      </c>
      <c r="H882" s="50">
        <v>2</v>
      </c>
      <c r="I882" s="100">
        <v>6.7391919697301583</v>
      </c>
      <c r="J882" s="52">
        <v>3834.68</v>
      </c>
      <c r="K882" s="67">
        <f t="shared" si="56"/>
        <v>387613.82729261019</v>
      </c>
      <c r="L882" s="95">
        <f>+VLOOKUP(E882,MARGEN!A:B,2,FALSE)</f>
        <v>0.1</v>
      </c>
      <c r="M882" s="112">
        <f t="shared" si="53"/>
        <v>38761.382729261022</v>
      </c>
      <c r="N882" s="113">
        <f t="shared" si="54"/>
        <v>1550.4553091704408</v>
      </c>
      <c r="O882" s="113">
        <f t="shared" si="55"/>
        <v>347301.98925417877</v>
      </c>
    </row>
    <row r="883" spans="1:15" x14ac:dyDescent="0.25">
      <c r="A883" s="43">
        <v>44466</v>
      </c>
      <c r="B883" s="51">
        <v>14999</v>
      </c>
      <c r="C883" s="66" t="s">
        <v>508</v>
      </c>
      <c r="D883" s="66" t="s">
        <v>509</v>
      </c>
      <c r="E883" t="s">
        <v>259</v>
      </c>
      <c r="F883" s="50" t="s">
        <v>573</v>
      </c>
      <c r="G883" s="50" t="s">
        <v>574</v>
      </c>
      <c r="H883" s="50">
        <v>2</v>
      </c>
      <c r="I883" s="100">
        <v>6.7391919697301583</v>
      </c>
      <c r="J883" s="52">
        <v>3834.68</v>
      </c>
      <c r="K883" s="67">
        <f t="shared" si="56"/>
        <v>387613.82729261019</v>
      </c>
      <c r="L883" s="95">
        <f>+VLOOKUP(E883,MARGEN!A:B,2,FALSE)</f>
        <v>0.1</v>
      </c>
      <c r="M883" s="112">
        <f t="shared" si="53"/>
        <v>38761.382729261022</v>
      </c>
      <c r="N883" s="113">
        <f t="shared" si="54"/>
        <v>1550.4553091704408</v>
      </c>
      <c r="O883" s="113">
        <f t="shared" si="55"/>
        <v>347301.98925417877</v>
      </c>
    </row>
    <row r="884" spans="1:15" x14ac:dyDescent="0.25">
      <c r="A884" s="43">
        <v>44467</v>
      </c>
      <c r="B884" s="51">
        <v>14999</v>
      </c>
      <c r="C884" s="66" t="s">
        <v>508</v>
      </c>
      <c r="D884" s="66" t="s">
        <v>509</v>
      </c>
      <c r="E884" t="s">
        <v>259</v>
      </c>
      <c r="F884" s="50" t="s">
        <v>573</v>
      </c>
      <c r="G884" s="50" t="s">
        <v>574</v>
      </c>
      <c r="H884" s="50">
        <v>2</v>
      </c>
      <c r="I884" s="100">
        <v>6.7391919697301583</v>
      </c>
      <c r="J884" s="52">
        <v>3834.68</v>
      </c>
      <c r="K884" s="67">
        <f t="shared" si="56"/>
        <v>387613.82729261019</v>
      </c>
      <c r="L884" s="95">
        <f>+VLOOKUP(E884,MARGEN!A:B,2,FALSE)</f>
        <v>0.1</v>
      </c>
      <c r="M884" s="112">
        <f t="shared" si="53"/>
        <v>38761.382729261022</v>
      </c>
      <c r="N884" s="113">
        <f t="shared" si="54"/>
        <v>1550.4553091704408</v>
      </c>
      <c r="O884" s="113">
        <f t="shared" si="55"/>
        <v>347301.98925417877</v>
      </c>
    </row>
    <row r="885" spans="1:15" x14ac:dyDescent="0.25">
      <c r="A885" s="43">
        <v>44468</v>
      </c>
      <c r="B885" s="51">
        <v>14999</v>
      </c>
      <c r="C885" s="66" t="s">
        <v>508</v>
      </c>
      <c r="D885" s="66" t="s">
        <v>509</v>
      </c>
      <c r="E885" t="s">
        <v>259</v>
      </c>
      <c r="F885" s="50" t="s">
        <v>573</v>
      </c>
      <c r="G885" s="50" t="s">
        <v>574</v>
      </c>
      <c r="H885" s="50">
        <v>2</v>
      </c>
      <c r="I885" s="100">
        <v>6.7391919697301583</v>
      </c>
      <c r="J885" s="52">
        <v>3834.68</v>
      </c>
      <c r="K885" s="67">
        <f t="shared" si="56"/>
        <v>387613.82729261019</v>
      </c>
      <c r="L885" s="95">
        <f>+VLOOKUP(E885,MARGEN!A:B,2,FALSE)</f>
        <v>0.1</v>
      </c>
      <c r="M885" s="112">
        <f t="shared" si="53"/>
        <v>38761.382729261022</v>
      </c>
      <c r="N885" s="113">
        <f t="shared" si="54"/>
        <v>1550.4553091704408</v>
      </c>
      <c r="O885" s="113">
        <f t="shared" si="55"/>
        <v>347301.98925417877</v>
      </c>
    </row>
    <row r="886" spans="1:15" x14ac:dyDescent="0.25">
      <c r="A886" s="13">
        <v>44440</v>
      </c>
      <c r="B886" s="97">
        <v>12814</v>
      </c>
      <c r="C886" t="s">
        <v>73</v>
      </c>
      <c r="D886" s="94" t="s">
        <v>338</v>
      </c>
      <c r="E886" t="s">
        <v>45</v>
      </c>
      <c r="F886" t="s">
        <v>558</v>
      </c>
      <c r="G886" s="50" t="s">
        <v>559</v>
      </c>
      <c r="H886" s="50">
        <v>2</v>
      </c>
      <c r="I886" s="100">
        <v>6.7391919697301583</v>
      </c>
      <c r="J886" s="52">
        <v>3834.68</v>
      </c>
      <c r="K886" s="67">
        <f t="shared" si="56"/>
        <v>331147.64870508079</v>
      </c>
      <c r="L886" s="95">
        <f>+VLOOKUP(E886,MARGEN!A:B,2,FALSE)</f>
        <v>0.1</v>
      </c>
      <c r="M886" s="112">
        <f t="shared" si="53"/>
        <v>33114.764870508079</v>
      </c>
      <c r="N886" s="113">
        <f t="shared" si="54"/>
        <v>1324.5905948203231</v>
      </c>
      <c r="O886" s="113">
        <f t="shared" si="55"/>
        <v>296708.29323975241</v>
      </c>
    </row>
    <row r="887" spans="1:15" x14ac:dyDescent="0.25">
      <c r="A887" s="13">
        <v>44440</v>
      </c>
      <c r="B887" s="97">
        <v>9934</v>
      </c>
      <c r="C887" t="s">
        <v>95</v>
      </c>
      <c r="D887" s="94" t="s">
        <v>510</v>
      </c>
      <c r="E887" t="s">
        <v>45</v>
      </c>
      <c r="F887" t="s">
        <v>558</v>
      </c>
      <c r="G887" s="50" t="s">
        <v>559</v>
      </c>
      <c r="H887" s="50">
        <v>2</v>
      </c>
      <c r="I887" s="100">
        <v>6.7391919697301583</v>
      </c>
      <c r="J887" s="52">
        <v>3834.68</v>
      </c>
      <c r="K887" s="67">
        <f t="shared" si="56"/>
        <v>256720.83207712442</v>
      </c>
      <c r="L887" s="95">
        <f>+VLOOKUP(E887,MARGEN!A:B,2,FALSE)</f>
        <v>0.1</v>
      </c>
      <c r="M887" s="112">
        <f t="shared" si="53"/>
        <v>25672.083207712443</v>
      </c>
      <c r="N887" s="113">
        <f t="shared" si="54"/>
        <v>1026.8833283084978</v>
      </c>
      <c r="O887" s="113">
        <f t="shared" si="55"/>
        <v>230021.86554110347</v>
      </c>
    </row>
    <row r="888" spans="1:15" x14ac:dyDescent="0.25">
      <c r="A888" s="13">
        <v>44440</v>
      </c>
      <c r="B888" s="97">
        <v>8254</v>
      </c>
      <c r="C888" t="s">
        <v>191</v>
      </c>
      <c r="D888" t="s">
        <v>354</v>
      </c>
      <c r="E888" t="s">
        <v>45</v>
      </c>
      <c r="F888" t="s">
        <v>558</v>
      </c>
      <c r="G888" s="50" t="s">
        <v>559</v>
      </c>
      <c r="H888" s="50">
        <v>2</v>
      </c>
      <c r="I888" s="100">
        <v>6.7391919697301583</v>
      </c>
      <c r="J888" s="52">
        <v>3834.68</v>
      </c>
      <c r="K888" s="67">
        <f t="shared" si="56"/>
        <v>213305.18904414988</v>
      </c>
      <c r="L888" s="95">
        <f>+VLOOKUP(E888,MARGEN!A:B,2,FALSE)</f>
        <v>0.1</v>
      </c>
      <c r="M888" s="112">
        <f t="shared" si="53"/>
        <v>21330.518904414988</v>
      </c>
      <c r="N888" s="113">
        <f t="shared" si="54"/>
        <v>853.22075617659948</v>
      </c>
      <c r="O888" s="113">
        <f t="shared" si="55"/>
        <v>191121.4493835583</v>
      </c>
    </row>
    <row r="889" spans="1:15" x14ac:dyDescent="0.25">
      <c r="A889" s="13">
        <v>44440</v>
      </c>
      <c r="B889" s="97">
        <v>7607</v>
      </c>
      <c r="C889" t="s">
        <v>248</v>
      </c>
      <c r="D889" s="94" t="s">
        <v>385</v>
      </c>
      <c r="E889" t="s">
        <v>45</v>
      </c>
      <c r="F889" t="s">
        <v>558</v>
      </c>
      <c r="G889" s="50" t="s">
        <v>559</v>
      </c>
      <c r="H889" s="50">
        <v>2</v>
      </c>
      <c r="I889" s="100">
        <v>6.7391919697301583</v>
      </c>
      <c r="J889" s="52">
        <v>3834.68</v>
      </c>
      <c r="K889" s="67">
        <f t="shared" si="56"/>
        <v>196584.99794752221</v>
      </c>
      <c r="L889" s="95">
        <f>+VLOOKUP(E889,MARGEN!A:B,2,FALSE)</f>
        <v>0.1</v>
      </c>
      <c r="M889" s="112">
        <f t="shared" si="53"/>
        <v>19658.499794752221</v>
      </c>
      <c r="N889" s="113">
        <f t="shared" si="54"/>
        <v>786.33999179008879</v>
      </c>
      <c r="O889" s="113">
        <f t="shared" si="55"/>
        <v>176140.15816097989</v>
      </c>
    </row>
    <row r="890" spans="1:15" x14ac:dyDescent="0.25">
      <c r="A890" s="13">
        <v>44440</v>
      </c>
      <c r="B890" s="97">
        <v>7511</v>
      </c>
      <c r="C890" t="s">
        <v>179</v>
      </c>
      <c r="D890" s="94" t="s">
        <v>361</v>
      </c>
      <c r="E890" t="s">
        <v>45</v>
      </c>
      <c r="F890" t="s">
        <v>558</v>
      </c>
      <c r="G890" s="50" t="s">
        <v>559</v>
      </c>
      <c r="H890" s="50">
        <v>2</v>
      </c>
      <c r="I890" s="100">
        <v>6.7391919697301583</v>
      </c>
      <c r="J890" s="52">
        <v>3834.68</v>
      </c>
      <c r="K890" s="67">
        <f t="shared" si="56"/>
        <v>194104.10405992364</v>
      </c>
      <c r="L890" s="95">
        <f>+VLOOKUP(E890,MARGEN!A:B,2,FALSE)</f>
        <v>0.1</v>
      </c>
      <c r="M890" s="112">
        <f t="shared" si="53"/>
        <v>19410.410405992367</v>
      </c>
      <c r="N890" s="113">
        <f t="shared" si="54"/>
        <v>776.41641623969463</v>
      </c>
      <c r="O890" s="113">
        <f t="shared" si="55"/>
        <v>173917.2772376916</v>
      </c>
    </row>
    <row r="891" spans="1:15" x14ac:dyDescent="0.25">
      <c r="A891" s="13">
        <v>44440</v>
      </c>
      <c r="B891" s="51">
        <v>7415</v>
      </c>
      <c r="C891" s="66" t="s">
        <v>143</v>
      </c>
      <c r="D891" s="66" t="s">
        <v>489</v>
      </c>
      <c r="E891" t="s">
        <v>45</v>
      </c>
      <c r="F891" s="50" t="s">
        <v>558</v>
      </c>
      <c r="G891" s="50" t="s">
        <v>559</v>
      </c>
      <c r="H891" s="50">
        <v>2</v>
      </c>
      <c r="I891" s="100">
        <v>6.7391919697301583</v>
      </c>
      <c r="J891" s="52">
        <v>3834.68</v>
      </c>
      <c r="K891" s="67">
        <f t="shared" si="56"/>
        <v>191623.21017232511</v>
      </c>
      <c r="L891" s="95">
        <f>+VLOOKUP(E891,MARGEN!A:B,2,FALSE)</f>
        <v>0.1</v>
      </c>
      <c r="M891" s="112">
        <f t="shared" si="53"/>
        <v>19162.321017232513</v>
      </c>
      <c r="N891" s="113">
        <f t="shared" si="54"/>
        <v>766.49284068930046</v>
      </c>
      <c r="O891" s="113">
        <f t="shared" si="55"/>
        <v>171694.3963144033</v>
      </c>
    </row>
    <row r="892" spans="1:15" x14ac:dyDescent="0.25">
      <c r="A892" s="13">
        <v>44440</v>
      </c>
      <c r="B892" s="97">
        <v>5543</v>
      </c>
      <c r="C892" t="s">
        <v>116</v>
      </c>
      <c r="D892" s="94" t="s">
        <v>330</v>
      </c>
      <c r="E892" t="s">
        <v>45</v>
      </c>
      <c r="F892" t="s">
        <v>558</v>
      </c>
      <c r="G892" s="50" t="s">
        <v>559</v>
      </c>
      <c r="H892" s="50">
        <v>2</v>
      </c>
      <c r="I892" s="100">
        <v>6.7391919697301583</v>
      </c>
      <c r="J892" s="52">
        <v>3834.68</v>
      </c>
      <c r="K892" s="67">
        <f t="shared" si="56"/>
        <v>143245.77936415351</v>
      </c>
      <c r="L892" s="95">
        <f>+VLOOKUP(E892,MARGEN!A:B,2,FALSE)</f>
        <v>0.1</v>
      </c>
      <c r="M892" s="112">
        <f t="shared" si="53"/>
        <v>14324.577936415351</v>
      </c>
      <c r="N892" s="113">
        <f t="shared" si="54"/>
        <v>572.98311745661408</v>
      </c>
      <c r="O892" s="113">
        <f t="shared" si="55"/>
        <v>128348.21831028153</v>
      </c>
    </row>
    <row r="893" spans="1:15" x14ac:dyDescent="0.25">
      <c r="A893" s="13">
        <v>44440</v>
      </c>
      <c r="B893" s="97">
        <v>4535</v>
      </c>
      <c r="C893" t="s">
        <v>76</v>
      </c>
      <c r="D893" s="94" t="s">
        <v>332</v>
      </c>
      <c r="E893" t="s">
        <v>45</v>
      </c>
      <c r="F893" t="s">
        <v>558</v>
      </c>
      <c r="G893" s="50" t="s">
        <v>559</v>
      </c>
      <c r="H893" s="50">
        <v>2</v>
      </c>
      <c r="I893" s="100">
        <v>6.7391919697301583</v>
      </c>
      <c r="J893" s="52">
        <v>3834.68</v>
      </c>
      <c r="K893" s="67">
        <f t="shared" si="56"/>
        <v>117196.39354436877</v>
      </c>
      <c r="L893" s="95">
        <f>+VLOOKUP(E893,MARGEN!A:B,2,FALSE)</f>
        <v>0.1</v>
      </c>
      <c r="M893" s="112">
        <f t="shared" si="53"/>
        <v>11719.639354436877</v>
      </c>
      <c r="N893" s="113">
        <f t="shared" si="54"/>
        <v>468.78557417747504</v>
      </c>
      <c r="O893" s="113">
        <f t="shared" si="55"/>
        <v>105007.96861575442</v>
      </c>
    </row>
    <row r="894" spans="1:15" x14ac:dyDescent="0.25">
      <c r="A894" s="13">
        <v>44440</v>
      </c>
      <c r="B894" s="97">
        <v>4319</v>
      </c>
      <c r="C894" t="s">
        <v>91</v>
      </c>
      <c r="D894" s="94" t="s">
        <v>340</v>
      </c>
      <c r="E894" t="s">
        <v>45</v>
      </c>
      <c r="F894" t="s">
        <v>558</v>
      </c>
      <c r="G894" s="50" t="s">
        <v>559</v>
      </c>
      <c r="H894" s="50">
        <v>2</v>
      </c>
      <c r="I894" s="100">
        <v>6.7391919697301583</v>
      </c>
      <c r="J894" s="52">
        <v>3834.68</v>
      </c>
      <c r="K894" s="67">
        <f t="shared" si="56"/>
        <v>111614.38229727202</v>
      </c>
      <c r="L894" s="95">
        <f>+VLOOKUP(E894,MARGEN!A:B,2,FALSE)</f>
        <v>0.1</v>
      </c>
      <c r="M894" s="112">
        <f t="shared" si="53"/>
        <v>11161.438229727202</v>
      </c>
      <c r="N894" s="113">
        <f t="shared" si="54"/>
        <v>446.45752918908806</v>
      </c>
      <c r="O894" s="113">
        <f t="shared" si="55"/>
        <v>100006.48653835573</v>
      </c>
    </row>
    <row r="895" spans="1:15" x14ac:dyDescent="0.25">
      <c r="A895" s="13">
        <v>44440</v>
      </c>
      <c r="B895" s="97">
        <v>4175</v>
      </c>
      <c r="C895" t="s">
        <v>276</v>
      </c>
      <c r="D895" s="94" t="s">
        <v>512</v>
      </c>
      <c r="E895" t="s">
        <v>45</v>
      </c>
      <c r="F895" t="s">
        <v>558</v>
      </c>
      <c r="G895" s="50" t="s">
        <v>559</v>
      </c>
      <c r="H895" s="50">
        <v>2</v>
      </c>
      <c r="I895" s="100">
        <v>6.7391919697301583</v>
      </c>
      <c r="J895" s="52">
        <v>3834.68</v>
      </c>
      <c r="K895" s="67">
        <f t="shared" si="56"/>
        <v>107893.04146587422</v>
      </c>
      <c r="L895" s="95">
        <f>+VLOOKUP(E895,MARGEN!A:B,2,FALSE)</f>
        <v>0.1</v>
      </c>
      <c r="M895" s="112">
        <f t="shared" si="53"/>
        <v>10789.304146587423</v>
      </c>
      <c r="N895" s="113">
        <f t="shared" si="54"/>
        <v>431.57216586349688</v>
      </c>
      <c r="O895" s="113">
        <f t="shared" si="55"/>
        <v>96672.165153423295</v>
      </c>
    </row>
    <row r="896" spans="1:15" x14ac:dyDescent="0.25">
      <c r="A896" s="13">
        <v>44440</v>
      </c>
      <c r="B896" s="97">
        <v>4151</v>
      </c>
      <c r="C896" t="s">
        <v>234</v>
      </c>
      <c r="D896" s="94" t="s">
        <v>331</v>
      </c>
      <c r="E896" t="s">
        <v>45</v>
      </c>
      <c r="F896" t="s">
        <v>558</v>
      </c>
      <c r="G896" s="50" t="s">
        <v>559</v>
      </c>
      <c r="H896" s="50">
        <v>2</v>
      </c>
      <c r="I896" s="100">
        <v>6.7391919697301583</v>
      </c>
      <c r="J896" s="52">
        <v>3834.68</v>
      </c>
      <c r="K896" s="67">
        <f t="shared" si="56"/>
        <v>107272.81799397458</v>
      </c>
      <c r="L896" s="95">
        <f>+VLOOKUP(E896,MARGEN!A:B,2,FALSE)</f>
        <v>0.1</v>
      </c>
      <c r="M896" s="112">
        <f t="shared" si="53"/>
        <v>10727.281799397459</v>
      </c>
      <c r="N896" s="113">
        <f t="shared" si="54"/>
        <v>429.09127197589828</v>
      </c>
      <c r="O896" s="113">
        <f t="shared" si="55"/>
        <v>96116.444922601222</v>
      </c>
    </row>
    <row r="897" spans="1:15" x14ac:dyDescent="0.25">
      <c r="A897" s="13">
        <v>44440</v>
      </c>
      <c r="B897" s="97">
        <v>4127</v>
      </c>
      <c r="C897" t="s">
        <v>235</v>
      </c>
      <c r="D897" s="94" t="s">
        <v>339</v>
      </c>
      <c r="E897" t="s">
        <v>45</v>
      </c>
      <c r="F897" t="s">
        <v>558</v>
      </c>
      <c r="G897" s="50" t="s">
        <v>559</v>
      </c>
      <c r="H897" s="50">
        <v>2</v>
      </c>
      <c r="I897" s="100">
        <v>6.7391919697301583</v>
      </c>
      <c r="J897" s="52">
        <v>3834.68</v>
      </c>
      <c r="K897" s="67">
        <f t="shared" si="56"/>
        <v>106652.59452207494</v>
      </c>
      <c r="L897" s="95">
        <f>+VLOOKUP(E897,MARGEN!A:B,2,FALSE)</f>
        <v>0.1</v>
      </c>
      <c r="M897" s="112">
        <f t="shared" si="53"/>
        <v>10665.259452207494</v>
      </c>
      <c r="N897" s="113">
        <f t="shared" si="54"/>
        <v>426.61037808829974</v>
      </c>
      <c r="O897" s="113">
        <f t="shared" si="55"/>
        <v>95560.724691779149</v>
      </c>
    </row>
    <row r="898" spans="1:15" x14ac:dyDescent="0.25">
      <c r="A898" s="13">
        <v>44440</v>
      </c>
      <c r="B898" s="97">
        <v>3911</v>
      </c>
      <c r="C898" t="s">
        <v>71</v>
      </c>
      <c r="D898" s="94" t="s">
        <v>337</v>
      </c>
      <c r="E898" t="s">
        <v>45</v>
      </c>
      <c r="F898" t="s">
        <v>558</v>
      </c>
      <c r="G898" s="50" t="s">
        <v>559</v>
      </c>
      <c r="H898" s="50">
        <v>2</v>
      </c>
      <c r="I898" s="100">
        <v>6.7391919697301583</v>
      </c>
      <c r="J898" s="52">
        <v>3834.68</v>
      </c>
      <c r="K898" s="67">
        <f t="shared" si="56"/>
        <v>101070.58327497823</v>
      </c>
      <c r="L898" s="95">
        <f>+VLOOKUP(E898,MARGEN!A:B,2,FALSE)</f>
        <v>0.1</v>
      </c>
      <c r="M898" s="112">
        <f t="shared" si="53"/>
        <v>10107.058327497823</v>
      </c>
      <c r="N898" s="113">
        <f t="shared" si="54"/>
        <v>404.28233309991293</v>
      </c>
      <c r="O898" s="113">
        <f t="shared" si="55"/>
        <v>90559.242614380491</v>
      </c>
    </row>
    <row r="899" spans="1:15" x14ac:dyDescent="0.25">
      <c r="A899" s="13">
        <v>44440</v>
      </c>
      <c r="B899" s="51">
        <v>3695</v>
      </c>
      <c r="C899" s="66" t="s">
        <v>177</v>
      </c>
      <c r="D899" s="66" t="s">
        <v>355</v>
      </c>
      <c r="E899" t="s">
        <v>45</v>
      </c>
      <c r="F899" s="50" t="s">
        <v>558</v>
      </c>
      <c r="G899" s="50" t="s">
        <v>559</v>
      </c>
      <c r="H899" s="50">
        <v>2</v>
      </c>
      <c r="I899" s="100">
        <v>6.7391919697301583</v>
      </c>
      <c r="J899" s="52">
        <v>3834.68</v>
      </c>
      <c r="K899" s="67">
        <f t="shared" si="56"/>
        <v>95488.572027881484</v>
      </c>
      <c r="L899" s="95">
        <f>+VLOOKUP(E899,MARGEN!A:B,2,FALSE)</f>
        <v>0.1</v>
      </c>
      <c r="M899" s="112">
        <f t="shared" ref="M899:M962" si="57">+K899*L899</f>
        <v>9548.8572027881492</v>
      </c>
      <c r="N899" s="113">
        <f t="shared" ref="N899:N962" si="58">+K899*4/1000</f>
        <v>381.95428811152595</v>
      </c>
      <c r="O899" s="113">
        <f t="shared" ref="O899:O962" si="59">+K899-M899-N899</f>
        <v>85557.760536981819</v>
      </c>
    </row>
    <row r="900" spans="1:15" x14ac:dyDescent="0.25">
      <c r="A900" s="13">
        <v>44440</v>
      </c>
      <c r="B900" s="97">
        <v>3143</v>
      </c>
      <c r="C900" t="s">
        <v>277</v>
      </c>
      <c r="D900" s="94" t="s">
        <v>513</v>
      </c>
      <c r="E900" t="s">
        <v>45</v>
      </c>
      <c r="F900" t="s">
        <v>558</v>
      </c>
      <c r="G900" s="50" t="s">
        <v>559</v>
      </c>
      <c r="H900" s="50">
        <v>2</v>
      </c>
      <c r="I900" s="100">
        <v>6.7391919697301583</v>
      </c>
      <c r="J900" s="52">
        <v>3834.68</v>
      </c>
      <c r="K900" s="67">
        <f t="shared" si="56"/>
        <v>81223.43217418986</v>
      </c>
      <c r="L900" s="95">
        <f>+VLOOKUP(E900,MARGEN!A:B,2,FALSE)</f>
        <v>0.1</v>
      </c>
      <c r="M900" s="112">
        <f t="shared" si="57"/>
        <v>8122.3432174189866</v>
      </c>
      <c r="N900" s="113">
        <f t="shared" si="58"/>
        <v>324.89372869675947</v>
      </c>
      <c r="O900" s="113">
        <f t="shared" si="59"/>
        <v>72776.195228074124</v>
      </c>
    </row>
    <row r="901" spans="1:15" x14ac:dyDescent="0.25">
      <c r="A901" s="13">
        <v>44440</v>
      </c>
      <c r="B901" s="51">
        <v>2879</v>
      </c>
      <c r="C901" s="66" t="s">
        <v>139</v>
      </c>
      <c r="D901" s="66" t="s">
        <v>327</v>
      </c>
      <c r="E901" t="s">
        <v>45</v>
      </c>
      <c r="F901" s="50" t="s">
        <v>558</v>
      </c>
      <c r="G901" s="50" t="s">
        <v>559</v>
      </c>
      <c r="H901" s="50">
        <v>2</v>
      </c>
      <c r="I901" s="100">
        <v>6.7391919697301583</v>
      </c>
      <c r="J901" s="52">
        <v>3834.68</v>
      </c>
      <c r="K901" s="67">
        <f t="shared" si="56"/>
        <v>74400.973983293865</v>
      </c>
      <c r="L901" s="95">
        <f>+VLOOKUP(E901,MARGEN!A:B,2,FALSE)</f>
        <v>0.1</v>
      </c>
      <c r="M901" s="112">
        <f t="shared" si="57"/>
        <v>7440.097398329387</v>
      </c>
      <c r="N901" s="113">
        <f t="shared" si="58"/>
        <v>297.60389593317547</v>
      </c>
      <c r="O901" s="113">
        <f t="shared" si="59"/>
        <v>66663.272689031306</v>
      </c>
    </row>
    <row r="902" spans="1:15" x14ac:dyDescent="0.25">
      <c r="A902" s="13">
        <v>44440</v>
      </c>
      <c r="B902" s="97">
        <v>2855</v>
      </c>
      <c r="C902" t="s">
        <v>268</v>
      </c>
      <c r="D902" s="94" t="s">
        <v>514</v>
      </c>
      <c r="E902" t="s">
        <v>45</v>
      </c>
      <c r="F902" t="s">
        <v>558</v>
      </c>
      <c r="G902" s="50" t="s">
        <v>559</v>
      </c>
      <c r="H902" s="50">
        <v>2</v>
      </c>
      <c r="I902" s="100">
        <v>6.7391919697301583</v>
      </c>
      <c r="J902" s="52">
        <v>3834.68</v>
      </c>
      <c r="K902" s="67">
        <f t="shared" si="56"/>
        <v>73780.750511394232</v>
      </c>
      <c r="L902" s="95">
        <f>+VLOOKUP(E902,MARGEN!A:B,2,FALSE)</f>
        <v>0.1</v>
      </c>
      <c r="M902" s="112">
        <f t="shared" si="57"/>
        <v>7378.0750511394235</v>
      </c>
      <c r="N902" s="113">
        <f t="shared" si="58"/>
        <v>295.12300204557692</v>
      </c>
      <c r="O902" s="113">
        <f t="shared" si="59"/>
        <v>66107.552458209218</v>
      </c>
    </row>
    <row r="903" spans="1:15" x14ac:dyDescent="0.25">
      <c r="A903" s="13">
        <v>44440</v>
      </c>
      <c r="B903" s="97">
        <v>2807</v>
      </c>
      <c r="C903" t="s">
        <v>178</v>
      </c>
      <c r="D903" s="94" t="s">
        <v>370</v>
      </c>
      <c r="E903" t="s">
        <v>45</v>
      </c>
      <c r="F903" t="s">
        <v>558</v>
      </c>
      <c r="G903" s="50" t="s">
        <v>559</v>
      </c>
      <c r="H903" s="50">
        <v>2</v>
      </c>
      <c r="I903" s="100">
        <v>6.7391919697301583</v>
      </c>
      <c r="J903" s="52">
        <v>3834.68</v>
      </c>
      <c r="K903" s="67">
        <f t="shared" si="56"/>
        <v>72540.303567594965</v>
      </c>
      <c r="L903" s="95">
        <f>+VLOOKUP(E903,MARGEN!A:B,2,FALSE)</f>
        <v>0.1</v>
      </c>
      <c r="M903" s="112">
        <f t="shared" si="57"/>
        <v>7254.0303567594965</v>
      </c>
      <c r="N903" s="113">
        <f t="shared" si="58"/>
        <v>290.16121427037984</v>
      </c>
      <c r="O903" s="113">
        <f t="shared" si="59"/>
        <v>64996.111996565087</v>
      </c>
    </row>
    <row r="904" spans="1:15" x14ac:dyDescent="0.25">
      <c r="A904" s="13">
        <v>44440</v>
      </c>
      <c r="B904" s="97">
        <v>2663</v>
      </c>
      <c r="C904" t="s">
        <v>138</v>
      </c>
      <c r="D904" s="94" t="s">
        <v>321</v>
      </c>
      <c r="E904" t="s">
        <v>45</v>
      </c>
      <c r="F904" t="s">
        <v>558</v>
      </c>
      <c r="G904" s="50" t="s">
        <v>559</v>
      </c>
      <c r="H904" s="50">
        <v>2</v>
      </c>
      <c r="I904" s="100">
        <v>6.7391919697301583</v>
      </c>
      <c r="J904" s="52">
        <v>3834.68</v>
      </c>
      <c r="K904" s="67">
        <f t="shared" si="56"/>
        <v>68818.962736197136</v>
      </c>
      <c r="L904" s="95">
        <f>+VLOOKUP(E904,MARGEN!A:B,2,FALSE)</f>
        <v>0.1</v>
      </c>
      <c r="M904" s="112">
        <f t="shared" si="57"/>
        <v>6881.8962736197136</v>
      </c>
      <c r="N904" s="113">
        <f t="shared" si="58"/>
        <v>275.27585094478854</v>
      </c>
      <c r="O904" s="113">
        <f t="shared" si="59"/>
        <v>61661.790611632634</v>
      </c>
    </row>
    <row r="905" spans="1:15" x14ac:dyDescent="0.25">
      <c r="A905" s="13">
        <v>44440</v>
      </c>
      <c r="B905" s="97">
        <v>2087</v>
      </c>
      <c r="C905" t="s">
        <v>92</v>
      </c>
      <c r="D905" s="94" t="s">
        <v>490</v>
      </c>
      <c r="E905" t="s">
        <v>45</v>
      </c>
      <c r="F905" t="s">
        <v>558</v>
      </c>
      <c r="G905" s="50" t="s">
        <v>559</v>
      </c>
      <c r="H905" s="50">
        <v>2</v>
      </c>
      <c r="I905" s="100">
        <v>6.7391919697301583</v>
      </c>
      <c r="J905" s="52">
        <v>3834.68</v>
      </c>
      <c r="K905" s="67">
        <f t="shared" ref="K905:K968" si="60">+B905*I905*J905/1000</f>
        <v>53933.599410605872</v>
      </c>
      <c r="L905" s="95">
        <f>+VLOOKUP(E905,MARGEN!A:B,2,FALSE)</f>
        <v>0.1</v>
      </c>
      <c r="M905" s="112">
        <f t="shared" si="57"/>
        <v>5393.3599410605875</v>
      </c>
      <c r="N905" s="113">
        <f t="shared" si="58"/>
        <v>215.73439764242349</v>
      </c>
      <c r="O905" s="113">
        <f t="shared" si="59"/>
        <v>48324.505071902859</v>
      </c>
    </row>
    <row r="906" spans="1:15" x14ac:dyDescent="0.25">
      <c r="A906" s="13">
        <v>44440</v>
      </c>
      <c r="B906" s="97">
        <v>2087</v>
      </c>
      <c r="C906" t="s">
        <v>103</v>
      </c>
      <c r="D906" s="94" t="s">
        <v>342</v>
      </c>
      <c r="E906" t="s">
        <v>45</v>
      </c>
      <c r="F906" t="s">
        <v>558</v>
      </c>
      <c r="G906" s="50" t="s">
        <v>559</v>
      </c>
      <c r="H906" s="50">
        <v>2</v>
      </c>
      <c r="I906" s="100">
        <v>6.7391919697301583</v>
      </c>
      <c r="J906" s="52">
        <v>3834.68</v>
      </c>
      <c r="K906" s="67">
        <f t="shared" si="60"/>
        <v>53933.599410605872</v>
      </c>
      <c r="L906" s="95">
        <f>+VLOOKUP(E906,MARGEN!A:B,2,FALSE)</f>
        <v>0.1</v>
      </c>
      <c r="M906" s="112">
        <f t="shared" si="57"/>
        <v>5393.3599410605875</v>
      </c>
      <c r="N906" s="113">
        <f t="shared" si="58"/>
        <v>215.73439764242349</v>
      </c>
      <c r="O906" s="113">
        <f t="shared" si="59"/>
        <v>48324.505071902859</v>
      </c>
    </row>
    <row r="907" spans="1:15" x14ac:dyDescent="0.25">
      <c r="A907" s="13">
        <v>44440</v>
      </c>
      <c r="B907" s="97">
        <v>1871</v>
      </c>
      <c r="C907" t="s">
        <v>198</v>
      </c>
      <c r="D907" s="94" t="s">
        <v>326</v>
      </c>
      <c r="E907" t="s">
        <v>45</v>
      </c>
      <c r="F907" t="s">
        <v>558</v>
      </c>
      <c r="G907" s="50" t="s">
        <v>559</v>
      </c>
      <c r="H907" s="50">
        <v>2</v>
      </c>
      <c r="I907" s="100">
        <v>6.7391919697301583</v>
      </c>
      <c r="J907" s="52">
        <v>3834.68</v>
      </c>
      <c r="K907" s="67">
        <f t="shared" si="60"/>
        <v>48351.588163509143</v>
      </c>
      <c r="L907" s="95">
        <f>+VLOOKUP(E907,MARGEN!A:B,2,FALSE)</f>
        <v>0.1</v>
      </c>
      <c r="M907" s="112">
        <f t="shared" si="57"/>
        <v>4835.1588163509141</v>
      </c>
      <c r="N907" s="113">
        <f t="shared" si="58"/>
        <v>193.40635265403657</v>
      </c>
      <c r="O907" s="113">
        <f t="shared" si="59"/>
        <v>43323.022994504194</v>
      </c>
    </row>
    <row r="908" spans="1:15" x14ac:dyDescent="0.25">
      <c r="A908" s="13">
        <v>44440</v>
      </c>
      <c r="B908" s="97">
        <v>1847</v>
      </c>
      <c r="C908" t="s">
        <v>270</v>
      </c>
      <c r="D908" s="94" t="s">
        <v>491</v>
      </c>
      <c r="E908" t="s">
        <v>45</v>
      </c>
      <c r="F908" t="s">
        <v>558</v>
      </c>
      <c r="G908" s="50" t="s">
        <v>559</v>
      </c>
      <c r="H908" s="50">
        <v>2</v>
      </c>
      <c r="I908" s="100">
        <v>6.7391919697301583</v>
      </c>
      <c r="J908" s="52">
        <v>3834.68</v>
      </c>
      <c r="K908" s="67">
        <f t="shared" si="60"/>
        <v>47731.364691609502</v>
      </c>
      <c r="L908" s="95">
        <f>+VLOOKUP(E908,MARGEN!A:B,2,FALSE)</f>
        <v>0.1</v>
      </c>
      <c r="M908" s="112">
        <f t="shared" si="57"/>
        <v>4773.1364691609506</v>
      </c>
      <c r="N908" s="113">
        <f t="shared" si="58"/>
        <v>190.925458766438</v>
      </c>
      <c r="O908" s="113">
        <f t="shared" si="59"/>
        <v>42767.302763682113</v>
      </c>
    </row>
    <row r="909" spans="1:15" x14ac:dyDescent="0.25">
      <c r="A909" s="13">
        <v>44440</v>
      </c>
      <c r="B909" s="97">
        <v>1727</v>
      </c>
      <c r="C909" t="s">
        <v>190</v>
      </c>
      <c r="D909" s="94" t="s">
        <v>356</v>
      </c>
      <c r="E909" t="s">
        <v>45</v>
      </c>
      <c r="F909" t="s">
        <v>558</v>
      </c>
      <c r="G909" s="50" t="s">
        <v>559</v>
      </c>
      <c r="H909" s="50">
        <v>2</v>
      </c>
      <c r="I909" s="100">
        <v>6.7391919697301583</v>
      </c>
      <c r="J909" s="52">
        <v>3834.68</v>
      </c>
      <c r="K909" s="67">
        <f t="shared" si="60"/>
        <v>44630.247332111321</v>
      </c>
      <c r="L909" s="95">
        <f>+VLOOKUP(E909,MARGEN!A:B,2,FALSE)</f>
        <v>0.1</v>
      </c>
      <c r="M909" s="112">
        <f t="shared" si="57"/>
        <v>4463.0247332111321</v>
      </c>
      <c r="N909" s="113">
        <f t="shared" si="58"/>
        <v>178.5209893284453</v>
      </c>
      <c r="O909" s="113">
        <f t="shared" si="59"/>
        <v>39988.701609571741</v>
      </c>
    </row>
    <row r="910" spans="1:15" x14ac:dyDescent="0.25">
      <c r="A910" s="13">
        <v>44440</v>
      </c>
      <c r="B910" s="97">
        <v>1535</v>
      </c>
      <c r="C910" t="s">
        <v>273</v>
      </c>
      <c r="D910" s="94" t="s">
        <v>515</v>
      </c>
      <c r="E910" t="s">
        <v>45</v>
      </c>
      <c r="F910" t="s">
        <v>558</v>
      </c>
      <c r="G910" s="50" t="s">
        <v>559</v>
      </c>
      <c r="H910" s="50">
        <v>2</v>
      </c>
      <c r="I910" s="100">
        <v>6.7391919697301583</v>
      </c>
      <c r="J910" s="52">
        <v>3834.68</v>
      </c>
      <c r="K910" s="67">
        <f t="shared" si="60"/>
        <v>39668.459556914233</v>
      </c>
      <c r="L910" s="95">
        <f>+VLOOKUP(E910,MARGEN!A:B,2,FALSE)</f>
        <v>0.1</v>
      </c>
      <c r="M910" s="112">
        <f t="shared" si="57"/>
        <v>3966.8459556914236</v>
      </c>
      <c r="N910" s="113">
        <f t="shared" si="58"/>
        <v>158.67383822765694</v>
      </c>
      <c r="O910" s="113">
        <f t="shared" si="59"/>
        <v>35542.939762995149</v>
      </c>
    </row>
    <row r="911" spans="1:15" x14ac:dyDescent="0.25">
      <c r="A911" s="13">
        <v>44440</v>
      </c>
      <c r="B911" s="97">
        <v>1391</v>
      </c>
      <c r="C911" t="s">
        <v>107</v>
      </c>
      <c r="D911" s="94" t="s">
        <v>346</v>
      </c>
      <c r="E911" t="s">
        <v>45</v>
      </c>
      <c r="F911" t="s">
        <v>558</v>
      </c>
      <c r="G911" s="50" t="s">
        <v>559</v>
      </c>
      <c r="H911" s="50">
        <v>2</v>
      </c>
      <c r="I911" s="100">
        <v>6.7391919697301583</v>
      </c>
      <c r="J911" s="52">
        <v>3834.68</v>
      </c>
      <c r="K911" s="67">
        <f t="shared" si="60"/>
        <v>35947.118725516419</v>
      </c>
      <c r="L911" s="95">
        <f>+VLOOKUP(E911,MARGEN!A:B,2,FALSE)</f>
        <v>0.1</v>
      </c>
      <c r="M911" s="112">
        <f t="shared" si="57"/>
        <v>3594.711872551642</v>
      </c>
      <c r="N911" s="113">
        <f t="shared" si="58"/>
        <v>143.78847490206567</v>
      </c>
      <c r="O911" s="113">
        <f t="shared" si="59"/>
        <v>32208.618378062711</v>
      </c>
    </row>
    <row r="912" spans="1:15" x14ac:dyDescent="0.25">
      <c r="A912" s="13">
        <v>44441</v>
      </c>
      <c r="B912" s="97">
        <v>16328</v>
      </c>
      <c r="C912" t="s">
        <v>78</v>
      </c>
      <c r="D912" s="94" t="s">
        <v>412</v>
      </c>
      <c r="E912" t="s">
        <v>45</v>
      </c>
      <c r="F912" t="s">
        <v>572</v>
      </c>
      <c r="G912" s="50" t="s">
        <v>243</v>
      </c>
      <c r="H912" s="50">
        <v>2</v>
      </c>
      <c r="I912" s="100">
        <v>6.7391919697301583</v>
      </c>
      <c r="J912" s="52">
        <v>3834.68</v>
      </c>
      <c r="K912" s="67">
        <f t="shared" si="60"/>
        <v>421958.70204905252</v>
      </c>
      <c r="L912" s="95">
        <f>+VLOOKUP(E912,MARGEN!A:B,2,FALSE)</f>
        <v>0.1</v>
      </c>
      <c r="M912" s="112">
        <f t="shared" si="57"/>
        <v>42195.870204905252</v>
      </c>
      <c r="N912" s="113">
        <f t="shared" si="58"/>
        <v>1687.8348081962101</v>
      </c>
      <c r="O912" s="113">
        <f t="shared" si="59"/>
        <v>378074.99703595106</v>
      </c>
    </row>
    <row r="913" spans="1:15" x14ac:dyDescent="0.25">
      <c r="A913" s="13">
        <v>44441</v>
      </c>
      <c r="B913" s="97">
        <v>12814</v>
      </c>
      <c r="C913" t="s">
        <v>73</v>
      </c>
      <c r="D913" s="94" t="s">
        <v>338</v>
      </c>
      <c r="E913" t="s">
        <v>45</v>
      </c>
      <c r="F913" t="s">
        <v>558</v>
      </c>
      <c r="G913" s="50" t="s">
        <v>559</v>
      </c>
      <c r="H913" s="50">
        <v>2</v>
      </c>
      <c r="I913" s="100">
        <v>6.7391919697301583</v>
      </c>
      <c r="J913" s="52">
        <v>3834.68</v>
      </c>
      <c r="K913" s="67">
        <f t="shared" si="60"/>
        <v>331147.64870508079</v>
      </c>
      <c r="L913" s="95">
        <f>+VLOOKUP(E913,MARGEN!A:B,2,FALSE)</f>
        <v>0.1</v>
      </c>
      <c r="M913" s="112">
        <f t="shared" si="57"/>
        <v>33114.764870508079</v>
      </c>
      <c r="N913" s="113">
        <f t="shared" si="58"/>
        <v>1324.5905948203231</v>
      </c>
      <c r="O913" s="113">
        <f t="shared" si="59"/>
        <v>296708.29323975241</v>
      </c>
    </row>
    <row r="914" spans="1:15" x14ac:dyDescent="0.25">
      <c r="A914" s="13">
        <v>44441</v>
      </c>
      <c r="B914" s="97">
        <v>9934</v>
      </c>
      <c r="C914" t="s">
        <v>95</v>
      </c>
      <c r="D914" s="94" t="s">
        <v>510</v>
      </c>
      <c r="E914" t="s">
        <v>45</v>
      </c>
      <c r="F914" t="s">
        <v>558</v>
      </c>
      <c r="G914" s="50" t="s">
        <v>559</v>
      </c>
      <c r="H914" s="50">
        <v>2</v>
      </c>
      <c r="I914" s="100">
        <v>6.7391919697301583</v>
      </c>
      <c r="J914" s="52">
        <v>3834.68</v>
      </c>
      <c r="K914" s="67">
        <f t="shared" si="60"/>
        <v>256720.83207712442</v>
      </c>
      <c r="L914" s="95">
        <f>+VLOOKUP(E914,MARGEN!A:B,2,FALSE)</f>
        <v>0.1</v>
      </c>
      <c r="M914" s="112">
        <f t="shared" si="57"/>
        <v>25672.083207712443</v>
      </c>
      <c r="N914" s="113">
        <f t="shared" si="58"/>
        <v>1026.8833283084978</v>
      </c>
      <c r="O914" s="113">
        <f t="shared" si="59"/>
        <v>230021.86554110347</v>
      </c>
    </row>
    <row r="915" spans="1:15" x14ac:dyDescent="0.25">
      <c r="A915" s="13">
        <v>44441</v>
      </c>
      <c r="B915" s="97">
        <v>8254</v>
      </c>
      <c r="C915" t="s">
        <v>191</v>
      </c>
      <c r="D915" s="94" t="s">
        <v>354</v>
      </c>
      <c r="E915" t="s">
        <v>45</v>
      </c>
      <c r="F915" t="s">
        <v>558</v>
      </c>
      <c r="G915" s="50" t="s">
        <v>559</v>
      </c>
      <c r="H915" s="50">
        <v>2</v>
      </c>
      <c r="I915" s="100">
        <v>6.7391919697301583</v>
      </c>
      <c r="J915" s="52">
        <v>3834.68</v>
      </c>
      <c r="K915" s="67">
        <f t="shared" si="60"/>
        <v>213305.18904414988</v>
      </c>
      <c r="L915" s="95">
        <f>+VLOOKUP(E915,MARGEN!A:B,2,FALSE)</f>
        <v>0.1</v>
      </c>
      <c r="M915" s="112">
        <f t="shared" si="57"/>
        <v>21330.518904414988</v>
      </c>
      <c r="N915" s="113">
        <f t="shared" si="58"/>
        <v>853.22075617659948</v>
      </c>
      <c r="O915" s="113">
        <f t="shared" si="59"/>
        <v>191121.4493835583</v>
      </c>
    </row>
    <row r="916" spans="1:15" x14ac:dyDescent="0.25">
      <c r="A916" s="13">
        <v>44441</v>
      </c>
      <c r="B916" s="97">
        <v>7607</v>
      </c>
      <c r="C916" t="s">
        <v>248</v>
      </c>
      <c r="D916" s="94" t="s">
        <v>385</v>
      </c>
      <c r="E916" t="s">
        <v>45</v>
      </c>
      <c r="F916" t="s">
        <v>558</v>
      </c>
      <c r="G916" s="50" t="s">
        <v>559</v>
      </c>
      <c r="H916" s="50">
        <v>2</v>
      </c>
      <c r="I916" s="100">
        <v>6.7391919697301583</v>
      </c>
      <c r="J916" s="52">
        <v>3834.68</v>
      </c>
      <c r="K916" s="67">
        <f t="shared" si="60"/>
        <v>196584.99794752221</v>
      </c>
      <c r="L916" s="95">
        <f>+VLOOKUP(E916,MARGEN!A:B,2,FALSE)</f>
        <v>0.1</v>
      </c>
      <c r="M916" s="112">
        <f t="shared" si="57"/>
        <v>19658.499794752221</v>
      </c>
      <c r="N916" s="113">
        <f t="shared" si="58"/>
        <v>786.33999179008879</v>
      </c>
      <c r="O916" s="113">
        <f t="shared" si="59"/>
        <v>176140.15816097989</v>
      </c>
    </row>
    <row r="917" spans="1:15" x14ac:dyDescent="0.25">
      <c r="A917" s="13">
        <v>44441</v>
      </c>
      <c r="B917" s="97">
        <v>7535</v>
      </c>
      <c r="C917" t="s">
        <v>179</v>
      </c>
      <c r="D917" s="94" t="s">
        <v>361</v>
      </c>
      <c r="E917" t="s">
        <v>45</v>
      </c>
      <c r="F917" t="s">
        <v>558</v>
      </c>
      <c r="G917" s="50" t="s">
        <v>559</v>
      </c>
      <c r="H917" s="50">
        <v>2</v>
      </c>
      <c r="I917" s="100">
        <v>6.7391919697301583</v>
      </c>
      <c r="J917" s="52">
        <v>3834.68</v>
      </c>
      <c r="K917" s="67">
        <f t="shared" si="60"/>
        <v>194724.32753182328</v>
      </c>
      <c r="L917" s="95">
        <f>+VLOOKUP(E917,MARGEN!A:B,2,FALSE)</f>
        <v>0.1</v>
      </c>
      <c r="M917" s="112">
        <f t="shared" si="57"/>
        <v>19472.432753182329</v>
      </c>
      <c r="N917" s="113">
        <f t="shared" si="58"/>
        <v>778.89731012729305</v>
      </c>
      <c r="O917" s="113">
        <f t="shared" si="59"/>
        <v>174472.99746851364</v>
      </c>
    </row>
    <row r="918" spans="1:15" x14ac:dyDescent="0.25">
      <c r="A918" s="13">
        <v>44441</v>
      </c>
      <c r="B918" s="97">
        <v>7415</v>
      </c>
      <c r="C918" t="s">
        <v>143</v>
      </c>
      <c r="D918" s="94" t="s">
        <v>489</v>
      </c>
      <c r="E918" t="s">
        <v>45</v>
      </c>
      <c r="F918" t="s">
        <v>558</v>
      </c>
      <c r="G918" s="50" t="s">
        <v>559</v>
      </c>
      <c r="H918" s="50">
        <v>2</v>
      </c>
      <c r="I918" s="100">
        <v>6.7391919697301583</v>
      </c>
      <c r="J918" s="52">
        <v>3834.68</v>
      </c>
      <c r="K918" s="67">
        <f t="shared" si="60"/>
        <v>191623.21017232511</v>
      </c>
      <c r="L918" s="95">
        <f>+VLOOKUP(E918,MARGEN!A:B,2,FALSE)</f>
        <v>0.1</v>
      </c>
      <c r="M918" s="112">
        <f t="shared" si="57"/>
        <v>19162.321017232513</v>
      </c>
      <c r="N918" s="113">
        <f t="shared" si="58"/>
        <v>766.49284068930046</v>
      </c>
      <c r="O918" s="113">
        <f t="shared" si="59"/>
        <v>171694.3963144033</v>
      </c>
    </row>
    <row r="919" spans="1:15" x14ac:dyDescent="0.25">
      <c r="A919" s="13">
        <v>44441</v>
      </c>
      <c r="B919" s="97">
        <v>5543</v>
      </c>
      <c r="C919" t="s">
        <v>116</v>
      </c>
      <c r="D919" s="94" t="s">
        <v>330</v>
      </c>
      <c r="E919" t="s">
        <v>45</v>
      </c>
      <c r="F919" t="s">
        <v>558</v>
      </c>
      <c r="G919" s="50" t="s">
        <v>559</v>
      </c>
      <c r="H919" s="50">
        <v>2</v>
      </c>
      <c r="I919" s="100">
        <v>6.7391919697301583</v>
      </c>
      <c r="J919" s="52">
        <v>3834.68</v>
      </c>
      <c r="K919" s="67">
        <f t="shared" si="60"/>
        <v>143245.77936415351</v>
      </c>
      <c r="L919" s="95">
        <f>+VLOOKUP(E919,MARGEN!A:B,2,FALSE)</f>
        <v>0.1</v>
      </c>
      <c r="M919" s="112">
        <f t="shared" si="57"/>
        <v>14324.577936415351</v>
      </c>
      <c r="N919" s="113">
        <f t="shared" si="58"/>
        <v>572.98311745661408</v>
      </c>
      <c r="O919" s="113">
        <f t="shared" si="59"/>
        <v>128348.21831028153</v>
      </c>
    </row>
    <row r="920" spans="1:15" x14ac:dyDescent="0.25">
      <c r="A920" s="13">
        <v>44441</v>
      </c>
      <c r="B920" s="97">
        <v>4535</v>
      </c>
      <c r="C920" s="88" t="s">
        <v>76</v>
      </c>
      <c r="D920" t="s">
        <v>332</v>
      </c>
      <c r="E920" t="s">
        <v>45</v>
      </c>
      <c r="F920" t="s">
        <v>558</v>
      </c>
      <c r="G920" s="50" t="s">
        <v>559</v>
      </c>
      <c r="H920" s="50">
        <v>2</v>
      </c>
      <c r="I920" s="100">
        <v>6.7391919697301583</v>
      </c>
      <c r="J920" s="52">
        <v>3834.68</v>
      </c>
      <c r="K920" s="67">
        <f t="shared" si="60"/>
        <v>117196.39354436877</v>
      </c>
      <c r="L920" s="95">
        <f>+VLOOKUP(E920,MARGEN!A:B,2,FALSE)</f>
        <v>0.1</v>
      </c>
      <c r="M920" s="112">
        <f t="shared" si="57"/>
        <v>11719.639354436877</v>
      </c>
      <c r="N920" s="113">
        <f t="shared" si="58"/>
        <v>468.78557417747504</v>
      </c>
      <c r="O920" s="113">
        <f t="shared" si="59"/>
        <v>105007.96861575442</v>
      </c>
    </row>
    <row r="921" spans="1:15" x14ac:dyDescent="0.25">
      <c r="A921" s="13">
        <v>44441</v>
      </c>
      <c r="B921" s="97">
        <v>4319</v>
      </c>
      <c r="C921" t="s">
        <v>91</v>
      </c>
      <c r="D921" s="94" t="s">
        <v>340</v>
      </c>
      <c r="E921" t="s">
        <v>45</v>
      </c>
      <c r="F921" t="s">
        <v>558</v>
      </c>
      <c r="G921" s="50" t="s">
        <v>559</v>
      </c>
      <c r="H921" s="50">
        <v>2</v>
      </c>
      <c r="I921" s="100">
        <v>6.7391919697301583</v>
      </c>
      <c r="J921" s="52">
        <v>3834.68</v>
      </c>
      <c r="K921" s="67">
        <f t="shared" si="60"/>
        <v>111614.38229727202</v>
      </c>
      <c r="L921" s="95">
        <f>+VLOOKUP(E921,MARGEN!A:B,2,FALSE)</f>
        <v>0.1</v>
      </c>
      <c r="M921" s="112">
        <f t="shared" si="57"/>
        <v>11161.438229727202</v>
      </c>
      <c r="N921" s="113">
        <f t="shared" si="58"/>
        <v>446.45752918908806</v>
      </c>
      <c r="O921" s="113">
        <f t="shared" si="59"/>
        <v>100006.48653835573</v>
      </c>
    </row>
    <row r="922" spans="1:15" x14ac:dyDescent="0.25">
      <c r="A922" s="13">
        <v>44441</v>
      </c>
      <c r="B922" s="97">
        <v>4175</v>
      </c>
      <c r="C922" t="s">
        <v>276</v>
      </c>
      <c r="D922" t="s">
        <v>512</v>
      </c>
      <c r="E922" t="s">
        <v>45</v>
      </c>
      <c r="F922" t="s">
        <v>558</v>
      </c>
      <c r="G922" s="50" t="s">
        <v>559</v>
      </c>
      <c r="H922" s="50">
        <v>2</v>
      </c>
      <c r="I922" s="100">
        <v>6.7391919697301583</v>
      </c>
      <c r="J922" s="52">
        <v>3834.68</v>
      </c>
      <c r="K922" s="67">
        <f t="shared" si="60"/>
        <v>107893.04146587422</v>
      </c>
      <c r="L922" s="95">
        <f>+VLOOKUP(E922,MARGEN!A:B,2,FALSE)</f>
        <v>0.1</v>
      </c>
      <c r="M922" s="112">
        <f t="shared" si="57"/>
        <v>10789.304146587423</v>
      </c>
      <c r="N922" s="113">
        <f t="shared" si="58"/>
        <v>431.57216586349688</v>
      </c>
      <c r="O922" s="113">
        <f t="shared" si="59"/>
        <v>96672.165153423295</v>
      </c>
    </row>
    <row r="923" spans="1:15" x14ac:dyDescent="0.25">
      <c r="A923" s="13">
        <v>44441</v>
      </c>
      <c r="B923" s="97">
        <v>4127</v>
      </c>
      <c r="C923" t="s">
        <v>235</v>
      </c>
      <c r="D923" s="94" t="s">
        <v>339</v>
      </c>
      <c r="E923" t="s">
        <v>45</v>
      </c>
      <c r="F923" t="s">
        <v>558</v>
      </c>
      <c r="G923" s="50" t="s">
        <v>559</v>
      </c>
      <c r="H923" s="50">
        <v>2</v>
      </c>
      <c r="I923" s="100">
        <v>6.7391919697301583</v>
      </c>
      <c r="J923" s="52">
        <v>3834.68</v>
      </c>
      <c r="K923" s="67">
        <f t="shared" si="60"/>
        <v>106652.59452207494</v>
      </c>
      <c r="L923" s="95">
        <f>+VLOOKUP(E923,MARGEN!A:B,2,FALSE)</f>
        <v>0.1</v>
      </c>
      <c r="M923" s="112">
        <f t="shared" si="57"/>
        <v>10665.259452207494</v>
      </c>
      <c r="N923" s="113">
        <f t="shared" si="58"/>
        <v>426.61037808829974</v>
      </c>
      <c r="O923" s="113">
        <f t="shared" si="59"/>
        <v>95560.724691779149</v>
      </c>
    </row>
    <row r="924" spans="1:15" x14ac:dyDescent="0.25">
      <c r="A924" s="13">
        <v>44441</v>
      </c>
      <c r="B924" s="97">
        <v>4127</v>
      </c>
      <c r="C924" t="s">
        <v>234</v>
      </c>
      <c r="D924" s="94" t="s">
        <v>331</v>
      </c>
      <c r="E924" t="s">
        <v>45</v>
      </c>
      <c r="F924" t="s">
        <v>558</v>
      </c>
      <c r="G924" s="50" t="s">
        <v>559</v>
      </c>
      <c r="H924" s="50">
        <v>2</v>
      </c>
      <c r="I924" s="100">
        <v>6.7391919697301583</v>
      </c>
      <c r="J924" s="52">
        <v>3834.68</v>
      </c>
      <c r="K924" s="67">
        <f t="shared" si="60"/>
        <v>106652.59452207494</v>
      </c>
      <c r="L924" s="95">
        <f>+VLOOKUP(E924,MARGEN!A:B,2,FALSE)</f>
        <v>0.1</v>
      </c>
      <c r="M924" s="112">
        <f t="shared" si="57"/>
        <v>10665.259452207494</v>
      </c>
      <c r="N924" s="113">
        <f t="shared" si="58"/>
        <v>426.61037808829974</v>
      </c>
      <c r="O924" s="113">
        <f t="shared" si="59"/>
        <v>95560.724691779149</v>
      </c>
    </row>
    <row r="925" spans="1:15" x14ac:dyDescent="0.25">
      <c r="A925" s="13">
        <v>44441</v>
      </c>
      <c r="B925" s="97">
        <v>3911</v>
      </c>
      <c r="C925" t="s">
        <v>71</v>
      </c>
      <c r="D925" s="94" t="s">
        <v>337</v>
      </c>
      <c r="E925" t="s">
        <v>45</v>
      </c>
      <c r="F925" t="s">
        <v>558</v>
      </c>
      <c r="G925" s="50" t="s">
        <v>559</v>
      </c>
      <c r="H925" s="50">
        <v>2</v>
      </c>
      <c r="I925" s="100">
        <v>6.7391919697301583</v>
      </c>
      <c r="J925" s="52">
        <v>3834.68</v>
      </c>
      <c r="K925" s="67">
        <f t="shared" si="60"/>
        <v>101070.58327497823</v>
      </c>
      <c r="L925" s="95">
        <f>+VLOOKUP(E925,MARGEN!A:B,2,FALSE)</f>
        <v>0.1</v>
      </c>
      <c r="M925" s="112">
        <f t="shared" si="57"/>
        <v>10107.058327497823</v>
      </c>
      <c r="N925" s="113">
        <f t="shared" si="58"/>
        <v>404.28233309991293</v>
      </c>
      <c r="O925" s="113">
        <f t="shared" si="59"/>
        <v>90559.242614380491</v>
      </c>
    </row>
    <row r="926" spans="1:15" x14ac:dyDescent="0.25">
      <c r="A926" s="13">
        <v>44441</v>
      </c>
      <c r="B926" s="97">
        <v>3695</v>
      </c>
      <c r="C926" t="s">
        <v>177</v>
      </c>
      <c r="D926" s="94" t="s">
        <v>355</v>
      </c>
      <c r="E926" t="s">
        <v>45</v>
      </c>
      <c r="F926" t="s">
        <v>558</v>
      </c>
      <c r="G926" s="50" t="s">
        <v>559</v>
      </c>
      <c r="H926" s="50">
        <v>2</v>
      </c>
      <c r="I926" s="100">
        <v>6.7391919697301583</v>
      </c>
      <c r="J926" s="52">
        <v>3834.68</v>
      </c>
      <c r="K926" s="67">
        <f t="shared" si="60"/>
        <v>95488.572027881484</v>
      </c>
      <c r="L926" s="95">
        <f>+VLOOKUP(E926,MARGEN!A:B,2,FALSE)</f>
        <v>0.1</v>
      </c>
      <c r="M926" s="112">
        <f t="shared" si="57"/>
        <v>9548.8572027881492</v>
      </c>
      <c r="N926" s="113">
        <f t="shared" si="58"/>
        <v>381.95428811152595</v>
      </c>
      <c r="O926" s="113">
        <f t="shared" si="59"/>
        <v>85557.760536981819</v>
      </c>
    </row>
    <row r="927" spans="1:15" x14ac:dyDescent="0.25">
      <c r="A927" s="13">
        <v>44441</v>
      </c>
      <c r="B927" s="97">
        <v>3143</v>
      </c>
      <c r="C927" s="88" t="s">
        <v>277</v>
      </c>
      <c r="D927" t="s">
        <v>513</v>
      </c>
      <c r="E927" t="s">
        <v>45</v>
      </c>
      <c r="F927" t="s">
        <v>558</v>
      </c>
      <c r="G927" s="50" t="s">
        <v>559</v>
      </c>
      <c r="H927" s="50">
        <v>2</v>
      </c>
      <c r="I927" s="100">
        <v>6.7391919697301583</v>
      </c>
      <c r="J927" s="52">
        <v>3834.68</v>
      </c>
      <c r="K927" s="67">
        <f t="shared" si="60"/>
        <v>81223.43217418986</v>
      </c>
      <c r="L927" s="95">
        <f>+VLOOKUP(E927,MARGEN!A:B,2,FALSE)</f>
        <v>0.1</v>
      </c>
      <c r="M927" s="112">
        <f t="shared" si="57"/>
        <v>8122.3432174189866</v>
      </c>
      <c r="N927" s="113">
        <f t="shared" si="58"/>
        <v>324.89372869675947</v>
      </c>
      <c r="O927" s="113">
        <f t="shared" si="59"/>
        <v>72776.195228074124</v>
      </c>
    </row>
    <row r="928" spans="1:15" x14ac:dyDescent="0.25">
      <c r="A928" s="13">
        <v>44441</v>
      </c>
      <c r="B928" s="97">
        <v>2879</v>
      </c>
      <c r="C928" t="s">
        <v>139</v>
      </c>
      <c r="D928" s="94" t="s">
        <v>327</v>
      </c>
      <c r="E928" t="s">
        <v>45</v>
      </c>
      <c r="F928" t="s">
        <v>558</v>
      </c>
      <c r="G928" s="50" t="s">
        <v>559</v>
      </c>
      <c r="H928" s="50">
        <v>2</v>
      </c>
      <c r="I928" s="100">
        <v>6.7391919697301583</v>
      </c>
      <c r="J928" s="52">
        <v>3834.68</v>
      </c>
      <c r="K928" s="67">
        <f t="shared" si="60"/>
        <v>74400.973983293865</v>
      </c>
      <c r="L928" s="95">
        <f>+VLOOKUP(E928,MARGEN!A:B,2,FALSE)</f>
        <v>0.1</v>
      </c>
      <c r="M928" s="112">
        <f t="shared" si="57"/>
        <v>7440.097398329387</v>
      </c>
      <c r="N928" s="113">
        <f t="shared" si="58"/>
        <v>297.60389593317547</v>
      </c>
      <c r="O928" s="113">
        <f t="shared" si="59"/>
        <v>66663.272689031306</v>
      </c>
    </row>
    <row r="929" spans="1:15" x14ac:dyDescent="0.25">
      <c r="A929" s="13">
        <v>44441</v>
      </c>
      <c r="B929" s="97">
        <v>2855</v>
      </c>
      <c r="C929" t="s">
        <v>268</v>
      </c>
      <c r="D929" s="94" t="s">
        <v>514</v>
      </c>
      <c r="E929" t="s">
        <v>45</v>
      </c>
      <c r="F929" t="s">
        <v>558</v>
      </c>
      <c r="G929" s="50" t="s">
        <v>559</v>
      </c>
      <c r="H929" s="50">
        <v>2</v>
      </c>
      <c r="I929" s="100">
        <v>6.7391919697301583</v>
      </c>
      <c r="J929" s="52">
        <v>3834.68</v>
      </c>
      <c r="K929" s="67">
        <f t="shared" si="60"/>
        <v>73780.750511394232</v>
      </c>
      <c r="L929" s="95">
        <f>+VLOOKUP(E929,MARGEN!A:B,2,FALSE)</f>
        <v>0.1</v>
      </c>
      <c r="M929" s="112">
        <f t="shared" si="57"/>
        <v>7378.0750511394235</v>
      </c>
      <c r="N929" s="113">
        <f t="shared" si="58"/>
        <v>295.12300204557692</v>
      </c>
      <c r="O929" s="113">
        <f t="shared" si="59"/>
        <v>66107.552458209218</v>
      </c>
    </row>
    <row r="930" spans="1:15" x14ac:dyDescent="0.25">
      <c r="A930" s="13">
        <v>44441</v>
      </c>
      <c r="B930" s="97">
        <v>2807</v>
      </c>
      <c r="C930" t="s">
        <v>178</v>
      </c>
      <c r="D930" s="94" t="s">
        <v>370</v>
      </c>
      <c r="E930" t="s">
        <v>45</v>
      </c>
      <c r="F930" t="s">
        <v>558</v>
      </c>
      <c r="G930" s="50" t="s">
        <v>559</v>
      </c>
      <c r="H930" s="50">
        <v>2</v>
      </c>
      <c r="I930" s="100">
        <v>6.7391919697301583</v>
      </c>
      <c r="J930" s="52">
        <v>3834.68</v>
      </c>
      <c r="K930" s="67">
        <f t="shared" si="60"/>
        <v>72540.303567594965</v>
      </c>
      <c r="L930" s="95">
        <f>+VLOOKUP(E930,MARGEN!A:B,2,FALSE)</f>
        <v>0.1</v>
      </c>
      <c r="M930" s="112">
        <f t="shared" si="57"/>
        <v>7254.0303567594965</v>
      </c>
      <c r="N930" s="113">
        <f t="shared" si="58"/>
        <v>290.16121427037984</v>
      </c>
      <c r="O930" s="113">
        <f t="shared" si="59"/>
        <v>64996.111996565087</v>
      </c>
    </row>
    <row r="931" spans="1:15" x14ac:dyDescent="0.25">
      <c r="A931" s="13">
        <v>44441</v>
      </c>
      <c r="B931" s="97">
        <v>2663</v>
      </c>
      <c r="C931" t="s">
        <v>138</v>
      </c>
      <c r="D931" s="94" t="s">
        <v>321</v>
      </c>
      <c r="E931" t="s">
        <v>45</v>
      </c>
      <c r="F931" t="s">
        <v>558</v>
      </c>
      <c r="G931" s="50" t="s">
        <v>559</v>
      </c>
      <c r="H931" s="50">
        <v>2</v>
      </c>
      <c r="I931" s="100">
        <v>6.7391919697301583</v>
      </c>
      <c r="J931" s="52">
        <v>3834.68</v>
      </c>
      <c r="K931" s="67">
        <f t="shared" si="60"/>
        <v>68818.962736197136</v>
      </c>
      <c r="L931" s="95">
        <f>+VLOOKUP(E931,MARGEN!A:B,2,FALSE)</f>
        <v>0.1</v>
      </c>
      <c r="M931" s="112">
        <f t="shared" si="57"/>
        <v>6881.8962736197136</v>
      </c>
      <c r="N931" s="113">
        <f t="shared" si="58"/>
        <v>275.27585094478854</v>
      </c>
      <c r="O931" s="113">
        <f t="shared" si="59"/>
        <v>61661.790611632634</v>
      </c>
    </row>
    <row r="932" spans="1:15" x14ac:dyDescent="0.25">
      <c r="A932" s="13">
        <v>44441</v>
      </c>
      <c r="B932" s="97">
        <v>2183</v>
      </c>
      <c r="C932" t="s">
        <v>560</v>
      </c>
      <c r="D932" s="94" t="s">
        <v>561</v>
      </c>
      <c r="E932" t="s">
        <v>45</v>
      </c>
      <c r="F932" t="s">
        <v>557</v>
      </c>
      <c r="G932" s="50" t="s">
        <v>205</v>
      </c>
      <c r="H932" s="50">
        <v>2</v>
      </c>
      <c r="I932" s="100">
        <v>6.7391919697301583</v>
      </c>
      <c r="J932" s="52">
        <v>3834.68</v>
      </c>
      <c r="K932" s="67">
        <f t="shared" si="60"/>
        <v>56414.493298204405</v>
      </c>
      <c r="L932" s="95">
        <f>+VLOOKUP(E932,MARGEN!A:B,2,FALSE)</f>
        <v>0.1</v>
      </c>
      <c r="M932" s="112">
        <f t="shared" si="57"/>
        <v>5641.4493298204407</v>
      </c>
      <c r="N932" s="113">
        <f t="shared" si="58"/>
        <v>225.65797319281762</v>
      </c>
      <c r="O932" s="113">
        <f t="shared" si="59"/>
        <v>50547.385995191151</v>
      </c>
    </row>
    <row r="933" spans="1:15" x14ac:dyDescent="0.25">
      <c r="A933" s="13">
        <v>44441</v>
      </c>
      <c r="B933" s="97">
        <v>2087</v>
      </c>
      <c r="C933" t="s">
        <v>92</v>
      </c>
      <c r="D933" s="94" t="s">
        <v>490</v>
      </c>
      <c r="E933" t="s">
        <v>45</v>
      </c>
      <c r="F933" t="s">
        <v>558</v>
      </c>
      <c r="G933" s="50" t="s">
        <v>559</v>
      </c>
      <c r="H933" s="50">
        <v>2</v>
      </c>
      <c r="I933" s="100">
        <v>6.7391919697301583</v>
      </c>
      <c r="J933" s="52">
        <v>3834.68</v>
      </c>
      <c r="K933" s="67">
        <f t="shared" si="60"/>
        <v>53933.599410605872</v>
      </c>
      <c r="L933" s="95">
        <f>+VLOOKUP(E933,MARGEN!A:B,2,FALSE)</f>
        <v>0.1</v>
      </c>
      <c r="M933" s="112">
        <f t="shared" si="57"/>
        <v>5393.3599410605875</v>
      </c>
      <c r="N933" s="113">
        <f t="shared" si="58"/>
        <v>215.73439764242349</v>
      </c>
      <c r="O933" s="113">
        <f t="shared" si="59"/>
        <v>48324.505071902859</v>
      </c>
    </row>
    <row r="934" spans="1:15" x14ac:dyDescent="0.25">
      <c r="A934" s="13">
        <v>44441</v>
      </c>
      <c r="B934" s="97">
        <v>2087</v>
      </c>
      <c r="C934" t="s">
        <v>103</v>
      </c>
      <c r="D934" s="94" t="s">
        <v>342</v>
      </c>
      <c r="E934" t="s">
        <v>45</v>
      </c>
      <c r="F934" t="s">
        <v>558</v>
      </c>
      <c r="G934" s="50" t="s">
        <v>559</v>
      </c>
      <c r="H934" s="50">
        <v>2</v>
      </c>
      <c r="I934" s="100">
        <v>6.7391919697301583</v>
      </c>
      <c r="J934" s="52">
        <v>3834.68</v>
      </c>
      <c r="K934" s="67">
        <f t="shared" si="60"/>
        <v>53933.599410605872</v>
      </c>
      <c r="L934" s="95">
        <f>+VLOOKUP(E934,MARGEN!A:B,2,FALSE)</f>
        <v>0.1</v>
      </c>
      <c r="M934" s="112">
        <f t="shared" si="57"/>
        <v>5393.3599410605875</v>
      </c>
      <c r="N934" s="113">
        <f t="shared" si="58"/>
        <v>215.73439764242349</v>
      </c>
      <c r="O934" s="113">
        <f t="shared" si="59"/>
        <v>48324.505071902859</v>
      </c>
    </row>
    <row r="935" spans="1:15" x14ac:dyDescent="0.25">
      <c r="A935" s="13">
        <v>44441</v>
      </c>
      <c r="B935" s="97">
        <v>1871</v>
      </c>
      <c r="C935" t="s">
        <v>198</v>
      </c>
      <c r="D935" s="94" t="s">
        <v>326</v>
      </c>
      <c r="E935" t="s">
        <v>45</v>
      </c>
      <c r="F935" t="s">
        <v>558</v>
      </c>
      <c r="G935" s="50" t="s">
        <v>559</v>
      </c>
      <c r="H935" s="50">
        <v>2</v>
      </c>
      <c r="I935" s="100">
        <v>6.7391919697301583</v>
      </c>
      <c r="J935" s="52">
        <v>3834.68</v>
      </c>
      <c r="K935" s="67">
        <f t="shared" si="60"/>
        <v>48351.588163509143</v>
      </c>
      <c r="L935" s="95">
        <f>+VLOOKUP(E935,MARGEN!A:B,2,FALSE)</f>
        <v>0.1</v>
      </c>
      <c r="M935" s="112">
        <f t="shared" si="57"/>
        <v>4835.1588163509141</v>
      </c>
      <c r="N935" s="113">
        <f t="shared" si="58"/>
        <v>193.40635265403657</v>
      </c>
      <c r="O935" s="113">
        <f t="shared" si="59"/>
        <v>43323.022994504194</v>
      </c>
    </row>
    <row r="936" spans="1:15" x14ac:dyDescent="0.25">
      <c r="A936" s="13">
        <v>44441</v>
      </c>
      <c r="B936" s="97">
        <v>1847</v>
      </c>
      <c r="C936" t="s">
        <v>270</v>
      </c>
      <c r="D936" s="94" t="s">
        <v>491</v>
      </c>
      <c r="E936" t="s">
        <v>45</v>
      </c>
      <c r="F936" t="s">
        <v>558</v>
      </c>
      <c r="G936" s="50" t="s">
        <v>559</v>
      </c>
      <c r="H936" s="50">
        <v>2</v>
      </c>
      <c r="I936" s="100">
        <v>6.7391919697301583</v>
      </c>
      <c r="J936" s="52">
        <v>3834.68</v>
      </c>
      <c r="K936" s="67">
        <f t="shared" si="60"/>
        <v>47731.364691609502</v>
      </c>
      <c r="L936" s="95">
        <f>+VLOOKUP(E936,MARGEN!A:B,2,FALSE)</f>
        <v>0.1</v>
      </c>
      <c r="M936" s="112">
        <f t="shared" si="57"/>
        <v>4773.1364691609506</v>
      </c>
      <c r="N936" s="113">
        <f t="shared" si="58"/>
        <v>190.925458766438</v>
      </c>
      <c r="O936" s="113">
        <f t="shared" si="59"/>
        <v>42767.302763682113</v>
      </c>
    </row>
    <row r="937" spans="1:15" x14ac:dyDescent="0.25">
      <c r="A937" s="13">
        <v>44441</v>
      </c>
      <c r="B937" s="97">
        <v>1727</v>
      </c>
      <c r="C937" t="s">
        <v>190</v>
      </c>
      <c r="D937" t="s">
        <v>356</v>
      </c>
      <c r="E937" t="s">
        <v>45</v>
      </c>
      <c r="F937" t="s">
        <v>558</v>
      </c>
      <c r="G937" s="50" t="s">
        <v>559</v>
      </c>
      <c r="H937" s="50">
        <v>2</v>
      </c>
      <c r="I937" s="100">
        <v>6.7391919697301583</v>
      </c>
      <c r="J937" s="52">
        <v>3834.68</v>
      </c>
      <c r="K937" s="67">
        <f t="shared" si="60"/>
        <v>44630.247332111321</v>
      </c>
      <c r="L937" s="95">
        <f>+VLOOKUP(E937,MARGEN!A:B,2,FALSE)</f>
        <v>0.1</v>
      </c>
      <c r="M937" s="112">
        <f t="shared" si="57"/>
        <v>4463.0247332111321</v>
      </c>
      <c r="N937" s="113">
        <f t="shared" si="58"/>
        <v>178.5209893284453</v>
      </c>
      <c r="O937" s="113">
        <f t="shared" si="59"/>
        <v>39988.701609571741</v>
      </c>
    </row>
    <row r="938" spans="1:15" x14ac:dyDescent="0.25">
      <c r="A938" s="13">
        <v>44441</v>
      </c>
      <c r="B938" s="97">
        <v>1535</v>
      </c>
      <c r="C938" t="s">
        <v>273</v>
      </c>
      <c r="D938" t="s">
        <v>515</v>
      </c>
      <c r="E938" t="s">
        <v>45</v>
      </c>
      <c r="F938" t="s">
        <v>558</v>
      </c>
      <c r="G938" s="50" t="s">
        <v>559</v>
      </c>
      <c r="H938" s="50">
        <v>2</v>
      </c>
      <c r="I938" s="100">
        <v>6.7391919697301583</v>
      </c>
      <c r="J938" s="52">
        <v>3834.68</v>
      </c>
      <c r="K938" s="67">
        <f t="shared" si="60"/>
        <v>39668.459556914233</v>
      </c>
      <c r="L938" s="95">
        <f>+VLOOKUP(E938,MARGEN!A:B,2,FALSE)</f>
        <v>0.1</v>
      </c>
      <c r="M938" s="112">
        <f t="shared" si="57"/>
        <v>3966.8459556914236</v>
      </c>
      <c r="N938" s="113">
        <f t="shared" si="58"/>
        <v>158.67383822765694</v>
      </c>
      <c r="O938" s="113">
        <f t="shared" si="59"/>
        <v>35542.939762995149</v>
      </c>
    </row>
    <row r="939" spans="1:15" x14ac:dyDescent="0.25">
      <c r="A939" s="13">
        <v>44441</v>
      </c>
      <c r="B939" s="97">
        <v>1391</v>
      </c>
      <c r="C939" t="s">
        <v>107</v>
      </c>
      <c r="D939" s="94" t="s">
        <v>346</v>
      </c>
      <c r="E939" t="s">
        <v>45</v>
      </c>
      <c r="F939" t="s">
        <v>558</v>
      </c>
      <c r="G939" s="50" t="s">
        <v>559</v>
      </c>
      <c r="H939" s="50">
        <v>2</v>
      </c>
      <c r="I939" s="100">
        <v>6.7391919697301583</v>
      </c>
      <c r="J939" s="52">
        <v>3834.68</v>
      </c>
      <c r="K939" s="67">
        <f t="shared" si="60"/>
        <v>35947.118725516419</v>
      </c>
      <c r="L939" s="95">
        <f>+VLOOKUP(E939,MARGEN!A:B,2,FALSE)</f>
        <v>0.1</v>
      </c>
      <c r="M939" s="112">
        <f t="shared" si="57"/>
        <v>3594.711872551642</v>
      </c>
      <c r="N939" s="113">
        <f t="shared" si="58"/>
        <v>143.78847490206567</v>
      </c>
      <c r="O939" s="113">
        <f t="shared" si="59"/>
        <v>32208.618378062711</v>
      </c>
    </row>
    <row r="940" spans="1:15" x14ac:dyDescent="0.25">
      <c r="A940" s="13">
        <v>44447</v>
      </c>
      <c r="B940" s="97">
        <v>16341</v>
      </c>
      <c r="C940" t="s">
        <v>78</v>
      </c>
      <c r="D940" s="94" t="s">
        <v>412</v>
      </c>
      <c r="E940" t="s">
        <v>45</v>
      </c>
      <c r="F940" t="s">
        <v>558</v>
      </c>
      <c r="G940" s="50" t="s">
        <v>559</v>
      </c>
      <c r="H940" s="50">
        <v>2</v>
      </c>
      <c r="I940" s="100">
        <v>6.7391919697301583</v>
      </c>
      <c r="J940" s="52">
        <v>3834.68</v>
      </c>
      <c r="K940" s="67">
        <f t="shared" si="60"/>
        <v>422294.65642966487</v>
      </c>
      <c r="L940" s="95">
        <f>+VLOOKUP(E940,MARGEN!A:B,2,FALSE)</f>
        <v>0.1</v>
      </c>
      <c r="M940" s="112">
        <f t="shared" si="57"/>
        <v>42229.46564296649</v>
      </c>
      <c r="N940" s="113">
        <f t="shared" si="58"/>
        <v>1689.1786257186595</v>
      </c>
      <c r="O940" s="113">
        <f t="shared" si="59"/>
        <v>378376.01216097974</v>
      </c>
    </row>
    <row r="941" spans="1:15" x14ac:dyDescent="0.25">
      <c r="A941" s="13">
        <v>44447</v>
      </c>
      <c r="B941" s="97">
        <v>16341</v>
      </c>
      <c r="C941" t="s">
        <v>78</v>
      </c>
      <c r="D941" s="94" t="s">
        <v>412</v>
      </c>
      <c r="E941" t="s">
        <v>45</v>
      </c>
      <c r="F941" t="s">
        <v>558</v>
      </c>
      <c r="G941" s="50" t="s">
        <v>559</v>
      </c>
      <c r="H941" s="50">
        <v>2</v>
      </c>
      <c r="I941" s="100">
        <v>6.7391919697301583</v>
      </c>
      <c r="J941" s="52">
        <v>3834.68</v>
      </c>
      <c r="K941" s="67">
        <f t="shared" si="60"/>
        <v>422294.65642966487</v>
      </c>
      <c r="L941" s="95">
        <f>+VLOOKUP(E941,MARGEN!A:B,2,FALSE)</f>
        <v>0.1</v>
      </c>
      <c r="M941" s="112">
        <f t="shared" si="57"/>
        <v>42229.46564296649</v>
      </c>
      <c r="N941" s="113">
        <f t="shared" si="58"/>
        <v>1689.1786257186595</v>
      </c>
      <c r="O941" s="113">
        <f t="shared" si="59"/>
        <v>378376.01216097974</v>
      </c>
    </row>
    <row r="942" spans="1:15" x14ac:dyDescent="0.25">
      <c r="A942" s="13">
        <v>44447</v>
      </c>
      <c r="B942" s="97">
        <v>9933</v>
      </c>
      <c r="C942" t="s">
        <v>95</v>
      </c>
      <c r="D942" s="94" t="s">
        <v>510</v>
      </c>
      <c r="E942" t="s">
        <v>45</v>
      </c>
      <c r="F942" t="s">
        <v>562</v>
      </c>
      <c r="G942" s="50" t="s">
        <v>559</v>
      </c>
      <c r="H942" s="50">
        <v>2</v>
      </c>
      <c r="I942" s="100">
        <v>6.7391919697301583</v>
      </c>
      <c r="J942" s="52">
        <v>3834.68</v>
      </c>
      <c r="K942" s="67">
        <f t="shared" si="60"/>
        <v>256694.98943246197</v>
      </c>
      <c r="L942" s="95">
        <f>+VLOOKUP(E942,MARGEN!A:B,2,FALSE)</f>
        <v>0.1</v>
      </c>
      <c r="M942" s="112">
        <f t="shared" si="57"/>
        <v>25669.498943246199</v>
      </c>
      <c r="N942" s="113">
        <f t="shared" si="58"/>
        <v>1026.7799577298479</v>
      </c>
      <c r="O942" s="113">
        <f t="shared" si="59"/>
        <v>229998.71053148591</v>
      </c>
    </row>
    <row r="943" spans="1:15" x14ac:dyDescent="0.25">
      <c r="A943" s="13">
        <v>44447</v>
      </c>
      <c r="B943" s="97">
        <v>9933</v>
      </c>
      <c r="C943" t="s">
        <v>95</v>
      </c>
      <c r="D943" s="94" t="s">
        <v>510</v>
      </c>
      <c r="E943" t="s">
        <v>45</v>
      </c>
      <c r="F943" t="s">
        <v>562</v>
      </c>
      <c r="G943" s="50" t="s">
        <v>559</v>
      </c>
      <c r="H943" s="50">
        <v>2</v>
      </c>
      <c r="I943" s="100">
        <v>6.7391919697301583</v>
      </c>
      <c r="J943" s="52">
        <v>3834.68</v>
      </c>
      <c r="K943" s="67">
        <f t="shared" si="60"/>
        <v>256694.98943246197</v>
      </c>
      <c r="L943" s="95">
        <f>+VLOOKUP(E943,MARGEN!A:B,2,FALSE)</f>
        <v>0.1</v>
      </c>
      <c r="M943" s="112">
        <f t="shared" si="57"/>
        <v>25669.498943246199</v>
      </c>
      <c r="N943" s="113">
        <f t="shared" si="58"/>
        <v>1026.7799577298479</v>
      </c>
      <c r="O943" s="113">
        <f t="shared" si="59"/>
        <v>229998.71053148591</v>
      </c>
    </row>
    <row r="944" spans="1:15" x14ac:dyDescent="0.25">
      <c r="A944" s="13">
        <v>44447</v>
      </c>
      <c r="B944" s="97">
        <v>7534</v>
      </c>
      <c r="C944" t="s">
        <v>179</v>
      </c>
      <c r="D944" s="94" t="s">
        <v>361</v>
      </c>
      <c r="E944" t="s">
        <v>45</v>
      </c>
      <c r="F944" t="s">
        <v>562</v>
      </c>
      <c r="G944" s="50" t="s">
        <v>559</v>
      </c>
      <c r="H944" s="50">
        <v>2</v>
      </c>
      <c r="I944" s="100">
        <v>6.7391919697301583</v>
      </c>
      <c r="J944" s="52">
        <v>3834.68</v>
      </c>
      <c r="K944" s="67">
        <f t="shared" si="60"/>
        <v>194698.4848871608</v>
      </c>
      <c r="L944" s="95">
        <f>+VLOOKUP(E944,MARGEN!A:B,2,FALSE)</f>
        <v>0.1</v>
      </c>
      <c r="M944" s="112">
        <f t="shared" si="57"/>
        <v>19469.848488716081</v>
      </c>
      <c r="N944" s="113">
        <f t="shared" si="58"/>
        <v>778.79393954864315</v>
      </c>
      <c r="O944" s="113">
        <f t="shared" si="59"/>
        <v>174449.84245889608</v>
      </c>
    </row>
    <row r="945" spans="1:15" x14ac:dyDescent="0.25">
      <c r="A945" s="13">
        <v>44447</v>
      </c>
      <c r="B945" s="97">
        <v>7510</v>
      </c>
      <c r="C945" t="s">
        <v>179</v>
      </c>
      <c r="D945" t="s">
        <v>361</v>
      </c>
      <c r="E945" t="s">
        <v>45</v>
      </c>
      <c r="F945" t="s">
        <v>562</v>
      </c>
      <c r="G945" s="50" t="s">
        <v>559</v>
      </c>
      <c r="H945" s="50">
        <v>2</v>
      </c>
      <c r="I945" s="100">
        <v>6.7391919697301583</v>
      </c>
      <c r="J945" s="52">
        <v>3834.68</v>
      </c>
      <c r="K945" s="67">
        <f t="shared" si="60"/>
        <v>194078.26141526119</v>
      </c>
      <c r="L945" s="95">
        <f>+VLOOKUP(E945,MARGEN!A:B,2,FALSE)</f>
        <v>0.1</v>
      </c>
      <c r="M945" s="112">
        <f t="shared" si="57"/>
        <v>19407.826141526119</v>
      </c>
      <c r="N945" s="113">
        <f t="shared" si="58"/>
        <v>776.31304566104473</v>
      </c>
      <c r="O945" s="113">
        <f t="shared" si="59"/>
        <v>173894.12222807403</v>
      </c>
    </row>
    <row r="946" spans="1:15" x14ac:dyDescent="0.25">
      <c r="A946" s="13">
        <v>44447</v>
      </c>
      <c r="B946" s="97">
        <v>5639</v>
      </c>
      <c r="C946" t="s">
        <v>275</v>
      </c>
      <c r="D946" s="94" t="s">
        <v>519</v>
      </c>
      <c r="E946" t="s">
        <v>45</v>
      </c>
      <c r="F946" t="s">
        <v>558</v>
      </c>
      <c r="G946" s="50" t="s">
        <v>559</v>
      </c>
      <c r="H946" s="50">
        <v>2</v>
      </c>
      <c r="I946" s="100">
        <v>6.7391919697301583</v>
      </c>
      <c r="J946" s="52">
        <v>3834.68</v>
      </c>
      <c r="K946" s="67">
        <f t="shared" si="60"/>
        <v>145726.67325175201</v>
      </c>
      <c r="L946" s="95">
        <f>+VLOOKUP(E946,MARGEN!A:B,2,FALSE)</f>
        <v>0.1</v>
      </c>
      <c r="M946" s="112">
        <f t="shared" si="57"/>
        <v>14572.667325175202</v>
      </c>
      <c r="N946" s="113">
        <f t="shared" si="58"/>
        <v>582.90669300700802</v>
      </c>
      <c r="O946" s="113">
        <f t="shared" si="59"/>
        <v>130571.09923356981</v>
      </c>
    </row>
    <row r="947" spans="1:15" x14ac:dyDescent="0.25">
      <c r="A947" s="13">
        <v>44447</v>
      </c>
      <c r="B947" s="97">
        <v>5639</v>
      </c>
      <c r="C947" t="s">
        <v>275</v>
      </c>
      <c r="D947" s="94" t="s">
        <v>519</v>
      </c>
      <c r="E947" t="s">
        <v>45</v>
      </c>
      <c r="F947" t="s">
        <v>558</v>
      </c>
      <c r="G947" s="50" t="s">
        <v>559</v>
      </c>
      <c r="H947" s="50">
        <v>2</v>
      </c>
      <c r="I947" s="100">
        <v>6.7391919697301583</v>
      </c>
      <c r="J947" s="52">
        <v>3834.68</v>
      </c>
      <c r="K947" s="67">
        <f t="shared" si="60"/>
        <v>145726.67325175201</v>
      </c>
      <c r="L947" s="95">
        <f>+VLOOKUP(E947,MARGEN!A:B,2,FALSE)</f>
        <v>0.1</v>
      </c>
      <c r="M947" s="112">
        <f t="shared" si="57"/>
        <v>14572.667325175202</v>
      </c>
      <c r="N947" s="113">
        <f t="shared" si="58"/>
        <v>582.90669300700802</v>
      </c>
      <c r="O947" s="113">
        <f t="shared" si="59"/>
        <v>130571.09923356981</v>
      </c>
    </row>
    <row r="948" spans="1:15" x14ac:dyDescent="0.25">
      <c r="A948" s="13">
        <v>44447</v>
      </c>
      <c r="B948" s="51">
        <v>5543</v>
      </c>
      <c r="C948" s="66" t="s">
        <v>116</v>
      </c>
      <c r="D948" s="66" t="s">
        <v>330</v>
      </c>
      <c r="E948" t="s">
        <v>45</v>
      </c>
      <c r="F948" s="50" t="s">
        <v>558</v>
      </c>
      <c r="G948" s="50" t="s">
        <v>559</v>
      </c>
      <c r="H948" s="50">
        <v>2</v>
      </c>
      <c r="I948" s="100">
        <v>6.7391919697301583</v>
      </c>
      <c r="J948" s="52">
        <v>3834.68</v>
      </c>
      <c r="K948" s="67">
        <f t="shared" si="60"/>
        <v>143245.77936415351</v>
      </c>
      <c r="L948" s="95">
        <f>+VLOOKUP(E948,MARGEN!A:B,2,FALSE)</f>
        <v>0.1</v>
      </c>
      <c r="M948" s="112">
        <f t="shared" si="57"/>
        <v>14324.577936415351</v>
      </c>
      <c r="N948" s="113">
        <f t="shared" si="58"/>
        <v>572.98311745661408</v>
      </c>
      <c r="O948" s="113">
        <f t="shared" si="59"/>
        <v>128348.21831028153</v>
      </c>
    </row>
    <row r="949" spans="1:15" x14ac:dyDescent="0.25">
      <c r="A949" s="13">
        <v>44447</v>
      </c>
      <c r="B949" s="97">
        <v>5543</v>
      </c>
      <c r="C949" t="s">
        <v>116</v>
      </c>
      <c r="D949" s="94" t="s">
        <v>330</v>
      </c>
      <c r="E949" t="s">
        <v>45</v>
      </c>
      <c r="F949" t="s">
        <v>558</v>
      </c>
      <c r="G949" s="50" t="s">
        <v>559</v>
      </c>
      <c r="H949" s="50">
        <v>2</v>
      </c>
      <c r="I949" s="100">
        <v>6.7391919697301583</v>
      </c>
      <c r="J949" s="52">
        <v>3834.68</v>
      </c>
      <c r="K949" s="67">
        <f t="shared" si="60"/>
        <v>143245.77936415351</v>
      </c>
      <c r="L949" s="95">
        <f>+VLOOKUP(E949,MARGEN!A:B,2,FALSE)</f>
        <v>0.1</v>
      </c>
      <c r="M949" s="112">
        <f t="shared" si="57"/>
        <v>14324.577936415351</v>
      </c>
      <c r="N949" s="113">
        <f t="shared" si="58"/>
        <v>572.98311745661408</v>
      </c>
      <c r="O949" s="113">
        <f t="shared" si="59"/>
        <v>128348.21831028153</v>
      </c>
    </row>
    <row r="950" spans="1:15" x14ac:dyDescent="0.25">
      <c r="A950" s="13">
        <v>44447</v>
      </c>
      <c r="B950" s="97">
        <v>4175</v>
      </c>
      <c r="C950" t="s">
        <v>276</v>
      </c>
      <c r="D950" s="94" t="s">
        <v>512</v>
      </c>
      <c r="E950" t="s">
        <v>45</v>
      </c>
      <c r="F950" t="s">
        <v>562</v>
      </c>
      <c r="G950" s="50" t="s">
        <v>559</v>
      </c>
      <c r="H950" s="50">
        <v>2</v>
      </c>
      <c r="I950" s="100">
        <v>6.7391919697301583</v>
      </c>
      <c r="J950" s="52">
        <v>3834.68</v>
      </c>
      <c r="K950" s="67">
        <f t="shared" si="60"/>
        <v>107893.04146587422</v>
      </c>
      <c r="L950" s="95">
        <f>+VLOOKUP(E950,MARGEN!A:B,2,FALSE)</f>
        <v>0.1</v>
      </c>
      <c r="M950" s="112">
        <f t="shared" si="57"/>
        <v>10789.304146587423</v>
      </c>
      <c r="N950" s="113">
        <f t="shared" si="58"/>
        <v>431.57216586349688</v>
      </c>
      <c r="O950" s="113">
        <f t="shared" si="59"/>
        <v>96672.165153423295</v>
      </c>
    </row>
    <row r="951" spans="1:15" x14ac:dyDescent="0.25">
      <c r="A951" s="13">
        <v>44447</v>
      </c>
      <c r="B951" s="97">
        <v>4175</v>
      </c>
      <c r="C951" t="s">
        <v>276</v>
      </c>
      <c r="D951" s="94" t="s">
        <v>512</v>
      </c>
      <c r="E951" t="s">
        <v>45</v>
      </c>
      <c r="F951" t="s">
        <v>562</v>
      </c>
      <c r="G951" s="50" t="s">
        <v>559</v>
      </c>
      <c r="H951" s="50">
        <v>2</v>
      </c>
      <c r="I951" s="100">
        <v>6.7391919697301583</v>
      </c>
      <c r="J951" s="52">
        <v>3834.68</v>
      </c>
      <c r="K951" s="67">
        <f t="shared" si="60"/>
        <v>107893.04146587422</v>
      </c>
      <c r="L951" s="95">
        <f>+VLOOKUP(E951,MARGEN!A:B,2,FALSE)</f>
        <v>0.1</v>
      </c>
      <c r="M951" s="112">
        <f t="shared" si="57"/>
        <v>10789.304146587423</v>
      </c>
      <c r="N951" s="113">
        <f t="shared" si="58"/>
        <v>431.57216586349688</v>
      </c>
      <c r="O951" s="113">
        <f t="shared" si="59"/>
        <v>96672.165153423295</v>
      </c>
    </row>
    <row r="952" spans="1:15" x14ac:dyDescent="0.25">
      <c r="A952" s="13">
        <v>44447</v>
      </c>
      <c r="B952" s="97">
        <v>4127</v>
      </c>
      <c r="C952" t="s">
        <v>235</v>
      </c>
      <c r="D952" s="94" t="s">
        <v>339</v>
      </c>
      <c r="E952" t="s">
        <v>45</v>
      </c>
      <c r="F952" t="s">
        <v>558</v>
      </c>
      <c r="G952" s="50" t="s">
        <v>559</v>
      </c>
      <c r="H952" s="50">
        <v>2</v>
      </c>
      <c r="I952" s="100">
        <v>6.7391919697301583</v>
      </c>
      <c r="J952" s="52">
        <v>3834.68</v>
      </c>
      <c r="K952" s="67">
        <f t="shared" si="60"/>
        <v>106652.59452207494</v>
      </c>
      <c r="L952" s="95">
        <f>+VLOOKUP(E952,MARGEN!A:B,2,FALSE)</f>
        <v>0.1</v>
      </c>
      <c r="M952" s="112">
        <f t="shared" si="57"/>
        <v>10665.259452207494</v>
      </c>
      <c r="N952" s="113">
        <f t="shared" si="58"/>
        <v>426.61037808829974</v>
      </c>
      <c r="O952" s="113">
        <f t="shared" si="59"/>
        <v>95560.724691779149</v>
      </c>
    </row>
    <row r="953" spans="1:15" x14ac:dyDescent="0.25">
      <c r="A953" s="13">
        <v>44447</v>
      </c>
      <c r="B953" s="97">
        <v>4127</v>
      </c>
      <c r="C953" t="s">
        <v>235</v>
      </c>
      <c r="D953" s="94" t="s">
        <v>339</v>
      </c>
      <c r="E953" t="s">
        <v>45</v>
      </c>
      <c r="F953" t="s">
        <v>558</v>
      </c>
      <c r="G953" s="50" t="s">
        <v>559</v>
      </c>
      <c r="H953" s="50">
        <v>2</v>
      </c>
      <c r="I953" s="100">
        <v>6.7391919697301583</v>
      </c>
      <c r="J953" s="52">
        <v>3834.68</v>
      </c>
      <c r="K953" s="67">
        <f t="shared" si="60"/>
        <v>106652.59452207494</v>
      </c>
      <c r="L953" s="95">
        <f>+VLOOKUP(E953,MARGEN!A:B,2,FALSE)</f>
        <v>0.1</v>
      </c>
      <c r="M953" s="112">
        <f t="shared" si="57"/>
        <v>10665.259452207494</v>
      </c>
      <c r="N953" s="113">
        <f t="shared" si="58"/>
        <v>426.61037808829974</v>
      </c>
      <c r="O953" s="113">
        <f t="shared" si="59"/>
        <v>95560.724691779149</v>
      </c>
    </row>
    <row r="954" spans="1:15" x14ac:dyDescent="0.25">
      <c r="A954" s="13">
        <v>44447</v>
      </c>
      <c r="B954" s="97">
        <v>3911</v>
      </c>
      <c r="C954" t="s">
        <v>71</v>
      </c>
      <c r="D954" s="94" t="s">
        <v>337</v>
      </c>
      <c r="E954" t="s">
        <v>45</v>
      </c>
      <c r="F954" t="s">
        <v>562</v>
      </c>
      <c r="G954" s="50" t="s">
        <v>559</v>
      </c>
      <c r="H954" s="50">
        <v>2</v>
      </c>
      <c r="I954" s="100">
        <v>6.7391919697301583</v>
      </c>
      <c r="J954" s="52">
        <v>3834.68</v>
      </c>
      <c r="K954" s="67">
        <f t="shared" si="60"/>
        <v>101070.58327497823</v>
      </c>
      <c r="L954" s="95">
        <f>+VLOOKUP(E954,MARGEN!A:B,2,FALSE)</f>
        <v>0.1</v>
      </c>
      <c r="M954" s="112">
        <f t="shared" si="57"/>
        <v>10107.058327497823</v>
      </c>
      <c r="N954" s="113">
        <f t="shared" si="58"/>
        <v>404.28233309991293</v>
      </c>
      <c r="O954" s="113">
        <f t="shared" si="59"/>
        <v>90559.242614380491</v>
      </c>
    </row>
    <row r="955" spans="1:15" x14ac:dyDescent="0.25">
      <c r="A955" s="13">
        <v>44447</v>
      </c>
      <c r="B955" s="97">
        <v>3911</v>
      </c>
      <c r="C955" t="s">
        <v>71</v>
      </c>
      <c r="D955" s="94" t="s">
        <v>337</v>
      </c>
      <c r="E955" t="s">
        <v>45</v>
      </c>
      <c r="F955" t="s">
        <v>562</v>
      </c>
      <c r="G955" s="50" t="s">
        <v>559</v>
      </c>
      <c r="H955" s="50">
        <v>2</v>
      </c>
      <c r="I955" s="100">
        <v>6.7391919697301583</v>
      </c>
      <c r="J955" s="52">
        <v>3834.68</v>
      </c>
      <c r="K955" s="67">
        <f t="shared" si="60"/>
        <v>101070.58327497823</v>
      </c>
      <c r="L955" s="95">
        <f>+VLOOKUP(E955,MARGEN!A:B,2,FALSE)</f>
        <v>0.1</v>
      </c>
      <c r="M955" s="112">
        <f t="shared" si="57"/>
        <v>10107.058327497823</v>
      </c>
      <c r="N955" s="113">
        <f t="shared" si="58"/>
        <v>404.28233309991293</v>
      </c>
      <c r="O955" s="113">
        <f t="shared" si="59"/>
        <v>90559.242614380491</v>
      </c>
    </row>
    <row r="956" spans="1:15" x14ac:dyDescent="0.25">
      <c r="A956" s="13">
        <v>44447</v>
      </c>
      <c r="B956" s="97">
        <v>3815</v>
      </c>
      <c r="C956" s="88" t="s">
        <v>249</v>
      </c>
      <c r="D956" t="s">
        <v>334</v>
      </c>
      <c r="E956" t="s">
        <v>45</v>
      </c>
      <c r="F956" t="s">
        <v>558</v>
      </c>
      <c r="G956" s="50" t="s">
        <v>559</v>
      </c>
      <c r="H956" s="50">
        <v>2</v>
      </c>
      <c r="I956" s="100">
        <v>6.7391919697301583</v>
      </c>
      <c r="J956" s="52">
        <v>3834.68</v>
      </c>
      <c r="K956" s="67">
        <f t="shared" si="60"/>
        <v>98589.68938737968</v>
      </c>
      <c r="L956" s="95">
        <f>+VLOOKUP(E956,MARGEN!A:B,2,FALSE)</f>
        <v>0.1</v>
      </c>
      <c r="M956" s="112">
        <f t="shared" si="57"/>
        <v>9858.9689387379694</v>
      </c>
      <c r="N956" s="113">
        <f t="shared" si="58"/>
        <v>394.35875754951871</v>
      </c>
      <c r="O956" s="113">
        <f t="shared" si="59"/>
        <v>88336.361691092199</v>
      </c>
    </row>
    <row r="957" spans="1:15" x14ac:dyDescent="0.25">
      <c r="A957" s="13">
        <v>44447</v>
      </c>
      <c r="B957" s="97">
        <v>3815</v>
      </c>
      <c r="C957" t="s">
        <v>249</v>
      </c>
      <c r="D957" s="94" t="s">
        <v>334</v>
      </c>
      <c r="E957" t="s">
        <v>45</v>
      </c>
      <c r="F957" t="s">
        <v>558</v>
      </c>
      <c r="G957" s="50" t="s">
        <v>559</v>
      </c>
      <c r="H957" s="50">
        <v>2</v>
      </c>
      <c r="I957" s="100">
        <v>6.7391919697301583</v>
      </c>
      <c r="J957" s="52">
        <v>3834.68</v>
      </c>
      <c r="K957" s="67">
        <f t="shared" si="60"/>
        <v>98589.68938737968</v>
      </c>
      <c r="L957" s="95">
        <f>+VLOOKUP(E957,MARGEN!A:B,2,FALSE)</f>
        <v>0.1</v>
      </c>
      <c r="M957" s="112">
        <f t="shared" si="57"/>
        <v>9858.9689387379694</v>
      </c>
      <c r="N957" s="113">
        <f t="shared" si="58"/>
        <v>394.35875754951871</v>
      </c>
      <c r="O957" s="113">
        <f t="shared" si="59"/>
        <v>88336.361691092199</v>
      </c>
    </row>
    <row r="958" spans="1:15" x14ac:dyDescent="0.25">
      <c r="A958" s="13">
        <v>44447</v>
      </c>
      <c r="B958" s="97">
        <v>3143</v>
      </c>
      <c r="C958" t="s">
        <v>277</v>
      </c>
      <c r="D958" s="94" t="s">
        <v>513</v>
      </c>
      <c r="E958" t="s">
        <v>45</v>
      </c>
      <c r="F958" t="s">
        <v>558</v>
      </c>
      <c r="G958" s="50" t="s">
        <v>559</v>
      </c>
      <c r="H958" s="50">
        <v>2</v>
      </c>
      <c r="I958" s="100">
        <v>6.7391919697301583</v>
      </c>
      <c r="J958" s="52">
        <v>3834.68</v>
      </c>
      <c r="K958" s="67">
        <f t="shared" si="60"/>
        <v>81223.43217418986</v>
      </c>
      <c r="L958" s="95">
        <f>+VLOOKUP(E958,MARGEN!A:B,2,FALSE)</f>
        <v>0.1</v>
      </c>
      <c r="M958" s="112">
        <f t="shared" si="57"/>
        <v>8122.3432174189866</v>
      </c>
      <c r="N958" s="113">
        <f t="shared" si="58"/>
        <v>324.89372869675947</v>
      </c>
      <c r="O958" s="113">
        <f t="shared" si="59"/>
        <v>72776.195228074124</v>
      </c>
    </row>
    <row r="959" spans="1:15" x14ac:dyDescent="0.25">
      <c r="A959" s="13">
        <v>44447</v>
      </c>
      <c r="B959" s="97">
        <v>3143</v>
      </c>
      <c r="C959" t="s">
        <v>277</v>
      </c>
      <c r="D959" s="94" t="s">
        <v>513</v>
      </c>
      <c r="E959" t="s">
        <v>45</v>
      </c>
      <c r="F959" t="s">
        <v>558</v>
      </c>
      <c r="G959" s="50" t="s">
        <v>559</v>
      </c>
      <c r="H959" s="50">
        <v>2</v>
      </c>
      <c r="I959" s="100">
        <v>6.7391919697301583</v>
      </c>
      <c r="J959" s="52">
        <v>3834.68</v>
      </c>
      <c r="K959" s="67">
        <f t="shared" si="60"/>
        <v>81223.43217418986</v>
      </c>
      <c r="L959" s="95">
        <f>+VLOOKUP(E959,MARGEN!A:B,2,FALSE)</f>
        <v>0.1</v>
      </c>
      <c r="M959" s="112">
        <f t="shared" si="57"/>
        <v>8122.3432174189866</v>
      </c>
      <c r="N959" s="113">
        <f t="shared" si="58"/>
        <v>324.89372869675947</v>
      </c>
      <c r="O959" s="113">
        <f t="shared" si="59"/>
        <v>72776.195228074124</v>
      </c>
    </row>
    <row r="960" spans="1:15" x14ac:dyDescent="0.25">
      <c r="A960" s="13">
        <v>44447</v>
      </c>
      <c r="B960" s="97">
        <v>2855</v>
      </c>
      <c r="C960" t="s">
        <v>268</v>
      </c>
      <c r="D960" s="94" t="s">
        <v>514</v>
      </c>
      <c r="E960" t="s">
        <v>45</v>
      </c>
      <c r="F960" t="s">
        <v>562</v>
      </c>
      <c r="G960" s="50" t="s">
        <v>559</v>
      </c>
      <c r="H960" s="50">
        <v>2</v>
      </c>
      <c r="I960" s="100">
        <v>6.7391919697301583</v>
      </c>
      <c r="J960" s="52">
        <v>3834.68</v>
      </c>
      <c r="K960" s="67">
        <f t="shared" si="60"/>
        <v>73780.750511394232</v>
      </c>
      <c r="L960" s="95">
        <f>+VLOOKUP(E960,MARGEN!A:B,2,FALSE)</f>
        <v>0.1</v>
      </c>
      <c r="M960" s="112">
        <f t="shared" si="57"/>
        <v>7378.0750511394235</v>
      </c>
      <c r="N960" s="113">
        <f t="shared" si="58"/>
        <v>295.12300204557692</v>
      </c>
      <c r="O960" s="113">
        <f t="shared" si="59"/>
        <v>66107.552458209218</v>
      </c>
    </row>
    <row r="961" spans="1:15" x14ac:dyDescent="0.25">
      <c r="A961" s="13">
        <v>44447</v>
      </c>
      <c r="B961" s="97">
        <v>2855</v>
      </c>
      <c r="C961" t="s">
        <v>268</v>
      </c>
      <c r="D961" s="94" t="s">
        <v>514</v>
      </c>
      <c r="E961" t="s">
        <v>45</v>
      </c>
      <c r="F961" t="s">
        <v>562</v>
      </c>
      <c r="G961" s="50" t="s">
        <v>559</v>
      </c>
      <c r="H961" s="50">
        <v>2</v>
      </c>
      <c r="I961" s="100">
        <v>6.7391919697301583</v>
      </c>
      <c r="J961" s="52">
        <v>3834.68</v>
      </c>
      <c r="K961" s="67">
        <f t="shared" si="60"/>
        <v>73780.750511394232</v>
      </c>
      <c r="L961" s="95">
        <f>+VLOOKUP(E961,MARGEN!A:B,2,FALSE)</f>
        <v>0.1</v>
      </c>
      <c r="M961" s="112">
        <f t="shared" si="57"/>
        <v>7378.0750511394235</v>
      </c>
      <c r="N961" s="113">
        <f t="shared" si="58"/>
        <v>295.12300204557692</v>
      </c>
      <c r="O961" s="113">
        <f t="shared" si="59"/>
        <v>66107.552458209218</v>
      </c>
    </row>
    <row r="962" spans="1:15" x14ac:dyDescent="0.25">
      <c r="A962" s="13">
        <v>44447</v>
      </c>
      <c r="B962" s="97">
        <v>2807</v>
      </c>
      <c r="C962" t="s">
        <v>178</v>
      </c>
      <c r="D962" s="94" t="s">
        <v>370</v>
      </c>
      <c r="E962" t="s">
        <v>45</v>
      </c>
      <c r="F962" t="s">
        <v>562</v>
      </c>
      <c r="G962" s="50" t="s">
        <v>559</v>
      </c>
      <c r="H962" s="50">
        <v>2</v>
      </c>
      <c r="I962" s="100">
        <v>6.7391919697301583</v>
      </c>
      <c r="J962" s="52">
        <v>3834.68</v>
      </c>
      <c r="K962" s="67">
        <f t="shared" si="60"/>
        <v>72540.303567594965</v>
      </c>
      <c r="L962" s="95">
        <f>+VLOOKUP(E962,MARGEN!A:B,2,FALSE)</f>
        <v>0.1</v>
      </c>
      <c r="M962" s="112">
        <f t="shared" si="57"/>
        <v>7254.0303567594965</v>
      </c>
      <c r="N962" s="113">
        <f t="shared" si="58"/>
        <v>290.16121427037984</v>
      </c>
      <c r="O962" s="113">
        <f t="shared" si="59"/>
        <v>64996.111996565087</v>
      </c>
    </row>
    <row r="963" spans="1:15" x14ac:dyDescent="0.25">
      <c r="A963" s="13">
        <v>44447</v>
      </c>
      <c r="B963" s="97">
        <v>2807</v>
      </c>
      <c r="C963" t="s">
        <v>178</v>
      </c>
      <c r="D963" s="94" t="s">
        <v>370</v>
      </c>
      <c r="E963" t="s">
        <v>45</v>
      </c>
      <c r="F963" t="s">
        <v>562</v>
      </c>
      <c r="G963" s="50" t="s">
        <v>559</v>
      </c>
      <c r="H963" s="50">
        <v>2</v>
      </c>
      <c r="I963" s="100">
        <v>6.7391919697301583</v>
      </c>
      <c r="J963" s="52">
        <v>3834.68</v>
      </c>
      <c r="K963" s="67">
        <f t="shared" si="60"/>
        <v>72540.303567594965</v>
      </c>
      <c r="L963" s="95">
        <f>+VLOOKUP(E963,MARGEN!A:B,2,FALSE)</f>
        <v>0.1</v>
      </c>
      <c r="M963" s="112">
        <f t="shared" ref="M963:M1026" si="61">+K963*L963</f>
        <v>7254.0303567594965</v>
      </c>
      <c r="N963" s="113">
        <f t="shared" ref="N963:N1026" si="62">+K963*4/1000</f>
        <v>290.16121427037984</v>
      </c>
      <c r="O963" s="113">
        <f t="shared" ref="O963:O1026" si="63">+K963-M963-N963</f>
        <v>64996.111996565087</v>
      </c>
    </row>
    <row r="964" spans="1:15" x14ac:dyDescent="0.25">
      <c r="A964" s="13">
        <v>44447</v>
      </c>
      <c r="B964" s="97">
        <v>2183</v>
      </c>
      <c r="C964" t="s">
        <v>560</v>
      </c>
      <c r="D964" s="94" t="s">
        <v>561</v>
      </c>
      <c r="E964" t="s">
        <v>45</v>
      </c>
      <c r="F964" t="s">
        <v>558</v>
      </c>
      <c r="G964" s="50" t="s">
        <v>559</v>
      </c>
      <c r="H964" s="50">
        <v>2</v>
      </c>
      <c r="I964" s="100">
        <v>6.7391919697301583</v>
      </c>
      <c r="J964" s="52">
        <v>3834.68</v>
      </c>
      <c r="K964" s="67">
        <f t="shared" si="60"/>
        <v>56414.493298204405</v>
      </c>
      <c r="L964" s="95">
        <f>+VLOOKUP(E964,MARGEN!A:B,2,FALSE)</f>
        <v>0.1</v>
      </c>
      <c r="M964" s="112">
        <f t="shared" si="61"/>
        <v>5641.4493298204407</v>
      </c>
      <c r="N964" s="113">
        <f t="shared" si="62"/>
        <v>225.65797319281762</v>
      </c>
      <c r="O964" s="113">
        <f t="shared" si="63"/>
        <v>50547.385995191151</v>
      </c>
    </row>
    <row r="965" spans="1:15" x14ac:dyDescent="0.25">
      <c r="A965" s="13">
        <v>44447</v>
      </c>
      <c r="B965" s="97">
        <v>2183</v>
      </c>
      <c r="C965" t="s">
        <v>560</v>
      </c>
      <c r="D965" s="94" t="s">
        <v>561</v>
      </c>
      <c r="E965" t="s">
        <v>45</v>
      </c>
      <c r="F965" t="s">
        <v>558</v>
      </c>
      <c r="G965" s="50" t="s">
        <v>559</v>
      </c>
      <c r="H965" s="50">
        <v>2</v>
      </c>
      <c r="I965" s="100">
        <v>6.7391919697301583</v>
      </c>
      <c r="J965" s="52">
        <v>3834.68</v>
      </c>
      <c r="K965" s="67">
        <f t="shared" si="60"/>
        <v>56414.493298204405</v>
      </c>
      <c r="L965" s="95">
        <f>+VLOOKUP(E965,MARGEN!A:B,2,FALSE)</f>
        <v>0.1</v>
      </c>
      <c r="M965" s="112">
        <f t="shared" si="61"/>
        <v>5641.4493298204407</v>
      </c>
      <c r="N965" s="113">
        <f t="shared" si="62"/>
        <v>225.65797319281762</v>
      </c>
      <c r="O965" s="113">
        <f t="shared" si="63"/>
        <v>50547.385995191151</v>
      </c>
    </row>
    <row r="966" spans="1:15" x14ac:dyDescent="0.25">
      <c r="A966" s="13">
        <v>44447</v>
      </c>
      <c r="B966" s="97">
        <v>2087</v>
      </c>
      <c r="C966" t="s">
        <v>92</v>
      </c>
      <c r="D966" s="94" t="s">
        <v>490</v>
      </c>
      <c r="E966" t="s">
        <v>45</v>
      </c>
      <c r="F966" t="s">
        <v>558</v>
      </c>
      <c r="G966" s="50" t="s">
        <v>559</v>
      </c>
      <c r="H966" s="50">
        <v>2</v>
      </c>
      <c r="I966" s="100">
        <v>6.7391919697301583</v>
      </c>
      <c r="J966" s="52">
        <v>3834.68</v>
      </c>
      <c r="K966" s="67">
        <f t="shared" si="60"/>
        <v>53933.599410605872</v>
      </c>
      <c r="L966" s="95">
        <f>+VLOOKUP(E966,MARGEN!A:B,2,FALSE)</f>
        <v>0.1</v>
      </c>
      <c r="M966" s="112">
        <f t="shared" si="61"/>
        <v>5393.3599410605875</v>
      </c>
      <c r="N966" s="113">
        <f t="shared" si="62"/>
        <v>215.73439764242349</v>
      </c>
      <c r="O966" s="113">
        <f t="shared" si="63"/>
        <v>48324.505071902859</v>
      </c>
    </row>
    <row r="967" spans="1:15" x14ac:dyDescent="0.25">
      <c r="A967" s="13">
        <v>44447</v>
      </c>
      <c r="B967" s="97">
        <v>2063</v>
      </c>
      <c r="C967" t="s">
        <v>92</v>
      </c>
      <c r="D967" s="94" t="s">
        <v>490</v>
      </c>
      <c r="E967" t="s">
        <v>45</v>
      </c>
      <c r="F967" t="s">
        <v>558</v>
      </c>
      <c r="G967" s="50" t="s">
        <v>559</v>
      </c>
      <c r="H967" s="50">
        <v>2</v>
      </c>
      <c r="I967" s="100">
        <v>6.7391919697301583</v>
      </c>
      <c r="J967" s="52">
        <v>3834.68</v>
      </c>
      <c r="K967" s="67">
        <f t="shared" si="60"/>
        <v>53313.375938706224</v>
      </c>
      <c r="L967" s="95">
        <f>+VLOOKUP(E967,MARGEN!A:B,2,FALSE)</f>
        <v>0.1</v>
      </c>
      <c r="M967" s="112">
        <f t="shared" si="61"/>
        <v>5331.3375938706231</v>
      </c>
      <c r="N967" s="113">
        <f t="shared" si="62"/>
        <v>213.25350375482489</v>
      </c>
      <c r="O967" s="113">
        <f t="shared" si="63"/>
        <v>47768.784841080778</v>
      </c>
    </row>
    <row r="968" spans="1:15" x14ac:dyDescent="0.25">
      <c r="A968" s="13">
        <v>44447</v>
      </c>
      <c r="B968" s="97">
        <v>1727</v>
      </c>
      <c r="C968" t="s">
        <v>190</v>
      </c>
      <c r="D968" t="s">
        <v>356</v>
      </c>
      <c r="E968" t="s">
        <v>45</v>
      </c>
      <c r="F968" t="s">
        <v>558</v>
      </c>
      <c r="G968" s="50" t="s">
        <v>559</v>
      </c>
      <c r="H968" s="50">
        <v>2</v>
      </c>
      <c r="I968" s="100">
        <v>6.7391919697301583</v>
      </c>
      <c r="J968" s="52">
        <v>3834.68</v>
      </c>
      <c r="K968" s="67">
        <f t="shared" si="60"/>
        <v>44630.247332111321</v>
      </c>
      <c r="L968" s="95">
        <f>+VLOOKUP(E968,MARGEN!A:B,2,FALSE)</f>
        <v>0.1</v>
      </c>
      <c r="M968" s="112">
        <f t="shared" si="61"/>
        <v>4463.0247332111321</v>
      </c>
      <c r="N968" s="113">
        <f t="shared" si="62"/>
        <v>178.5209893284453</v>
      </c>
      <c r="O968" s="113">
        <f t="shared" si="63"/>
        <v>39988.701609571741</v>
      </c>
    </row>
    <row r="969" spans="1:15" x14ac:dyDescent="0.25">
      <c r="A969" s="13">
        <v>44447</v>
      </c>
      <c r="B969" s="97">
        <v>1727</v>
      </c>
      <c r="C969" t="s">
        <v>190</v>
      </c>
      <c r="D969" s="94" t="s">
        <v>356</v>
      </c>
      <c r="E969" t="s">
        <v>45</v>
      </c>
      <c r="F969" t="s">
        <v>558</v>
      </c>
      <c r="G969" s="50" t="s">
        <v>559</v>
      </c>
      <c r="H969" s="50">
        <v>2</v>
      </c>
      <c r="I969" s="100">
        <v>6.7391919697301583</v>
      </c>
      <c r="J969" s="52">
        <v>3834.68</v>
      </c>
      <c r="K969" s="67">
        <f t="shared" ref="K969:K1032" si="64">+B969*I969*J969/1000</f>
        <v>44630.247332111321</v>
      </c>
      <c r="L969" s="95">
        <f>+VLOOKUP(E969,MARGEN!A:B,2,FALSE)</f>
        <v>0.1</v>
      </c>
      <c r="M969" s="112">
        <f t="shared" si="61"/>
        <v>4463.0247332111321</v>
      </c>
      <c r="N969" s="113">
        <f t="shared" si="62"/>
        <v>178.5209893284453</v>
      </c>
      <c r="O969" s="113">
        <f t="shared" si="63"/>
        <v>39988.701609571741</v>
      </c>
    </row>
    <row r="970" spans="1:15" x14ac:dyDescent="0.25">
      <c r="A970" s="13">
        <v>44447</v>
      </c>
      <c r="B970" s="97">
        <v>1391</v>
      </c>
      <c r="C970" t="s">
        <v>107</v>
      </c>
      <c r="D970" s="94" t="s">
        <v>346</v>
      </c>
      <c r="E970" t="s">
        <v>45</v>
      </c>
      <c r="F970" t="s">
        <v>558</v>
      </c>
      <c r="G970" s="50" t="s">
        <v>559</v>
      </c>
      <c r="H970" s="50">
        <v>2</v>
      </c>
      <c r="I970" s="100">
        <v>6.7391919697301583</v>
      </c>
      <c r="J970" s="52">
        <v>3834.68</v>
      </c>
      <c r="K970" s="67">
        <f t="shared" si="64"/>
        <v>35947.118725516419</v>
      </c>
      <c r="L970" s="95">
        <f>+VLOOKUP(E970,MARGEN!A:B,2,FALSE)</f>
        <v>0.1</v>
      </c>
      <c r="M970" s="112">
        <f t="shared" si="61"/>
        <v>3594.711872551642</v>
      </c>
      <c r="N970" s="113">
        <f t="shared" si="62"/>
        <v>143.78847490206567</v>
      </c>
      <c r="O970" s="113">
        <f t="shared" si="63"/>
        <v>32208.618378062711</v>
      </c>
    </row>
    <row r="971" spans="1:15" x14ac:dyDescent="0.25">
      <c r="A971" s="13">
        <v>44447</v>
      </c>
      <c r="B971" s="97">
        <v>1391</v>
      </c>
      <c r="C971" t="s">
        <v>107</v>
      </c>
      <c r="D971" s="94" t="s">
        <v>346</v>
      </c>
      <c r="E971" t="s">
        <v>45</v>
      </c>
      <c r="F971" t="s">
        <v>558</v>
      </c>
      <c r="G971" s="50" t="s">
        <v>559</v>
      </c>
      <c r="H971" s="50">
        <v>2</v>
      </c>
      <c r="I971" s="100">
        <v>6.7391919697301583</v>
      </c>
      <c r="J971" s="52">
        <v>3834.68</v>
      </c>
      <c r="K971" s="67">
        <f t="shared" si="64"/>
        <v>35947.118725516419</v>
      </c>
      <c r="L971" s="95">
        <f>+VLOOKUP(E971,MARGEN!A:B,2,FALSE)</f>
        <v>0.1</v>
      </c>
      <c r="M971" s="112">
        <f t="shared" si="61"/>
        <v>3594.711872551642</v>
      </c>
      <c r="N971" s="113">
        <f t="shared" si="62"/>
        <v>143.78847490206567</v>
      </c>
      <c r="O971" s="113">
        <f t="shared" si="63"/>
        <v>32208.618378062711</v>
      </c>
    </row>
    <row r="972" spans="1:15" x14ac:dyDescent="0.25">
      <c r="A972" s="13">
        <v>44448</v>
      </c>
      <c r="B972" s="97">
        <v>16341</v>
      </c>
      <c r="C972" t="s">
        <v>78</v>
      </c>
      <c r="D972" s="94" t="s">
        <v>412</v>
      </c>
      <c r="E972" t="s">
        <v>45</v>
      </c>
      <c r="F972" t="s">
        <v>558</v>
      </c>
      <c r="G972" s="50" t="s">
        <v>559</v>
      </c>
      <c r="H972" s="50">
        <v>2</v>
      </c>
      <c r="I972" s="100">
        <v>6.7391919697301583</v>
      </c>
      <c r="J972" s="52">
        <v>3834.68</v>
      </c>
      <c r="K972" s="67">
        <f t="shared" si="64"/>
        <v>422294.65642966487</v>
      </c>
      <c r="L972" s="95">
        <f>+VLOOKUP(E972,MARGEN!A:B,2,FALSE)</f>
        <v>0.1</v>
      </c>
      <c r="M972" s="112">
        <f t="shared" si="61"/>
        <v>42229.46564296649</v>
      </c>
      <c r="N972" s="113">
        <f t="shared" si="62"/>
        <v>1689.1786257186595</v>
      </c>
      <c r="O972" s="113">
        <f t="shared" si="63"/>
        <v>378376.01216097974</v>
      </c>
    </row>
    <row r="973" spans="1:15" x14ac:dyDescent="0.25">
      <c r="A973" s="13">
        <v>44448</v>
      </c>
      <c r="B973" s="97">
        <v>16341</v>
      </c>
      <c r="C973" t="s">
        <v>78</v>
      </c>
      <c r="D973" s="94" t="s">
        <v>412</v>
      </c>
      <c r="E973" t="s">
        <v>45</v>
      </c>
      <c r="F973" t="s">
        <v>558</v>
      </c>
      <c r="G973" s="50" t="s">
        <v>559</v>
      </c>
      <c r="H973" s="50">
        <v>2</v>
      </c>
      <c r="I973" s="100">
        <v>6.7391919697301583</v>
      </c>
      <c r="J973" s="52">
        <v>3834.68</v>
      </c>
      <c r="K973" s="67">
        <f t="shared" si="64"/>
        <v>422294.65642966487</v>
      </c>
      <c r="L973" s="95">
        <f>+VLOOKUP(E973,MARGEN!A:B,2,FALSE)</f>
        <v>0.1</v>
      </c>
      <c r="M973" s="112">
        <f t="shared" si="61"/>
        <v>42229.46564296649</v>
      </c>
      <c r="N973" s="113">
        <f t="shared" si="62"/>
        <v>1689.1786257186595</v>
      </c>
      <c r="O973" s="113">
        <f t="shared" si="63"/>
        <v>378376.01216097974</v>
      </c>
    </row>
    <row r="974" spans="1:15" x14ac:dyDescent="0.25">
      <c r="A974" s="13">
        <v>44448</v>
      </c>
      <c r="B974" s="97">
        <v>9933</v>
      </c>
      <c r="C974" t="s">
        <v>95</v>
      </c>
      <c r="D974" s="94" t="s">
        <v>510</v>
      </c>
      <c r="E974" t="s">
        <v>45</v>
      </c>
      <c r="F974" t="s">
        <v>562</v>
      </c>
      <c r="G974" s="50" t="s">
        <v>559</v>
      </c>
      <c r="H974" s="50">
        <v>2</v>
      </c>
      <c r="I974" s="100">
        <v>6.7391919697301583</v>
      </c>
      <c r="J974" s="52">
        <v>3834.68</v>
      </c>
      <c r="K974" s="67">
        <f t="shared" si="64"/>
        <v>256694.98943246197</v>
      </c>
      <c r="L974" s="95">
        <f>+VLOOKUP(E974,MARGEN!A:B,2,FALSE)</f>
        <v>0.1</v>
      </c>
      <c r="M974" s="112">
        <f t="shared" si="61"/>
        <v>25669.498943246199</v>
      </c>
      <c r="N974" s="113">
        <f t="shared" si="62"/>
        <v>1026.7799577298479</v>
      </c>
      <c r="O974" s="113">
        <f t="shared" si="63"/>
        <v>229998.71053148591</v>
      </c>
    </row>
    <row r="975" spans="1:15" x14ac:dyDescent="0.25">
      <c r="A975" s="13">
        <v>44448</v>
      </c>
      <c r="B975" s="97">
        <v>7534</v>
      </c>
      <c r="C975" t="s">
        <v>179</v>
      </c>
      <c r="D975" s="94" t="s">
        <v>361</v>
      </c>
      <c r="E975" t="s">
        <v>45</v>
      </c>
      <c r="F975" t="s">
        <v>562</v>
      </c>
      <c r="G975" s="50" t="s">
        <v>559</v>
      </c>
      <c r="H975" s="50">
        <v>2</v>
      </c>
      <c r="I975" s="100">
        <v>6.7391919697301583</v>
      </c>
      <c r="J975" s="52">
        <v>3834.68</v>
      </c>
      <c r="K975" s="67">
        <f t="shared" si="64"/>
        <v>194698.4848871608</v>
      </c>
      <c r="L975" s="95">
        <f>+VLOOKUP(E975,MARGEN!A:B,2,FALSE)</f>
        <v>0.1</v>
      </c>
      <c r="M975" s="112">
        <f t="shared" si="61"/>
        <v>19469.848488716081</v>
      </c>
      <c r="N975" s="113">
        <f t="shared" si="62"/>
        <v>778.79393954864315</v>
      </c>
      <c r="O975" s="113">
        <f t="shared" si="63"/>
        <v>174449.84245889608</v>
      </c>
    </row>
    <row r="976" spans="1:15" x14ac:dyDescent="0.25">
      <c r="A976" s="13">
        <v>44448</v>
      </c>
      <c r="B976" s="97">
        <v>7534</v>
      </c>
      <c r="C976" t="s">
        <v>179</v>
      </c>
      <c r="D976" s="94" t="s">
        <v>361</v>
      </c>
      <c r="E976" t="s">
        <v>45</v>
      </c>
      <c r="F976" t="s">
        <v>562</v>
      </c>
      <c r="G976" s="50" t="s">
        <v>559</v>
      </c>
      <c r="H976" s="50">
        <v>2</v>
      </c>
      <c r="I976" s="100">
        <v>6.7391919697301583</v>
      </c>
      <c r="J976" s="52">
        <v>3834.68</v>
      </c>
      <c r="K976" s="67">
        <f t="shared" si="64"/>
        <v>194698.4848871608</v>
      </c>
      <c r="L976" s="95">
        <f>+VLOOKUP(E976,MARGEN!A:B,2,FALSE)</f>
        <v>0.1</v>
      </c>
      <c r="M976" s="112">
        <f t="shared" si="61"/>
        <v>19469.848488716081</v>
      </c>
      <c r="N976" s="113">
        <f t="shared" si="62"/>
        <v>778.79393954864315</v>
      </c>
      <c r="O976" s="113">
        <f t="shared" si="63"/>
        <v>174449.84245889608</v>
      </c>
    </row>
    <row r="977" spans="1:15" x14ac:dyDescent="0.25">
      <c r="A977" s="13">
        <v>44448</v>
      </c>
      <c r="B977" s="97">
        <v>5639</v>
      </c>
      <c r="C977" t="s">
        <v>275</v>
      </c>
      <c r="D977" s="94" t="s">
        <v>519</v>
      </c>
      <c r="E977" t="s">
        <v>45</v>
      </c>
      <c r="F977" t="s">
        <v>558</v>
      </c>
      <c r="G977" s="50" t="s">
        <v>559</v>
      </c>
      <c r="H977" s="50">
        <v>2</v>
      </c>
      <c r="I977" s="100">
        <v>6.7391919697301583</v>
      </c>
      <c r="J977" s="52">
        <v>3834.68</v>
      </c>
      <c r="K977" s="67">
        <f t="shared" si="64"/>
        <v>145726.67325175201</v>
      </c>
      <c r="L977" s="95">
        <f>+VLOOKUP(E977,MARGEN!A:B,2,FALSE)</f>
        <v>0.1</v>
      </c>
      <c r="M977" s="112">
        <f t="shared" si="61"/>
        <v>14572.667325175202</v>
      </c>
      <c r="N977" s="113">
        <f t="shared" si="62"/>
        <v>582.90669300700802</v>
      </c>
      <c r="O977" s="113">
        <f t="shared" si="63"/>
        <v>130571.09923356981</v>
      </c>
    </row>
    <row r="978" spans="1:15" x14ac:dyDescent="0.25">
      <c r="A978" s="13">
        <v>44448</v>
      </c>
      <c r="B978" s="97">
        <v>5639</v>
      </c>
      <c r="C978" t="s">
        <v>275</v>
      </c>
      <c r="D978" s="94" t="s">
        <v>519</v>
      </c>
      <c r="E978" t="s">
        <v>45</v>
      </c>
      <c r="F978" t="s">
        <v>558</v>
      </c>
      <c r="G978" s="50" t="s">
        <v>559</v>
      </c>
      <c r="H978" s="50">
        <v>2</v>
      </c>
      <c r="I978" s="100">
        <v>6.7391919697301583</v>
      </c>
      <c r="J978" s="52">
        <v>3834.68</v>
      </c>
      <c r="K978" s="67">
        <f t="shared" si="64"/>
        <v>145726.67325175201</v>
      </c>
      <c r="L978" s="95">
        <f>+VLOOKUP(E978,MARGEN!A:B,2,FALSE)</f>
        <v>0.1</v>
      </c>
      <c r="M978" s="112">
        <f t="shared" si="61"/>
        <v>14572.667325175202</v>
      </c>
      <c r="N978" s="113">
        <f t="shared" si="62"/>
        <v>582.90669300700802</v>
      </c>
      <c r="O978" s="113">
        <f t="shared" si="63"/>
        <v>130571.09923356981</v>
      </c>
    </row>
    <row r="979" spans="1:15" x14ac:dyDescent="0.25">
      <c r="A979" s="13">
        <v>44448</v>
      </c>
      <c r="B979" s="97">
        <v>5543</v>
      </c>
      <c r="C979" t="s">
        <v>116</v>
      </c>
      <c r="D979" s="94" t="s">
        <v>330</v>
      </c>
      <c r="E979" t="s">
        <v>45</v>
      </c>
      <c r="F979" t="s">
        <v>558</v>
      </c>
      <c r="G979" s="50" t="s">
        <v>559</v>
      </c>
      <c r="H979" s="50">
        <v>2</v>
      </c>
      <c r="I979" s="100">
        <v>6.7391919697301583</v>
      </c>
      <c r="J979" s="52">
        <v>3834.68</v>
      </c>
      <c r="K979" s="67">
        <f t="shared" si="64"/>
        <v>143245.77936415351</v>
      </c>
      <c r="L979" s="95">
        <f>+VLOOKUP(E979,MARGEN!A:B,2,FALSE)</f>
        <v>0.1</v>
      </c>
      <c r="M979" s="112">
        <f t="shared" si="61"/>
        <v>14324.577936415351</v>
      </c>
      <c r="N979" s="113">
        <f t="shared" si="62"/>
        <v>572.98311745661408</v>
      </c>
      <c r="O979" s="113">
        <f t="shared" si="63"/>
        <v>128348.21831028153</v>
      </c>
    </row>
    <row r="980" spans="1:15" x14ac:dyDescent="0.25">
      <c r="A980" s="13">
        <v>44448</v>
      </c>
      <c r="B980" s="97">
        <v>5543</v>
      </c>
      <c r="C980" t="s">
        <v>116</v>
      </c>
      <c r="D980" s="94" t="s">
        <v>330</v>
      </c>
      <c r="E980" t="s">
        <v>45</v>
      </c>
      <c r="F980" t="s">
        <v>558</v>
      </c>
      <c r="G980" s="50" t="s">
        <v>559</v>
      </c>
      <c r="H980" s="50">
        <v>2</v>
      </c>
      <c r="I980" s="100">
        <v>6.7391919697301583</v>
      </c>
      <c r="J980" s="52">
        <v>3834.68</v>
      </c>
      <c r="K980" s="67">
        <f t="shared" si="64"/>
        <v>143245.77936415351</v>
      </c>
      <c r="L980" s="95">
        <f>+VLOOKUP(E980,MARGEN!A:B,2,FALSE)</f>
        <v>0.1</v>
      </c>
      <c r="M980" s="112">
        <f t="shared" si="61"/>
        <v>14324.577936415351</v>
      </c>
      <c r="N980" s="113">
        <f t="shared" si="62"/>
        <v>572.98311745661408</v>
      </c>
      <c r="O980" s="113">
        <f t="shared" si="63"/>
        <v>128348.21831028153</v>
      </c>
    </row>
    <row r="981" spans="1:15" x14ac:dyDescent="0.25">
      <c r="A981" s="13">
        <v>44448</v>
      </c>
      <c r="B981" s="97">
        <v>4175</v>
      </c>
      <c r="C981" t="s">
        <v>276</v>
      </c>
      <c r="D981" s="94" t="s">
        <v>512</v>
      </c>
      <c r="E981" t="s">
        <v>45</v>
      </c>
      <c r="F981" t="s">
        <v>562</v>
      </c>
      <c r="G981" s="50" t="s">
        <v>559</v>
      </c>
      <c r="H981" s="50">
        <v>2</v>
      </c>
      <c r="I981" s="100">
        <v>6.7391919697301583</v>
      </c>
      <c r="J981" s="52">
        <v>3834.68</v>
      </c>
      <c r="K981" s="67">
        <f t="shared" si="64"/>
        <v>107893.04146587422</v>
      </c>
      <c r="L981" s="95">
        <f>+VLOOKUP(E981,MARGEN!A:B,2,FALSE)</f>
        <v>0.1</v>
      </c>
      <c r="M981" s="112">
        <f t="shared" si="61"/>
        <v>10789.304146587423</v>
      </c>
      <c r="N981" s="113">
        <f t="shared" si="62"/>
        <v>431.57216586349688</v>
      </c>
      <c r="O981" s="113">
        <f t="shared" si="63"/>
        <v>96672.165153423295</v>
      </c>
    </row>
    <row r="982" spans="1:15" x14ac:dyDescent="0.25">
      <c r="A982" s="13">
        <v>44448</v>
      </c>
      <c r="B982" s="97">
        <v>4175</v>
      </c>
      <c r="C982" t="s">
        <v>276</v>
      </c>
      <c r="D982" s="94" t="s">
        <v>512</v>
      </c>
      <c r="E982" t="s">
        <v>45</v>
      </c>
      <c r="F982" t="s">
        <v>566</v>
      </c>
      <c r="G982" s="50" t="s">
        <v>559</v>
      </c>
      <c r="H982" s="50">
        <v>2</v>
      </c>
      <c r="I982" s="100">
        <v>6.7391919697301583</v>
      </c>
      <c r="J982" s="52">
        <v>3834.68</v>
      </c>
      <c r="K982" s="67">
        <f t="shared" si="64"/>
        <v>107893.04146587422</v>
      </c>
      <c r="L982" s="95">
        <f>+VLOOKUP(E982,MARGEN!A:B,2,FALSE)</f>
        <v>0.1</v>
      </c>
      <c r="M982" s="112">
        <f t="shared" si="61"/>
        <v>10789.304146587423</v>
      </c>
      <c r="N982" s="113">
        <f t="shared" si="62"/>
        <v>431.57216586349688</v>
      </c>
      <c r="O982" s="113">
        <f t="shared" si="63"/>
        <v>96672.165153423295</v>
      </c>
    </row>
    <row r="983" spans="1:15" x14ac:dyDescent="0.25">
      <c r="A983" s="13">
        <v>44448</v>
      </c>
      <c r="B983" s="97">
        <v>4127</v>
      </c>
      <c r="C983" t="s">
        <v>235</v>
      </c>
      <c r="D983" s="94" t="s">
        <v>339</v>
      </c>
      <c r="E983" t="s">
        <v>45</v>
      </c>
      <c r="F983" t="s">
        <v>558</v>
      </c>
      <c r="G983" s="50" t="s">
        <v>559</v>
      </c>
      <c r="H983" s="50">
        <v>2</v>
      </c>
      <c r="I983" s="100">
        <v>6.7391919697301583</v>
      </c>
      <c r="J983" s="52">
        <v>3834.68</v>
      </c>
      <c r="K983" s="67">
        <f t="shared" si="64"/>
        <v>106652.59452207494</v>
      </c>
      <c r="L983" s="95">
        <f>+VLOOKUP(E983,MARGEN!A:B,2,FALSE)</f>
        <v>0.1</v>
      </c>
      <c r="M983" s="112">
        <f t="shared" si="61"/>
        <v>10665.259452207494</v>
      </c>
      <c r="N983" s="113">
        <f t="shared" si="62"/>
        <v>426.61037808829974</v>
      </c>
      <c r="O983" s="113">
        <f t="shared" si="63"/>
        <v>95560.724691779149</v>
      </c>
    </row>
    <row r="984" spans="1:15" x14ac:dyDescent="0.25">
      <c r="A984" s="13">
        <v>44448</v>
      </c>
      <c r="B984" s="97">
        <v>4127</v>
      </c>
      <c r="C984" t="s">
        <v>235</v>
      </c>
      <c r="D984" s="94" t="s">
        <v>339</v>
      </c>
      <c r="E984" t="s">
        <v>45</v>
      </c>
      <c r="F984" t="s">
        <v>558</v>
      </c>
      <c r="G984" s="50" t="s">
        <v>559</v>
      </c>
      <c r="H984" s="50">
        <v>2</v>
      </c>
      <c r="I984" s="100">
        <v>6.7391919697301583</v>
      </c>
      <c r="J984" s="52">
        <v>3834.68</v>
      </c>
      <c r="K984" s="67">
        <f t="shared" si="64"/>
        <v>106652.59452207494</v>
      </c>
      <c r="L984" s="95">
        <f>+VLOOKUP(E984,MARGEN!A:B,2,FALSE)</f>
        <v>0.1</v>
      </c>
      <c r="M984" s="112">
        <f t="shared" si="61"/>
        <v>10665.259452207494</v>
      </c>
      <c r="N984" s="113">
        <f t="shared" si="62"/>
        <v>426.61037808829974</v>
      </c>
      <c r="O984" s="113">
        <f t="shared" si="63"/>
        <v>95560.724691779149</v>
      </c>
    </row>
    <row r="985" spans="1:15" x14ac:dyDescent="0.25">
      <c r="A985" s="13">
        <v>44448</v>
      </c>
      <c r="B985" s="97">
        <v>3911</v>
      </c>
      <c r="C985" t="s">
        <v>71</v>
      </c>
      <c r="D985" s="94" t="s">
        <v>337</v>
      </c>
      <c r="E985" t="s">
        <v>45</v>
      </c>
      <c r="F985" t="s">
        <v>562</v>
      </c>
      <c r="G985" s="50" t="s">
        <v>559</v>
      </c>
      <c r="H985" s="50">
        <v>2</v>
      </c>
      <c r="I985" s="100">
        <v>6.7391919697301583</v>
      </c>
      <c r="J985" s="52">
        <v>3834.68</v>
      </c>
      <c r="K985" s="67">
        <f t="shared" si="64"/>
        <v>101070.58327497823</v>
      </c>
      <c r="L985" s="95">
        <f>+VLOOKUP(E985,MARGEN!A:B,2,FALSE)</f>
        <v>0.1</v>
      </c>
      <c r="M985" s="112">
        <f t="shared" si="61"/>
        <v>10107.058327497823</v>
      </c>
      <c r="N985" s="113">
        <f t="shared" si="62"/>
        <v>404.28233309991293</v>
      </c>
      <c r="O985" s="113">
        <f t="shared" si="63"/>
        <v>90559.242614380491</v>
      </c>
    </row>
    <row r="986" spans="1:15" x14ac:dyDescent="0.25">
      <c r="A986" s="13">
        <v>44448</v>
      </c>
      <c r="B986" s="97">
        <v>3911</v>
      </c>
      <c r="C986" t="s">
        <v>71</v>
      </c>
      <c r="D986" s="94" t="s">
        <v>337</v>
      </c>
      <c r="E986" t="s">
        <v>45</v>
      </c>
      <c r="F986" t="s">
        <v>566</v>
      </c>
      <c r="G986" s="50" t="s">
        <v>559</v>
      </c>
      <c r="H986" s="50">
        <v>2</v>
      </c>
      <c r="I986" s="100">
        <v>6.7391919697301583</v>
      </c>
      <c r="J986" s="52">
        <v>3834.68</v>
      </c>
      <c r="K986" s="67">
        <f t="shared" si="64"/>
        <v>101070.58327497823</v>
      </c>
      <c r="L986" s="95">
        <f>+VLOOKUP(E986,MARGEN!A:B,2,FALSE)</f>
        <v>0.1</v>
      </c>
      <c r="M986" s="112">
        <f t="shared" si="61"/>
        <v>10107.058327497823</v>
      </c>
      <c r="N986" s="113">
        <f t="shared" si="62"/>
        <v>404.28233309991293</v>
      </c>
      <c r="O986" s="113">
        <f t="shared" si="63"/>
        <v>90559.242614380491</v>
      </c>
    </row>
    <row r="987" spans="1:15" x14ac:dyDescent="0.25">
      <c r="A987" s="13">
        <v>44448</v>
      </c>
      <c r="B987" s="97">
        <v>3815</v>
      </c>
      <c r="C987" t="s">
        <v>249</v>
      </c>
      <c r="D987" s="94" t="s">
        <v>334</v>
      </c>
      <c r="E987" t="s">
        <v>45</v>
      </c>
      <c r="F987" t="s">
        <v>558</v>
      </c>
      <c r="G987" s="50" t="s">
        <v>559</v>
      </c>
      <c r="H987" s="50">
        <v>2</v>
      </c>
      <c r="I987" s="100">
        <v>6.7391919697301583</v>
      </c>
      <c r="J987" s="52">
        <v>3834.68</v>
      </c>
      <c r="K987" s="67">
        <f t="shared" si="64"/>
        <v>98589.68938737968</v>
      </c>
      <c r="L987" s="95">
        <f>+VLOOKUP(E987,MARGEN!A:B,2,FALSE)</f>
        <v>0.1</v>
      </c>
      <c r="M987" s="112">
        <f t="shared" si="61"/>
        <v>9858.9689387379694</v>
      </c>
      <c r="N987" s="113">
        <f t="shared" si="62"/>
        <v>394.35875754951871</v>
      </c>
      <c r="O987" s="113">
        <f t="shared" si="63"/>
        <v>88336.361691092199</v>
      </c>
    </row>
    <row r="988" spans="1:15" x14ac:dyDescent="0.25">
      <c r="A988" s="13">
        <v>44448</v>
      </c>
      <c r="B988" s="51">
        <v>3815</v>
      </c>
      <c r="C988" s="66" t="s">
        <v>249</v>
      </c>
      <c r="D988" s="66" t="s">
        <v>334</v>
      </c>
      <c r="E988" t="s">
        <v>45</v>
      </c>
      <c r="F988" s="50" t="s">
        <v>558</v>
      </c>
      <c r="G988" s="50" t="s">
        <v>559</v>
      </c>
      <c r="H988" s="50">
        <v>2</v>
      </c>
      <c r="I988" s="100">
        <v>6.7391919697301583</v>
      </c>
      <c r="J988" s="52">
        <v>3834.68</v>
      </c>
      <c r="K988" s="67">
        <f t="shared" si="64"/>
        <v>98589.68938737968</v>
      </c>
      <c r="L988" s="95">
        <f>+VLOOKUP(E988,MARGEN!A:B,2,FALSE)</f>
        <v>0.1</v>
      </c>
      <c r="M988" s="112">
        <f t="shared" si="61"/>
        <v>9858.9689387379694</v>
      </c>
      <c r="N988" s="113">
        <f t="shared" si="62"/>
        <v>394.35875754951871</v>
      </c>
      <c r="O988" s="113">
        <f t="shared" si="63"/>
        <v>88336.361691092199</v>
      </c>
    </row>
    <row r="989" spans="1:15" x14ac:dyDescent="0.25">
      <c r="A989" s="13">
        <v>44448</v>
      </c>
      <c r="B989" s="97">
        <v>3143</v>
      </c>
      <c r="C989" t="s">
        <v>277</v>
      </c>
      <c r="D989" s="94" t="s">
        <v>513</v>
      </c>
      <c r="E989" t="s">
        <v>45</v>
      </c>
      <c r="F989" t="s">
        <v>558</v>
      </c>
      <c r="G989" s="50" t="s">
        <v>559</v>
      </c>
      <c r="H989" s="50">
        <v>2</v>
      </c>
      <c r="I989" s="100">
        <v>6.7391919697301583</v>
      </c>
      <c r="J989" s="52">
        <v>3834.68</v>
      </c>
      <c r="K989" s="67">
        <f t="shared" si="64"/>
        <v>81223.43217418986</v>
      </c>
      <c r="L989" s="95">
        <f>+VLOOKUP(E989,MARGEN!A:B,2,FALSE)</f>
        <v>0.1</v>
      </c>
      <c r="M989" s="112">
        <f t="shared" si="61"/>
        <v>8122.3432174189866</v>
      </c>
      <c r="N989" s="113">
        <f t="shared" si="62"/>
        <v>324.89372869675947</v>
      </c>
      <c r="O989" s="113">
        <f t="shared" si="63"/>
        <v>72776.195228074124</v>
      </c>
    </row>
    <row r="990" spans="1:15" x14ac:dyDescent="0.25">
      <c r="A990" s="13">
        <v>44448</v>
      </c>
      <c r="B990" s="97">
        <v>3143</v>
      </c>
      <c r="C990" t="s">
        <v>277</v>
      </c>
      <c r="D990" s="94" t="s">
        <v>513</v>
      </c>
      <c r="E990" t="s">
        <v>45</v>
      </c>
      <c r="F990" t="s">
        <v>558</v>
      </c>
      <c r="G990" s="50" t="s">
        <v>559</v>
      </c>
      <c r="H990" s="50">
        <v>2</v>
      </c>
      <c r="I990" s="100">
        <v>6.7391919697301583</v>
      </c>
      <c r="J990" s="52">
        <v>3834.68</v>
      </c>
      <c r="K990" s="67">
        <f t="shared" si="64"/>
        <v>81223.43217418986</v>
      </c>
      <c r="L990" s="95">
        <f>+VLOOKUP(E990,MARGEN!A:B,2,FALSE)</f>
        <v>0.1</v>
      </c>
      <c r="M990" s="112">
        <f t="shared" si="61"/>
        <v>8122.3432174189866</v>
      </c>
      <c r="N990" s="113">
        <f t="shared" si="62"/>
        <v>324.89372869675947</v>
      </c>
      <c r="O990" s="113">
        <f t="shared" si="63"/>
        <v>72776.195228074124</v>
      </c>
    </row>
    <row r="991" spans="1:15" x14ac:dyDescent="0.25">
      <c r="A991" s="13">
        <v>44448</v>
      </c>
      <c r="B991" s="97">
        <v>2855</v>
      </c>
      <c r="C991" t="s">
        <v>268</v>
      </c>
      <c r="D991" s="94" t="s">
        <v>514</v>
      </c>
      <c r="E991" t="s">
        <v>45</v>
      </c>
      <c r="F991" t="s">
        <v>562</v>
      </c>
      <c r="G991" s="50" t="s">
        <v>559</v>
      </c>
      <c r="H991" s="50">
        <v>2</v>
      </c>
      <c r="I991" s="100">
        <v>6.7391919697301583</v>
      </c>
      <c r="J991" s="52">
        <v>3834.68</v>
      </c>
      <c r="K991" s="67">
        <f t="shared" si="64"/>
        <v>73780.750511394232</v>
      </c>
      <c r="L991" s="95">
        <f>+VLOOKUP(E991,MARGEN!A:B,2,FALSE)</f>
        <v>0.1</v>
      </c>
      <c r="M991" s="112">
        <f t="shared" si="61"/>
        <v>7378.0750511394235</v>
      </c>
      <c r="N991" s="113">
        <f t="shared" si="62"/>
        <v>295.12300204557692</v>
      </c>
      <c r="O991" s="113">
        <f t="shared" si="63"/>
        <v>66107.552458209218</v>
      </c>
    </row>
    <row r="992" spans="1:15" x14ac:dyDescent="0.25">
      <c r="A992" s="13">
        <v>44448</v>
      </c>
      <c r="B992" s="97">
        <v>2855</v>
      </c>
      <c r="C992" t="s">
        <v>268</v>
      </c>
      <c r="D992" s="94" t="s">
        <v>514</v>
      </c>
      <c r="E992" t="s">
        <v>45</v>
      </c>
      <c r="F992" t="s">
        <v>566</v>
      </c>
      <c r="G992" s="50" t="s">
        <v>559</v>
      </c>
      <c r="H992" s="50">
        <v>2</v>
      </c>
      <c r="I992" s="100">
        <v>6.7391919697301583</v>
      </c>
      <c r="J992" s="52">
        <v>3834.68</v>
      </c>
      <c r="K992" s="67">
        <f t="shared" si="64"/>
        <v>73780.750511394232</v>
      </c>
      <c r="L992" s="95">
        <f>+VLOOKUP(E992,MARGEN!A:B,2,FALSE)</f>
        <v>0.1</v>
      </c>
      <c r="M992" s="112">
        <f t="shared" si="61"/>
        <v>7378.0750511394235</v>
      </c>
      <c r="N992" s="113">
        <f t="shared" si="62"/>
        <v>295.12300204557692</v>
      </c>
      <c r="O992" s="113">
        <f t="shared" si="63"/>
        <v>66107.552458209218</v>
      </c>
    </row>
    <row r="993" spans="1:15" x14ac:dyDescent="0.25">
      <c r="A993" s="13">
        <v>44448</v>
      </c>
      <c r="B993" s="97">
        <v>2807</v>
      </c>
      <c r="C993" t="s">
        <v>178</v>
      </c>
      <c r="D993" s="94" t="s">
        <v>370</v>
      </c>
      <c r="E993" t="s">
        <v>45</v>
      </c>
      <c r="F993" t="s">
        <v>562</v>
      </c>
      <c r="G993" s="50" t="s">
        <v>559</v>
      </c>
      <c r="H993" s="50">
        <v>2</v>
      </c>
      <c r="I993" s="100">
        <v>6.7391919697301583</v>
      </c>
      <c r="J993" s="52">
        <v>3834.68</v>
      </c>
      <c r="K993" s="67">
        <f t="shared" si="64"/>
        <v>72540.303567594965</v>
      </c>
      <c r="L993" s="95">
        <f>+VLOOKUP(E993,MARGEN!A:B,2,FALSE)</f>
        <v>0.1</v>
      </c>
      <c r="M993" s="112">
        <f t="shared" si="61"/>
        <v>7254.0303567594965</v>
      </c>
      <c r="N993" s="113">
        <f t="shared" si="62"/>
        <v>290.16121427037984</v>
      </c>
      <c r="O993" s="113">
        <f t="shared" si="63"/>
        <v>64996.111996565087</v>
      </c>
    </row>
    <row r="994" spans="1:15" x14ac:dyDescent="0.25">
      <c r="A994" s="13">
        <v>44448</v>
      </c>
      <c r="B994" s="97">
        <v>2807</v>
      </c>
      <c r="C994" t="s">
        <v>178</v>
      </c>
      <c r="D994" s="94" t="s">
        <v>370</v>
      </c>
      <c r="E994" t="s">
        <v>45</v>
      </c>
      <c r="F994" t="s">
        <v>566</v>
      </c>
      <c r="G994" s="50" t="s">
        <v>559</v>
      </c>
      <c r="H994" s="50">
        <v>2</v>
      </c>
      <c r="I994" s="100">
        <v>6.7391919697301583</v>
      </c>
      <c r="J994" s="52">
        <v>3834.68</v>
      </c>
      <c r="K994" s="67">
        <f t="shared" si="64"/>
        <v>72540.303567594965</v>
      </c>
      <c r="L994" s="95">
        <f>+VLOOKUP(E994,MARGEN!A:B,2,FALSE)</f>
        <v>0.1</v>
      </c>
      <c r="M994" s="112">
        <f t="shared" si="61"/>
        <v>7254.0303567594965</v>
      </c>
      <c r="N994" s="113">
        <f t="shared" si="62"/>
        <v>290.16121427037984</v>
      </c>
      <c r="O994" s="113">
        <f t="shared" si="63"/>
        <v>64996.111996565087</v>
      </c>
    </row>
    <row r="995" spans="1:15" x14ac:dyDescent="0.25">
      <c r="A995" s="13">
        <v>44448</v>
      </c>
      <c r="B995" s="97">
        <v>2183</v>
      </c>
      <c r="C995" t="s">
        <v>560</v>
      </c>
      <c r="D995" s="94" t="s">
        <v>561</v>
      </c>
      <c r="E995" t="s">
        <v>45</v>
      </c>
      <c r="F995" t="s">
        <v>558</v>
      </c>
      <c r="G995" s="50" t="s">
        <v>559</v>
      </c>
      <c r="H995" s="50">
        <v>2</v>
      </c>
      <c r="I995" s="100">
        <v>6.7391919697301583</v>
      </c>
      <c r="J995" s="52">
        <v>3834.68</v>
      </c>
      <c r="K995" s="67">
        <f t="shared" si="64"/>
        <v>56414.493298204405</v>
      </c>
      <c r="L995" s="95">
        <f>+VLOOKUP(E995,MARGEN!A:B,2,FALSE)</f>
        <v>0.1</v>
      </c>
      <c r="M995" s="112">
        <f t="shared" si="61"/>
        <v>5641.4493298204407</v>
      </c>
      <c r="N995" s="113">
        <f t="shared" si="62"/>
        <v>225.65797319281762</v>
      </c>
      <c r="O995" s="113">
        <f t="shared" si="63"/>
        <v>50547.385995191151</v>
      </c>
    </row>
    <row r="996" spans="1:15" x14ac:dyDescent="0.25">
      <c r="A996" s="13">
        <v>44448</v>
      </c>
      <c r="B996" s="97">
        <v>2183</v>
      </c>
      <c r="C996" t="s">
        <v>560</v>
      </c>
      <c r="D996" s="94" t="s">
        <v>561</v>
      </c>
      <c r="E996" t="s">
        <v>45</v>
      </c>
      <c r="F996" t="s">
        <v>558</v>
      </c>
      <c r="G996" s="50" t="s">
        <v>559</v>
      </c>
      <c r="H996" s="50">
        <v>2</v>
      </c>
      <c r="I996" s="100">
        <v>6.7391919697301583</v>
      </c>
      <c r="J996" s="52">
        <v>3834.68</v>
      </c>
      <c r="K996" s="67">
        <f t="shared" si="64"/>
        <v>56414.493298204405</v>
      </c>
      <c r="L996" s="95">
        <f>+VLOOKUP(E996,MARGEN!A:B,2,FALSE)</f>
        <v>0.1</v>
      </c>
      <c r="M996" s="112">
        <f t="shared" si="61"/>
        <v>5641.4493298204407</v>
      </c>
      <c r="N996" s="113">
        <f t="shared" si="62"/>
        <v>225.65797319281762</v>
      </c>
      <c r="O996" s="113">
        <f t="shared" si="63"/>
        <v>50547.385995191151</v>
      </c>
    </row>
    <row r="997" spans="1:15" x14ac:dyDescent="0.25">
      <c r="A997" s="13">
        <v>44448</v>
      </c>
      <c r="B997" s="97">
        <v>2087</v>
      </c>
      <c r="C997" t="s">
        <v>92</v>
      </c>
      <c r="D997" s="94" t="s">
        <v>490</v>
      </c>
      <c r="E997" t="s">
        <v>45</v>
      </c>
      <c r="F997" t="s">
        <v>558</v>
      </c>
      <c r="G997" s="50" t="s">
        <v>559</v>
      </c>
      <c r="H997" s="50">
        <v>2</v>
      </c>
      <c r="I997" s="100">
        <v>6.7391919697301583</v>
      </c>
      <c r="J997" s="52">
        <v>3834.68</v>
      </c>
      <c r="K997" s="67">
        <f t="shared" si="64"/>
        <v>53933.599410605872</v>
      </c>
      <c r="L997" s="95">
        <f>+VLOOKUP(E997,MARGEN!A:B,2,FALSE)</f>
        <v>0.1</v>
      </c>
      <c r="M997" s="112">
        <f t="shared" si="61"/>
        <v>5393.3599410605875</v>
      </c>
      <c r="N997" s="113">
        <f t="shared" si="62"/>
        <v>215.73439764242349</v>
      </c>
      <c r="O997" s="113">
        <f t="shared" si="63"/>
        <v>48324.505071902859</v>
      </c>
    </row>
    <row r="998" spans="1:15" x14ac:dyDescent="0.25">
      <c r="A998" s="13">
        <v>44448</v>
      </c>
      <c r="B998" s="97">
        <v>2087</v>
      </c>
      <c r="C998" t="s">
        <v>92</v>
      </c>
      <c r="D998" s="94" t="s">
        <v>490</v>
      </c>
      <c r="E998" t="s">
        <v>45</v>
      </c>
      <c r="F998" t="s">
        <v>558</v>
      </c>
      <c r="G998" s="50" t="s">
        <v>559</v>
      </c>
      <c r="H998" s="50">
        <v>2</v>
      </c>
      <c r="I998" s="100">
        <v>6.7391919697301583</v>
      </c>
      <c r="J998" s="52">
        <v>3834.68</v>
      </c>
      <c r="K998" s="67">
        <f t="shared" si="64"/>
        <v>53933.599410605872</v>
      </c>
      <c r="L998" s="95">
        <f>+VLOOKUP(E998,MARGEN!A:B,2,FALSE)</f>
        <v>0.1</v>
      </c>
      <c r="M998" s="112">
        <f t="shared" si="61"/>
        <v>5393.3599410605875</v>
      </c>
      <c r="N998" s="113">
        <f t="shared" si="62"/>
        <v>215.73439764242349</v>
      </c>
      <c r="O998" s="113">
        <f t="shared" si="63"/>
        <v>48324.505071902859</v>
      </c>
    </row>
    <row r="999" spans="1:15" x14ac:dyDescent="0.25">
      <c r="A999" s="13">
        <v>44448</v>
      </c>
      <c r="B999" s="97">
        <v>1847</v>
      </c>
      <c r="C999" t="s">
        <v>270</v>
      </c>
      <c r="D999" s="94" t="s">
        <v>491</v>
      </c>
      <c r="E999" t="s">
        <v>45</v>
      </c>
      <c r="F999" t="s">
        <v>566</v>
      </c>
      <c r="G999" s="50" t="s">
        <v>559</v>
      </c>
      <c r="H999" s="50">
        <v>2</v>
      </c>
      <c r="I999" s="100">
        <v>6.7391919697301583</v>
      </c>
      <c r="J999" s="52">
        <v>3834.68</v>
      </c>
      <c r="K999" s="67">
        <f t="shared" si="64"/>
        <v>47731.364691609502</v>
      </c>
      <c r="L999" s="95">
        <f>+VLOOKUP(E999,MARGEN!A:B,2,FALSE)</f>
        <v>0.1</v>
      </c>
      <c r="M999" s="112">
        <f t="shared" si="61"/>
        <v>4773.1364691609506</v>
      </c>
      <c r="N999" s="113">
        <f t="shared" si="62"/>
        <v>190.925458766438</v>
      </c>
      <c r="O999" s="113">
        <f t="shared" si="63"/>
        <v>42767.302763682113</v>
      </c>
    </row>
    <row r="1000" spans="1:15" x14ac:dyDescent="0.25">
      <c r="A1000" s="13">
        <v>44448</v>
      </c>
      <c r="B1000" s="97">
        <v>1727</v>
      </c>
      <c r="C1000" t="s">
        <v>190</v>
      </c>
      <c r="D1000" s="94" t="s">
        <v>356</v>
      </c>
      <c r="E1000" t="s">
        <v>45</v>
      </c>
      <c r="F1000" t="s">
        <v>558</v>
      </c>
      <c r="G1000" s="50" t="s">
        <v>559</v>
      </c>
      <c r="H1000" s="50">
        <v>2</v>
      </c>
      <c r="I1000" s="100">
        <v>6.7391919697301583</v>
      </c>
      <c r="J1000" s="52">
        <v>3834.68</v>
      </c>
      <c r="K1000" s="67">
        <f t="shared" si="64"/>
        <v>44630.247332111321</v>
      </c>
      <c r="L1000" s="95">
        <f>+VLOOKUP(E1000,MARGEN!A:B,2,FALSE)</f>
        <v>0.1</v>
      </c>
      <c r="M1000" s="112">
        <f t="shared" si="61"/>
        <v>4463.0247332111321</v>
      </c>
      <c r="N1000" s="113">
        <f t="shared" si="62"/>
        <v>178.5209893284453</v>
      </c>
      <c r="O1000" s="113">
        <f t="shared" si="63"/>
        <v>39988.701609571741</v>
      </c>
    </row>
    <row r="1001" spans="1:15" x14ac:dyDescent="0.25">
      <c r="A1001" s="13">
        <v>44448</v>
      </c>
      <c r="B1001" s="97">
        <v>1727</v>
      </c>
      <c r="C1001" t="s">
        <v>190</v>
      </c>
      <c r="D1001" s="94" t="s">
        <v>356</v>
      </c>
      <c r="E1001" t="s">
        <v>45</v>
      </c>
      <c r="F1001" t="s">
        <v>558</v>
      </c>
      <c r="G1001" s="50" t="s">
        <v>559</v>
      </c>
      <c r="H1001" s="50">
        <v>2</v>
      </c>
      <c r="I1001" s="100">
        <v>6.7391919697301583</v>
      </c>
      <c r="J1001" s="52">
        <v>3834.68</v>
      </c>
      <c r="K1001" s="67">
        <f t="shared" si="64"/>
        <v>44630.247332111321</v>
      </c>
      <c r="L1001" s="95">
        <f>+VLOOKUP(E1001,MARGEN!A:B,2,FALSE)</f>
        <v>0.1</v>
      </c>
      <c r="M1001" s="112">
        <f t="shared" si="61"/>
        <v>4463.0247332111321</v>
      </c>
      <c r="N1001" s="113">
        <f t="shared" si="62"/>
        <v>178.5209893284453</v>
      </c>
      <c r="O1001" s="113">
        <f t="shared" si="63"/>
        <v>39988.701609571741</v>
      </c>
    </row>
    <row r="1002" spans="1:15" x14ac:dyDescent="0.25">
      <c r="A1002" s="13">
        <v>44448</v>
      </c>
      <c r="B1002" s="97">
        <v>1391</v>
      </c>
      <c r="C1002" t="s">
        <v>107</v>
      </c>
      <c r="D1002" s="94" t="s">
        <v>346</v>
      </c>
      <c r="E1002" t="s">
        <v>45</v>
      </c>
      <c r="F1002" t="s">
        <v>558</v>
      </c>
      <c r="G1002" s="50" t="s">
        <v>559</v>
      </c>
      <c r="H1002" s="50">
        <v>2</v>
      </c>
      <c r="I1002" s="100">
        <v>6.7391919697301583</v>
      </c>
      <c r="J1002" s="52">
        <v>3834.68</v>
      </c>
      <c r="K1002" s="67">
        <f t="shared" si="64"/>
        <v>35947.118725516419</v>
      </c>
      <c r="L1002" s="95">
        <f>+VLOOKUP(E1002,MARGEN!A:B,2,FALSE)</f>
        <v>0.1</v>
      </c>
      <c r="M1002" s="112">
        <f t="shared" si="61"/>
        <v>3594.711872551642</v>
      </c>
      <c r="N1002" s="113">
        <f t="shared" si="62"/>
        <v>143.78847490206567</v>
      </c>
      <c r="O1002" s="113">
        <f t="shared" si="63"/>
        <v>32208.618378062711</v>
      </c>
    </row>
    <row r="1003" spans="1:15" x14ac:dyDescent="0.25">
      <c r="A1003" s="13">
        <v>44448</v>
      </c>
      <c r="B1003" s="97">
        <v>1391</v>
      </c>
      <c r="C1003" t="s">
        <v>107</v>
      </c>
      <c r="D1003" s="94" t="s">
        <v>346</v>
      </c>
      <c r="E1003" t="s">
        <v>45</v>
      </c>
      <c r="F1003" t="s">
        <v>558</v>
      </c>
      <c r="G1003" s="50" t="s">
        <v>559</v>
      </c>
      <c r="H1003" s="50">
        <v>2</v>
      </c>
      <c r="I1003" s="100">
        <v>6.7391919697301583</v>
      </c>
      <c r="J1003" s="52">
        <v>3834.68</v>
      </c>
      <c r="K1003" s="67">
        <f t="shared" si="64"/>
        <v>35947.118725516419</v>
      </c>
      <c r="L1003" s="95">
        <f>+VLOOKUP(E1003,MARGEN!A:B,2,FALSE)</f>
        <v>0.1</v>
      </c>
      <c r="M1003" s="112">
        <f t="shared" si="61"/>
        <v>3594.711872551642</v>
      </c>
      <c r="N1003" s="113">
        <f t="shared" si="62"/>
        <v>143.78847490206567</v>
      </c>
      <c r="O1003" s="113">
        <f t="shared" si="63"/>
        <v>32208.618378062711</v>
      </c>
    </row>
    <row r="1004" spans="1:15" x14ac:dyDescent="0.25">
      <c r="A1004" s="13">
        <v>44449</v>
      </c>
      <c r="B1004" s="97">
        <v>16341</v>
      </c>
      <c r="C1004" t="s">
        <v>78</v>
      </c>
      <c r="D1004" s="94" t="s">
        <v>412</v>
      </c>
      <c r="E1004" t="s">
        <v>45</v>
      </c>
      <c r="F1004" t="s">
        <v>558</v>
      </c>
      <c r="G1004" s="50" t="s">
        <v>559</v>
      </c>
      <c r="H1004" s="50">
        <v>2</v>
      </c>
      <c r="I1004" s="100">
        <v>6.7391919697301583</v>
      </c>
      <c r="J1004" s="52">
        <v>3834.68</v>
      </c>
      <c r="K1004" s="67">
        <f t="shared" si="64"/>
        <v>422294.65642966487</v>
      </c>
      <c r="L1004" s="95">
        <f>+VLOOKUP(E1004,MARGEN!A:B,2,FALSE)</f>
        <v>0.1</v>
      </c>
      <c r="M1004" s="112">
        <f t="shared" si="61"/>
        <v>42229.46564296649</v>
      </c>
      <c r="N1004" s="113">
        <f t="shared" si="62"/>
        <v>1689.1786257186595</v>
      </c>
      <c r="O1004" s="113">
        <f t="shared" si="63"/>
        <v>378376.01216097974</v>
      </c>
    </row>
    <row r="1005" spans="1:15" x14ac:dyDescent="0.25">
      <c r="A1005" s="13">
        <v>44449</v>
      </c>
      <c r="B1005" s="97">
        <v>16341</v>
      </c>
      <c r="C1005" t="s">
        <v>78</v>
      </c>
      <c r="D1005" s="94" t="s">
        <v>412</v>
      </c>
      <c r="E1005" t="s">
        <v>45</v>
      </c>
      <c r="F1005" t="s">
        <v>558</v>
      </c>
      <c r="G1005" s="50" t="s">
        <v>559</v>
      </c>
      <c r="H1005" s="50">
        <v>2</v>
      </c>
      <c r="I1005" s="100">
        <v>6.7391919697301583</v>
      </c>
      <c r="J1005" s="52">
        <v>3834.68</v>
      </c>
      <c r="K1005" s="67">
        <f t="shared" si="64"/>
        <v>422294.65642966487</v>
      </c>
      <c r="L1005" s="95">
        <f>+VLOOKUP(E1005,MARGEN!A:B,2,FALSE)</f>
        <v>0.1</v>
      </c>
      <c r="M1005" s="112">
        <f t="shared" si="61"/>
        <v>42229.46564296649</v>
      </c>
      <c r="N1005" s="113">
        <f t="shared" si="62"/>
        <v>1689.1786257186595</v>
      </c>
      <c r="O1005" s="113">
        <f t="shared" si="63"/>
        <v>378376.01216097974</v>
      </c>
    </row>
    <row r="1006" spans="1:15" x14ac:dyDescent="0.25">
      <c r="A1006" s="13">
        <v>44449</v>
      </c>
      <c r="B1006" s="97">
        <v>9934</v>
      </c>
      <c r="C1006" t="s">
        <v>95</v>
      </c>
      <c r="D1006" s="94" t="s">
        <v>510</v>
      </c>
      <c r="E1006" t="s">
        <v>45</v>
      </c>
      <c r="F1006" t="s">
        <v>566</v>
      </c>
      <c r="G1006" s="50" t="s">
        <v>559</v>
      </c>
      <c r="H1006" s="50">
        <v>2</v>
      </c>
      <c r="I1006" s="100">
        <v>6.7391919697301583</v>
      </c>
      <c r="J1006" s="52">
        <v>3834.68</v>
      </c>
      <c r="K1006" s="67">
        <f t="shared" si="64"/>
        <v>256720.83207712442</v>
      </c>
      <c r="L1006" s="95">
        <f>+VLOOKUP(E1006,MARGEN!A:B,2,FALSE)</f>
        <v>0.1</v>
      </c>
      <c r="M1006" s="112">
        <f t="shared" si="61"/>
        <v>25672.083207712443</v>
      </c>
      <c r="N1006" s="113">
        <f t="shared" si="62"/>
        <v>1026.8833283084978</v>
      </c>
      <c r="O1006" s="113">
        <f t="shared" si="63"/>
        <v>230021.86554110347</v>
      </c>
    </row>
    <row r="1007" spans="1:15" x14ac:dyDescent="0.25">
      <c r="A1007" s="13">
        <v>44449</v>
      </c>
      <c r="B1007" s="97">
        <v>9934</v>
      </c>
      <c r="C1007" t="s">
        <v>95</v>
      </c>
      <c r="D1007" s="94" t="s">
        <v>510</v>
      </c>
      <c r="E1007" t="s">
        <v>45</v>
      </c>
      <c r="F1007" t="s">
        <v>558</v>
      </c>
      <c r="G1007" s="50" t="s">
        <v>559</v>
      </c>
      <c r="H1007" s="50">
        <v>2</v>
      </c>
      <c r="I1007" s="100">
        <v>6.7391919697301583</v>
      </c>
      <c r="J1007" s="52">
        <v>3834.68</v>
      </c>
      <c r="K1007" s="67">
        <f t="shared" si="64"/>
        <v>256720.83207712442</v>
      </c>
      <c r="L1007" s="95">
        <f>+VLOOKUP(E1007,MARGEN!A:B,2,FALSE)</f>
        <v>0.1</v>
      </c>
      <c r="M1007" s="112">
        <f t="shared" si="61"/>
        <v>25672.083207712443</v>
      </c>
      <c r="N1007" s="113">
        <f t="shared" si="62"/>
        <v>1026.8833283084978</v>
      </c>
      <c r="O1007" s="113">
        <f t="shared" si="63"/>
        <v>230021.86554110347</v>
      </c>
    </row>
    <row r="1008" spans="1:15" x14ac:dyDescent="0.25">
      <c r="A1008" s="13">
        <v>44449</v>
      </c>
      <c r="B1008" s="51">
        <v>7534</v>
      </c>
      <c r="C1008" s="66" t="s">
        <v>179</v>
      </c>
      <c r="D1008" s="66" t="s">
        <v>361</v>
      </c>
      <c r="E1008" t="s">
        <v>45</v>
      </c>
      <c r="F1008" s="50" t="s">
        <v>562</v>
      </c>
      <c r="G1008" s="50" t="s">
        <v>559</v>
      </c>
      <c r="H1008" s="50">
        <v>2</v>
      </c>
      <c r="I1008" s="100">
        <v>6.7391919697301583</v>
      </c>
      <c r="J1008" s="52">
        <v>3834.68</v>
      </c>
      <c r="K1008" s="67">
        <f t="shared" si="64"/>
        <v>194698.4848871608</v>
      </c>
      <c r="L1008" s="95">
        <f>+VLOOKUP(E1008,MARGEN!A:B,2,FALSE)</f>
        <v>0.1</v>
      </c>
      <c r="M1008" s="112">
        <f t="shared" si="61"/>
        <v>19469.848488716081</v>
      </c>
      <c r="N1008" s="113">
        <f t="shared" si="62"/>
        <v>778.79393954864315</v>
      </c>
      <c r="O1008" s="113">
        <f t="shared" si="63"/>
        <v>174449.84245889608</v>
      </c>
    </row>
    <row r="1009" spans="1:15" x14ac:dyDescent="0.25">
      <c r="A1009" s="13">
        <v>44449</v>
      </c>
      <c r="B1009" s="97">
        <v>7150</v>
      </c>
      <c r="C1009" t="s">
        <v>179</v>
      </c>
      <c r="D1009" s="94" t="s">
        <v>361</v>
      </c>
      <c r="E1009" t="s">
        <v>45</v>
      </c>
      <c r="F1009" t="s">
        <v>566</v>
      </c>
      <c r="G1009" s="50" t="s">
        <v>559</v>
      </c>
      <c r="H1009" s="50">
        <v>2</v>
      </c>
      <c r="I1009" s="100">
        <v>6.7391919697301583</v>
      </c>
      <c r="J1009" s="52">
        <v>3834.68</v>
      </c>
      <c r="K1009" s="67">
        <f t="shared" si="64"/>
        <v>184774.90933676664</v>
      </c>
      <c r="L1009" s="95">
        <f>+VLOOKUP(E1009,MARGEN!A:B,2,FALSE)</f>
        <v>0.1</v>
      </c>
      <c r="M1009" s="112">
        <f t="shared" si="61"/>
        <v>18477.490933676665</v>
      </c>
      <c r="N1009" s="113">
        <f t="shared" si="62"/>
        <v>739.0996373470665</v>
      </c>
      <c r="O1009" s="113">
        <f t="shared" si="63"/>
        <v>165558.31876574291</v>
      </c>
    </row>
    <row r="1010" spans="1:15" x14ac:dyDescent="0.25">
      <c r="A1010" s="13">
        <v>44449</v>
      </c>
      <c r="B1010" s="97">
        <v>5639</v>
      </c>
      <c r="C1010" t="s">
        <v>275</v>
      </c>
      <c r="D1010" s="94" t="s">
        <v>519</v>
      </c>
      <c r="E1010" t="s">
        <v>45</v>
      </c>
      <c r="F1010" t="s">
        <v>558</v>
      </c>
      <c r="G1010" s="50" t="s">
        <v>559</v>
      </c>
      <c r="H1010" s="50">
        <v>2</v>
      </c>
      <c r="I1010" s="100">
        <v>6.7391919697301583</v>
      </c>
      <c r="J1010" s="52">
        <v>3834.68</v>
      </c>
      <c r="K1010" s="67">
        <f t="shared" si="64"/>
        <v>145726.67325175201</v>
      </c>
      <c r="L1010" s="95">
        <f>+VLOOKUP(E1010,MARGEN!A:B,2,FALSE)</f>
        <v>0.1</v>
      </c>
      <c r="M1010" s="112">
        <f t="shared" si="61"/>
        <v>14572.667325175202</v>
      </c>
      <c r="N1010" s="113">
        <f t="shared" si="62"/>
        <v>582.90669300700802</v>
      </c>
      <c r="O1010" s="113">
        <f t="shared" si="63"/>
        <v>130571.09923356981</v>
      </c>
    </row>
    <row r="1011" spans="1:15" x14ac:dyDescent="0.25">
      <c r="A1011" s="13">
        <v>44449</v>
      </c>
      <c r="B1011" s="97">
        <v>5639</v>
      </c>
      <c r="C1011" t="s">
        <v>275</v>
      </c>
      <c r="D1011" s="94" t="s">
        <v>519</v>
      </c>
      <c r="E1011" t="s">
        <v>45</v>
      </c>
      <c r="F1011" t="s">
        <v>558</v>
      </c>
      <c r="G1011" s="50" t="s">
        <v>559</v>
      </c>
      <c r="H1011" s="50">
        <v>2</v>
      </c>
      <c r="I1011" s="100">
        <v>6.7391919697301583</v>
      </c>
      <c r="J1011" s="52">
        <v>3834.68</v>
      </c>
      <c r="K1011" s="67">
        <f t="shared" si="64"/>
        <v>145726.67325175201</v>
      </c>
      <c r="L1011" s="95">
        <f>+VLOOKUP(E1011,MARGEN!A:B,2,FALSE)</f>
        <v>0.1</v>
      </c>
      <c r="M1011" s="112">
        <f t="shared" si="61"/>
        <v>14572.667325175202</v>
      </c>
      <c r="N1011" s="113">
        <f t="shared" si="62"/>
        <v>582.90669300700802</v>
      </c>
      <c r="O1011" s="113">
        <f t="shared" si="63"/>
        <v>130571.09923356981</v>
      </c>
    </row>
    <row r="1012" spans="1:15" x14ac:dyDescent="0.25">
      <c r="A1012" s="13">
        <v>44449</v>
      </c>
      <c r="B1012" s="97">
        <v>5543</v>
      </c>
      <c r="C1012" t="s">
        <v>116</v>
      </c>
      <c r="D1012" s="94" t="s">
        <v>330</v>
      </c>
      <c r="E1012" t="s">
        <v>45</v>
      </c>
      <c r="F1012" t="s">
        <v>558</v>
      </c>
      <c r="G1012" s="50" t="s">
        <v>559</v>
      </c>
      <c r="H1012" s="50">
        <v>2</v>
      </c>
      <c r="I1012" s="100">
        <v>6.7391919697301583</v>
      </c>
      <c r="J1012" s="52">
        <v>3834.68</v>
      </c>
      <c r="K1012" s="67">
        <f t="shared" si="64"/>
        <v>143245.77936415351</v>
      </c>
      <c r="L1012" s="95">
        <f>+VLOOKUP(E1012,MARGEN!A:B,2,FALSE)</f>
        <v>0.1</v>
      </c>
      <c r="M1012" s="112">
        <f t="shared" si="61"/>
        <v>14324.577936415351</v>
      </c>
      <c r="N1012" s="113">
        <f t="shared" si="62"/>
        <v>572.98311745661408</v>
      </c>
      <c r="O1012" s="113">
        <f t="shared" si="63"/>
        <v>128348.21831028153</v>
      </c>
    </row>
    <row r="1013" spans="1:15" x14ac:dyDescent="0.25">
      <c r="A1013" s="13">
        <v>44449</v>
      </c>
      <c r="B1013" s="97">
        <v>5543</v>
      </c>
      <c r="C1013" t="s">
        <v>116</v>
      </c>
      <c r="D1013" s="94" t="s">
        <v>330</v>
      </c>
      <c r="E1013" t="s">
        <v>45</v>
      </c>
      <c r="F1013" t="s">
        <v>558</v>
      </c>
      <c r="G1013" s="50" t="s">
        <v>559</v>
      </c>
      <c r="H1013" s="50">
        <v>2</v>
      </c>
      <c r="I1013" s="100">
        <v>6.7391919697301583</v>
      </c>
      <c r="J1013" s="52">
        <v>3834.68</v>
      </c>
      <c r="K1013" s="67">
        <f t="shared" si="64"/>
        <v>143245.77936415351</v>
      </c>
      <c r="L1013" s="95">
        <f>+VLOOKUP(E1013,MARGEN!A:B,2,FALSE)</f>
        <v>0.1</v>
      </c>
      <c r="M1013" s="112">
        <f t="shared" si="61"/>
        <v>14324.577936415351</v>
      </c>
      <c r="N1013" s="113">
        <f t="shared" si="62"/>
        <v>572.98311745661408</v>
      </c>
      <c r="O1013" s="113">
        <f t="shared" si="63"/>
        <v>128348.21831028153</v>
      </c>
    </row>
    <row r="1014" spans="1:15" x14ac:dyDescent="0.25">
      <c r="A1014" s="13">
        <v>44449</v>
      </c>
      <c r="B1014" s="97">
        <v>4535</v>
      </c>
      <c r="C1014" t="s">
        <v>76</v>
      </c>
      <c r="D1014" s="94" t="s">
        <v>332</v>
      </c>
      <c r="E1014" t="s">
        <v>45</v>
      </c>
      <c r="F1014" t="s">
        <v>551</v>
      </c>
      <c r="G1014" s="50" t="s">
        <v>205</v>
      </c>
      <c r="H1014" s="50">
        <v>2</v>
      </c>
      <c r="I1014" s="100">
        <v>6.7391919697301583</v>
      </c>
      <c r="J1014" s="52">
        <v>3834.68</v>
      </c>
      <c r="K1014" s="67">
        <f t="shared" si="64"/>
        <v>117196.39354436877</v>
      </c>
      <c r="L1014" s="95">
        <f>+VLOOKUP(E1014,MARGEN!A:B,2,FALSE)</f>
        <v>0.1</v>
      </c>
      <c r="M1014" s="112">
        <f t="shared" si="61"/>
        <v>11719.639354436877</v>
      </c>
      <c r="N1014" s="113">
        <f t="shared" si="62"/>
        <v>468.78557417747504</v>
      </c>
      <c r="O1014" s="113">
        <f t="shared" si="63"/>
        <v>105007.96861575442</v>
      </c>
    </row>
    <row r="1015" spans="1:15" x14ac:dyDescent="0.25">
      <c r="A1015" s="13">
        <v>44449</v>
      </c>
      <c r="B1015" s="97">
        <v>4175</v>
      </c>
      <c r="C1015" t="s">
        <v>276</v>
      </c>
      <c r="D1015" s="94" t="s">
        <v>512</v>
      </c>
      <c r="E1015" t="s">
        <v>45</v>
      </c>
      <c r="F1015" t="s">
        <v>566</v>
      </c>
      <c r="G1015" s="50" t="s">
        <v>559</v>
      </c>
      <c r="H1015" s="50">
        <v>2</v>
      </c>
      <c r="I1015" s="100">
        <v>6.7391919697301583</v>
      </c>
      <c r="J1015" s="52">
        <v>3834.68</v>
      </c>
      <c r="K1015" s="67">
        <f t="shared" si="64"/>
        <v>107893.04146587422</v>
      </c>
      <c r="L1015" s="95">
        <f>+VLOOKUP(E1015,MARGEN!A:B,2,FALSE)</f>
        <v>0.1</v>
      </c>
      <c r="M1015" s="112">
        <f t="shared" si="61"/>
        <v>10789.304146587423</v>
      </c>
      <c r="N1015" s="113">
        <f t="shared" si="62"/>
        <v>431.57216586349688</v>
      </c>
      <c r="O1015" s="113">
        <f t="shared" si="63"/>
        <v>96672.165153423295</v>
      </c>
    </row>
    <row r="1016" spans="1:15" x14ac:dyDescent="0.25">
      <c r="A1016" s="13">
        <v>44449</v>
      </c>
      <c r="B1016" s="97">
        <v>4127</v>
      </c>
      <c r="C1016" t="s">
        <v>235</v>
      </c>
      <c r="D1016" s="94" t="s">
        <v>339</v>
      </c>
      <c r="E1016" t="s">
        <v>45</v>
      </c>
      <c r="F1016" t="s">
        <v>558</v>
      </c>
      <c r="G1016" s="50" t="s">
        <v>559</v>
      </c>
      <c r="H1016" s="50">
        <v>2</v>
      </c>
      <c r="I1016" s="100">
        <v>6.7391919697301583</v>
      </c>
      <c r="J1016" s="52">
        <v>3834.68</v>
      </c>
      <c r="K1016" s="67">
        <f t="shared" si="64"/>
        <v>106652.59452207494</v>
      </c>
      <c r="L1016" s="95">
        <f>+VLOOKUP(E1016,MARGEN!A:B,2,FALSE)</f>
        <v>0.1</v>
      </c>
      <c r="M1016" s="112">
        <f t="shared" si="61"/>
        <v>10665.259452207494</v>
      </c>
      <c r="N1016" s="113">
        <f t="shared" si="62"/>
        <v>426.61037808829974</v>
      </c>
      <c r="O1016" s="113">
        <f t="shared" si="63"/>
        <v>95560.724691779149</v>
      </c>
    </row>
    <row r="1017" spans="1:15" x14ac:dyDescent="0.25">
      <c r="A1017" s="13">
        <v>44449</v>
      </c>
      <c r="B1017" s="51">
        <v>4127</v>
      </c>
      <c r="C1017" s="66" t="s">
        <v>276</v>
      </c>
      <c r="D1017" s="66" t="s">
        <v>512</v>
      </c>
      <c r="E1017" t="s">
        <v>45</v>
      </c>
      <c r="F1017" s="50" t="s">
        <v>566</v>
      </c>
      <c r="G1017" s="50" t="s">
        <v>559</v>
      </c>
      <c r="H1017" s="50">
        <v>2</v>
      </c>
      <c r="I1017" s="100">
        <v>6.7391919697301583</v>
      </c>
      <c r="J1017" s="52">
        <v>3834.68</v>
      </c>
      <c r="K1017" s="67">
        <f t="shared" si="64"/>
        <v>106652.59452207494</v>
      </c>
      <c r="L1017" s="95">
        <f>+VLOOKUP(E1017,MARGEN!A:B,2,FALSE)</f>
        <v>0.1</v>
      </c>
      <c r="M1017" s="112">
        <f t="shared" si="61"/>
        <v>10665.259452207494</v>
      </c>
      <c r="N1017" s="113">
        <f t="shared" si="62"/>
        <v>426.61037808829974</v>
      </c>
      <c r="O1017" s="113">
        <f t="shared" si="63"/>
        <v>95560.724691779149</v>
      </c>
    </row>
    <row r="1018" spans="1:15" x14ac:dyDescent="0.25">
      <c r="A1018" s="13">
        <v>44449</v>
      </c>
      <c r="B1018" s="97">
        <v>4127</v>
      </c>
      <c r="C1018" t="s">
        <v>235</v>
      </c>
      <c r="D1018" s="94" t="s">
        <v>339</v>
      </c>
      <c r="E1018" t="s">
        <v>45</v>
      </c>
      <c r="F1018" t="s">
        <v>558</v>
      </c>
      <c r="G1018" s="50" t="s">
        <v>559</v>
      </c>
      <c r="H1018" s="50">
        <v>2</v>
      </c>
      <c r="I1018" s="100">
        <v>6.7391919697301583</v>
      </c>
      <c r="J1018" s="52">
        <v>3834.68</v>
      </c>
      <c r="K1018" s="67">
        <f t="shared" si="64"/>
        <v>106652.59452207494</v>
      </c>
      <c r="L1018" s="95">
        <f>+VLOOKUP(E1018,MARGEN!A:B,2,FALSE)</f>
        <v>0.1</v>
      </c>
      <c r="M1018" s="112">
        <f t="shared" si="61"/>
        <v>10665.259452207494</v>
      </c>
      <c r="N1018" s="113">
        <f t="shared" si="62"/>
        <v>426.61037808829974</v>
      </c>
      <c r="O1018" s="113">
        <f t="shared" si="63"/>
        <v>95560.724691779149</v>
      </c>
    </row>
    <row r="1019" spans="1:15" x14ac:dyDescent="0.25">
      <c r="A1019" s="13">
        <v>44449</v>
      </c>
      <c r="B1019" s="97">
        <v>3911</v>
      </c>
      <c r="C1019" t="s">
        <v>71</v>
      </c>
      <c r="D1019" s="94" t="s">
        <v>337</v>
      </c>
      <c r="E1019" t="s">
        <v>45</v>
      </c>
      <c r="F1019" t="s">
        <v>566</v>
      </c>
      <c r="G1019" s="50" t="s">
        <v>559</v>
      </c>
      <c r="H1019" s="50">
        <v>2</v>
      </c>
      <c r="I1019" s="100">
        <v>6.7391919697301583</v>
      </c>
      <c r="J1019" s="52">
        <v>3834.68</v>
      </c>
      <c r="K1019" s="67">
        <f t="shared" si="64"/>
        <v>101070.58327497823</v>
      </c>
      <c r="L1019" s="95">
        <f>+VLOOKUP(E1019,MARGEN!A:B,2,FALSE)</f>
        <v>0.1</v>
      </c>
      <c r="M1019" s="112">
        <f t="shared" si="61"/>
        <v>10107.058327497823</v>
      </c>
      <c r="N1019" s="113">
        <f t="shared" si="62"/>
        <v>404.28233309991293</v>
      </c>
      <c r="O1019" s="113">
        <f t="shared" si="63"/>
        <v>90559.242614380491</v>
      </c>
    </row>
    <row r="1020" spans="1:15" x14ac:dyDescent="0.25">
      <c r="A1020" s="13">
        <v>44449</v>
      </c>
      <c r="B1020" s="97">
        <v>3911</v>
      </c>
      <c r="C1020" t="s">
        <v>71</v>
      </c>
      <c r="D1020" s="94" t="s">
        <v>337</v>
      </c>
      <c r="E1020" t="s">
        <v>45</v>
      </c>
      <c r="F1020" t="s">
        <v>566</v>
      </c>
      <c r="G1020" s="50" t="s">
        <v>559</v>
      </c>
      <c r="H1020" s="50">
        <v>2</v>
      </c>
      <c r="I1020" s="100">
        <v>6.7391919697301583</v>
      </c>
      <c r="J1020" s="52">
        <v>3834.68</v>
      </c>
      <c r="K1020" s="67">
        <f t="shared" si="64"/>
        <v>101070.58327497823</v>
      </c>
      <c r="L1020" s="95">
        <f>+VLOOKUP(E1020,MARGEN!A:B,2,FALSE)</f>
        <v>0.1</v>
      </c>
      <c r="M1020" s="112">
        <f t="shared" si="61"/>
        <v>10107.058327497823</v>
      </c>
      <c r="N1020" s="113">
        <f t="shared" si="62"/>
        <v>404.28233309991293</v>
      </c>
      <c r="O1020" s="113">
        <f t="shared" si="63"/>
        <v>90559.242614380491</v>
      </c>
    </row>
    <row r="1021" spans="1:15" x14ac:dyDescent="0.25">
      <c r="A1021" s="13">
        <v>44449</v>
      </c>
      <c r="B1021" s="97">
        <v>3815</v>
      </c>
      <c r="C1021" t="s">
        <v>249</v>
      </c>
      <c r="D1021" s="94" t="s">
        <v>334</v>
      </c>
      <c r="E1021" t="s">
        <v>45</v>
      </c>
      <c r="F1021" t="s">
        <v>558</v>
      </c>
      <c r="G1021" s="50" t="s">
        <v>559</v>
      </c>
      <c r="H1021" s="50">
        <v>2</v>
      </c>
      <c r="I1021" s="100">
        <v>6.7391919697301583</v>
      </c>
      <c r="J1021" s="52">
        <v>3834.68</v>
      </c>
      <c r="K1021" s="67">
        <f t="shared" si="64"/>
        <v>98589.68938737968</v>
      </c>
      <c r="L1021" s="95">
        <f>+VLOOKUP(E1021,MARGEN!A:B,2,FALSE)</f>
        <v>0.1</v>
      </c>
      <c r="M1021" s="112">
        <f t="shared" si="61"/>
        <v>9858.9689387379694</v>
      </c>
      <c r="N1021" s="113">
        <f t="shared" si="62"/>
        <v>394.35875754951871</v>
      </c>
      <c r="O1021" s="113">
        <f t="shared" si="63"/>
        <v>88336.361691092199</v>
      </c>
    </row>
    <row r="1022" spans="1:15" x14ac:dyDescent="0.25">
      <c r="A1022" s="13">
        <v>44449</v>
      </c>
      <c r="B1022" s="97">
        <v>3815</v>
      </c>
      <c r="C1022" t="s">
        <v>249</v>
      </c>
      <c r="D1022" s="94" t="s">
        <v>334</v>
      </c>
      <c r="E1022" t="s">
        <v>45</v>
      </c>
      <c r="F1022" t="s">
        <v>558</v>
      </c>
      <c r="G1022" s="50" t="s">
        <v>559</v>
      </c>
      <c r="H1022" s="50">
        <v>2</v>
      </c>
      <c r="I1022" s="100">
        <v>6.7391919697301583</v>
      </c>
      <c r="J1022" s="52">
        <v>3834.68</v>
      </c>
      <c r="K1022" s="67">
        <f t="shared" si="64"/>
        <v>98589.68938737968</v>
      </c>
      <c r="L1022" s="95">
        <f>+VLOOKUP(E1022,MARGEN!A:B,2,FALSE)</f>
        <v>0.1</v>
      </c>
      <c r="M1022" s="112">
        <f t="shared" si="61"/>
        <v>9858.9689387379694</v>
      </c>
      <c r="N1022" s="113">
        <f t="shared" si="62"/>
        <v>394.35875754951871</v>
      </c>
      <c r="O1022" s="113">
        <f t="shared" si="63"/>
        <v>88336.361691092199</v>
      </c>
    </row>
    <row r="1023" spans="1:15" x14ac:dyDescent="0.25">
      <c r="A1023" s="13">
        <v>44449</v>
      </c>
      <c r="B1023" s="97">
        <v>3143</v>
      </c>
      <c r="C1023" t="s">
        <v>277</v>
      </c>
      <c r="D1023" t="s">
        <v>513</v>
      </c>
      <c r="E1023" t="s">
        <v>45</v>
      </c>
      <c r="F1023" t="s">
        <v>558</v>
      </c>
      <c r="G1023" s="50" t="s">
        <v>559</v>
      </c>
      <c r="H1023" s="50">
        <v>2</v>
      </c>
      <c r="I1023" s="100">
        <v>6.7391919697301583</v>
      </c>
      <c r="J1023" s="52">
        <v>3834.68</v>
      </c>
      <c r="K1023" s="67">
        <f t="shared" si="64"/>
        <v>81223.43217418986</v>
      </c>
      <c r="L1023" s="95">
        <f>+VLOOKUP(E1023,MARGEN!A:B,2,FALSE)</f>
        <v>0.1</v>
      </c>
      <c r="M1023" s="112">
        <f t="shared" si="61"/>
        <v>8122.3432174189866</v>
      </c>
      <c r="N1023" s="113">
        <f t="shared" si="62"/>
        <v>324.89372869675947</v>
      </c>
      <c r="O1023" s="113">
        <f t="shared" si="63"/>
        <v>72776.195228074124</v>
      </c>
    </row>
    <row r="1024" spans="1:15" x14ac:dyDescent="0.25">
      <c r="A1024" s="13">
        <v>44449</v>
      </c>
      <c r="B1024" s="97">
        <v>3143</v>
      </c>
      <c r="C1024" t="s">
        <v>277</v>
      </c>
      <c r="D1024" s="94" t="s">
        <v>513</v>
      </c>
      <c r="E1024" t="s">
        <v>45</v>
      </c>
      <c r="F1024" t="s">
        <v>558</v>
      </c>
      <c r="G1024" s="50" t="s">
        <v>559</v>
      </c>
      <c r="H1024" s="50">
        <v>2</v>
      </c>
      <c r="I1024" s="100">
        <v>6.7391919697301583</v>
      </c>
      <c r="J1024" s="52">
        <v>3834.68</v>
      </c>
      <c r="K1024" s="67">
        <f t="shared" si="64"/>
        <v>81223.43217418986</v>
      </c>
      <c r="L1024" s="95">
        <f>+VLOOKUP(E1024,MARGEN!A:B,2,FALSE)</f>
        <v>0.1</v>
      </c>
      <c r="M1024" s="112">
        <f t="shared" si="61"/>
        <v>8122.3432174189866</v>
      </c>
      <c r="N1024" s="113">
        <f t="shared" si="62"/>
        <v>324.89372869675947</v>
      </c>
      <c r="O1024" s="113">
        <f t="shared" si="63"/>
        <v>72776.195228074124</v>
      </c>
    </row>
    <row r="1025" spans="1:15" x14ac:dyDescent="0.25">
      <c r="A1025" s="13">
        <v>44449</v>
      </c>
      <c r="B1025" s="97">
        <v>2855</v>
      </c>
      <c r="C1025" t="s">
        <v>268</v>
      </c>
      <c r="D1025" s="94" t="s">
        <v>514</v>
      </c>
      <c r="E1025" t="s">
        <v>45</v>
      </c>
      <c r="F1025" t="s">
        <v>566</v>
      </c>
      <c r="G1025" s="50" t="s">
        <v>559</v>
      </c>
      <c r="H1025" s="50">
        <v>2</v>
      </c>
      <c r="I1025" s="100">
        <v>6.7391919697301583</v>
      </c>
      <c r="J1025" s="52">
        <v>3834.68</v>
      </c>
      <c r="K1025" s="67">
        <f t="shared" si="64"/>
        <v>73780.750511394232</v>
      </c>
      <c r="L1025" s="95">
        <f>+VLOOKUP(E1025,MARGEN!A:B,2,FALSE)</f>
        <v>0.1</v>
      </c>
      <c r="M1025" s="112">
        <f t="shared" si="61"/>
        <v>7378.0750511394235</v>
      </c>
      <c r="N1025" s="113">
        <f t="shared" si="62"/>
        <v>295.12300204557692</v>
      </c>
      <c r="O1025" s="113">
        <f t="shared" si="63"/>
        <v>66107.552458209218</v>
      </c>
    </row>
    <row r="1026" spans="1:15" x14ac:dyDescent="0.25">
      <c r="A1026" s="13">
        <v>44449</v>
      </c>
      <c r="B1026" s="97">
        <v>2855</v>
      </c>
      <c r="C1026" t="s">
        <v>268</v>
      </c>
      <c r="D1026" s="94" t="s">
        <v>514</v>
      </c>
      <c r="E1026" t="s">
        <v>45</v>
      </c>
      <c r="F1026" t="s">
        <v>566</v>
      </c>
      <c r="G1026" s="50" t="s">
        <v>559</v>
      </c>
      <c r="H1026" s="50">
        <v>2</v>
      </c>
      <c r="I1026" s="100">
        <v>6.7391919697301583</v>
      </c>
      <c r="J1026" s="52">
        <v>3834.68</v>
      </c>
      <c r="K1026" s="67">
        <f t="shared" si="64"/>
        <v>73780.750511394232</v>
      </c>
      <c r="L1026" s="95">
        <f>+VLOOKUP(E1026,MARGEN!A:B,2,FALSE)</f>
        <v>0.1</v>
      </c>
      <c r="M1026" s="112">
        <f t="shared" si="61"/>
        <v>7378.0750511394235</v>
      </c>
      <c r="N1026" s="113">
        <f t="shared" si="62"/>
        <v>295.12300204557692</v>
      </c>
      <c r="O1026" s="113">
        <f t="shared" si="63"/>
        <v>66107.552458209218</v>
      </c>
    </row>
    <row r="1027" spans="1:15" x14ac:dyDescent="0.25">
      <c r="A1027" s="13">
        <v>44449</v>
      </c>
      <c r="B1027" s="97">
        <v>2807</v>
      </c>
      <c r="C1027" t="s">
        <v>178</v>
      </c>
      <c r="D1027" s="94" t="s">
        <v>370</v>
      </c>
      <c r="E1027" t="s">
        <v>45</v>
      </c>
      <c r="F1027" t="s">
        <v>566</v>
      </c>
      <c r="G1027" s="50" t="s">
        <v>559</v>
      </c>
      <c r="H1027" s="50">
        <v>2</v>
      </c>
      <c r="I1027" s="100">
        <v>6.7391919697301583</v>
      </c>
      <c r="J1027" s="52">
        <v>3834.68</v>
      </c>
      <c r="K1027" s="67">
        <f t="shared" si="64"/>
        <v>72540.303567594965</v>
      </c>
      <c r="L1027" s="95">
        <f>+VLOOKUP(E1027,MARGEN!A:B,2,FALSE)</f>
        <v>0.1</v>
      </c>
      <c r="M1027" s="112">
        <f t="shared" ref="M1027:M1090" si="65">+K1027*L1027</f>
        <v>7254.0303567594965</v>
      </c>
      <c r="N1027" s="113">
        <f t="shared" ref="N1027:N1090" si="66">+K1027*4/1000</f>
        <v>290.16121427037984</v>
      </c>
      <c r="O1027" s="113">
        <f t="shared" ref="O1027:O1090" si="67">+K1027-M1027-N1027</f>
        <v>64996.111996565087</v>
      </c>
    </row>
    <row r="1028" spans="1:15" x14ac:dyDescent="0.25">
      <c r="A1028" s="13">
        <v>44449</v>
      </c>
      <c r="B1028" s="97">
        <v>2807</v>
      </c>
      <c r="C1028" t="s">
        <v>178</v>
      </c>
      <c r="D1028" s="94" t="s">
        <v>370</v>
      </c>
      <c r="E1028" t="s">
        <v>45</v>
      </c>
      <c r="F1028" t="s">
        <v>566</v>
      </c>
      <c r="G1028" s="50" t="s">
        <v>559</v>
      </c>
      <c r="H1028" s="50">
        <v>2</v>
      </c>
      <c r="I1028" s="100">
        <v>6.7391919697301583</v>
      </c>
      <c r="J1028" s="52">
        <v>3834.68</v>
      </c>
      <c r="K1028" s="67">
        <f t="shared" si="64"/>
        <v>72540.303567594965</v>
      </c>
      <c r="L1028" s="95">
        <f>+VLOOKUP(E1028,MARGEN!A:B,2,FALSE)</f>
        <v>0.1</v>
      </c>
      <c r="M1028" s="112">
        <f t="shared" si="65"/>
        <v>7254.0303567594965</v>
      </c>
      <c r="N1028" s="113">
        <f t="shared" si="66"/>
        <v>290.16121427037984</v>
      </c>
      <c r="O1028" s="113">
        <f t="shared" si="67"/>
        <v>64996.111996565087</v>
      </c>
    </row>
    <row r="1029" spans="1:15" x14ac:dyDescent="0.25">
      <c r="A1029" s="13">
        <v>44449</v>
      </c>
      <c r="B1029" s="97">
        <v>2663</v>
      </c>
      <c r="C1029" t="s">
        <v>138</v>
      </c>
      <c r="D1029" s="94" t="s">
        <v>321</v>
      </c>
      <c r="E1029" t="s">
        <v>45</v>
      </c>
      <c r="F1029" t="s">
        <v>551</v>
      </c>
      <c r="G1029" s="50" t="s">
        <v>205</v>
      </c>
      <c r="H1029" s="50">
        <v>2</v>
      </c>
      <c r="I1029" s="100">
        <v>6.7391919697301583</v>
      </c>
      <c r="J1029" s="52">
        <v>3834.68</v>
      </c>
      <c r="K1029" s="67">
        <f t="shared" si="64"/>
        <v>68818.962736197136</v>
      </c>
      <c r="L1029" s="95">
        <f>+VLOOKUP(E1029,MARGEN!A:B,2,FALSE)</f>
        <v>0.1</v>
      </c>
      <c r="M1029" s="112">
        <f t="shared" si="65"/>
        <v>6881.8962736197136</v>
      </c>
      <c r="N1029" s="113">
        <f t="shared" si="66"/>
        <v>275.27585094478854</v>
      </c>
      <c r="O1029" s="113">
        <f t="shared" si="67"/>
        <v>61661.790611632634</v>
      </c>
    </row>
    <row r="1030" spans="1:15" x14ac:dyDescent="0.25">
      <c r="A1030" s="13">
        <v>44449</v>
      </c>
      <c r="B1030" s="97">
        <v>2183</v>
      </c>
      <c r="C1030" t="s">
        <v>560</v>
      </c>
      <c r="D1030" s="94" t="s">
        <v>561</v>
      </c>
      <c r="E1030" t="s">
        <v>45</v>
      </c>
      <c r="F1030" t="s">
        <v>558</v>
      </c>
      <c r="G1030" s="50" t="s">
        <v>559</v>
      </c>
      <c r="H1030" s="50">
        <v>2</v>
      </c>
      <c r="I1030" s="100">
        <v>6.7391919697301583</v>
      </c>
      <c r="J1030" s="52">
        <v>3834.68</v>
      </c>
      <c r="K1030" s="67">
        <f t="shared" si="64"/>
        <v>56414.493298204405</v>
      </c>
      <c r="L1030" s="95">
        <f>+VLOOKUP(E1030,MARGEN!A:B,2,FALSE)</f>
        <v>0.1</v>
      </c>
      <c r="M1030" s="112">
        <f t="shared" si="65"/>
        <v>5641.4493298204407</v>
      </c>
      <c r="N1030" s="113">
        <f t="shared" si="66"/>
        <v>225.65797319281762</v>
      </c>
      <c r="O1030" s="113">
        <f t="shared" si="67"/>
        <v>50547.385995191151</v>
      </c>
    </row>
    <row r="1031" spans="1:15" x14ac:dyDescent="0.25">
      <c r="A1031" s="13">
        <v>44449</v>
      </c>
      <c r="B1031" s="97">
        <v>2159</v>
      </c>
      <c r="C1031" t="s">
        <v>560</v>
      </c>
      <c r="D1031" s="94" t="s">
        <v>561</v>
      </c>
      <c r="E1031" t="s">
        <v>45</v>
      </c>
      <c r="F1031" t="s">
        <v>566</v>
      </c>
      <c r="G1031" s="50" t="s">
        <v>559</v>
      </c>
      <c r="H1031" s="50">
        <v>2</v>
      </c>
      <c r="I1031" s="100">
        <v>6.7391919697301583</v>
      </c>
      <c r="J1031" s="52">
        <v>3834.68</v>
      </c>
      <c r="K1031" s="67">
        <f t="shared" si="64"/>
        <v>55794.269826304779</v>
      </c>
      <c r="L1031" s="95">
        <f>+VLOOKUP(E1031,MARGEN!A:B,2,FALSE)</f>
        <v>0.1</v>
      </c>
      <c r="M1031" s="112">
        <f t="shared" si="65"/>
        <v>5579.4269826304781</v>
      </c>
      <c r="N1031" s="113">
        <f t="shared" si="66"/>
        <v>223.17707930521911</v>
      </c>
      <c r="O1031" s="113">
        <f t="shared" si="67"/>
        <v>49991.665764369078</v>
      </c>
    </row>
    <row r="1032" spans="1:15" x14ac:dyDescent="0.25">
      <c r="A1032" s="13">
        <v>44449</v>
      </c>
      <c r="B1032" s="97">
        <v>2087</v>
      </c>
      <c r="C1032" t="s">
        <v>92</v>
      </c>
      <c r="D1032" s="94" t="s">
        <v>490</v>
      </c>
      <c r="E1032" t="s">
        <v>45</v>
      </c>
      <c r="F1032" t="s">
        <v>558</v>
      </c>
      <c r="G1032" s="50" t="s">
        <v>559</v>
      </c>
      <c r="H1032" s="50">
        <v>2</v>
      </c>
      <c r="I1032" s="100">
        <v>6.7391919697301583</v>
      </c>
      <c r="J1032" s="52">
        <v>3834.68</v>
      </c>
      <c r="K1032" s="67">
        <f t="shared" si="64"/>
        <v>53933.599410605872</v>
      </c>
      <c r="L1032" s="95">
        <f>+VLOOKUP(E1032,MARGEN!A:B,2,FALSE)</f>
        <v>0.1</v>
      </c>
      <c r="M1032" s="112">
        <f t="shared" si="65"/>
        <v>5393.3599410605875</v>
      </c>
      <c r="N1032" s="113">
        <f t="shared" si="66"/>
        <v>215.73439764242349</v>
      </c>
      <c r="O1032" s="113">
        <f t="shared" si="67"/>
        <v>48324.505071902859</v>
      </c>
    </row>
    <row r="1033" spans="1:15" x14ac:dyDescent="0.25">
      <c r="A1033" s="13">
        <v>44449</v>
      </c>
      <c r="B1033" s="97">
        <v>2039</v>
      </c>
      <c r="C1033" t="s">
        <v>92</v>
      </c>
      <c r="D1033" s="94" t="s">
        <v>490</v>
      </c>
      <c r="E1033" t="s">
        <v>45</v>
      </c>
      <c r="F1033" t="s">
        <v>566</v>
      </c>
      <c r="G1033" s="50" t="s">
        <v>559</v>
      </c>
      <c r="H1033" s="50">
        <v>2</v>
      </c>
      <c r="I1033" s="100">
        <v>6.7391919697301583</v>
      </c>
      <c r="J1033" s="52">
        <v>3834.68</v>
      </c>
      <c r="K1033" s="67">
        <f t="shared" ref="K1033:K1096" si="68">+B1033*I1033*J1033/1000</f>
        <v>52693.152466806598</v>
      </c>
      <c r="L1033" s="95">
        <f>+VLOOKUP(E1033,MARGEN!A:B,2,FALSE)</f>
        <v>0.1</v>
      </c>
      <c r="M1033" s="112">
        <f t="shared" si="65"/>
        <v>5269.3152466806605</v>
      </c>
      <c r="N1033" s="113">
        <f t="shared" si="66"/>
        <v>210.77260986722638</v>
      </c>
      <c r="O1033" s="113">
        <f t="shared" si="67"/>
        <v>47213.064610258705</v>
      </c>
    </row>
    <row r="1034" spans="1:15" x14ac:dyDescent="0.25">
      <c r="A1034" s="13">
        <v>44449</v>
      </c>
      <c r="B1034" s="97">
        <v>1727</v>
      </c>
      <c r="C1034" t="s">
        <v>190</v>
      </c>
      <c r="D1034" s="94" t="s">
        <v>356</v>
      </c>
      <c r="E1034" t="s">
        <v>45</v>
      </c>
      <c r="F1034" t="s">
        <v>558</v>
      </c>
      <c r="G1034" s="50" t="s">
        <v>559</v>
      </c>
      <c r="H1034" s="50">
        <v>2</v>
      </c>
      <c r="I1034" s="100">
        <v>6.7391919697301583</v>
      </c>
      <c r="J1034" s="52">
        <v>3834.68</v>
      </c>
      <c r="K1034" s="67">
        <f t="shared" si="68"/>
        <v>44630.247332111321</v>
      </c>
      <c r="L1034" s="95">
        <f>+VLOOKUP(E1034,MARGEN!A:B,2,FALSE)</f>
        <v>0.1</v>
      </c>
      <c r="M1034" s="112">
        <f t="shared" si="65"/>
        <v>4463.0247332111321</v>
      </c>
      <c r="N1034" s="113">
        <f t="shared" si="66"/>
        <v>178.5209893284453</v>
      </c>
      <c r="O1034" s="113">
        <f t="shared" si="67"/>
        <v>39988.701609571741</v>
      </c>
    </row>
    <row r="1035" spans="1:15" x14ac:dyDescent="0.25">
      <c r="A1035" s="13">
        <v>44449</v>
      </c>
      <c r="B1035" s="97">
        <v>1679</v>
      </c>
      <c r="C1035" t="s">
        <v>190</v>
      </c>
      <c r="D1035" s="94" t="s">
        <v>356</v>
      </c>
      <c r="E1035" t="s">
        <v>45</v>
      </c>
      <c r="F1035" t="s">
        <v>562</v>
      </c>
      <c r="G1035" s="50" t="s">
        <v>559</v>
      </c>
      <c r="H1035" s="50">
        <v>2</v>
      </c>
      <c r="I1035" s="100">
        <v>6.7391919697301583</v>
      </c>
      <c r="J1035" s="52">
        <v>3834.68</v>
      </c>
      <c r="K1035" s="67">
        <f t="shared" si="68"/>
        <v>43389.800388312047</v>
      </c>
      <c r="L1035" s="95">
        <f>+VLOOKUP(E1035,MARGEN!A:B,2,FALSE)</f>
        <v>0.1</v>
      </c>
      <c r="M1035" s="112">
        <f t="shared" si="65"/>
        <v>4338.9800388312051</v>
      </c>
      <c r="N1035" s="113">
        <f t="shared" si="66"/>
        <v>173.55920155324819</v>
      </c>
      <c r="O1035" s="113">
        <f t="shared" si="67"/>
        <v>38877.261147927595</v>
      </c>
    </row>
    <row r="1036" spans="1:15" x14ac:dyDescent="0.25">
      <c r="A1036" s="13">
        <v>44449</v>
      </c>
      <c r="B1036" s="51">
        <v>1391</v>
      </c>
      <c r="C1036" s="66" t="s">
        <v>107</v>
      </c>
      <c r="D1036" s="66" t="s">
        <v>346</v>
      </c>
      <c r="E1036" t="s">
        <v>45</v>
      </c>
      <c r="F1036" s="50" t="s">
        <v>566</v>
      </c>
      <c r="G1036" s="50" t="s">
        <v>559</v>
      </c>
      <c r="H1036" s="50">
        <v>2</v>
      </c>
      <c r="I1036" s="100">
        <v>6.7391919697301583</v>
      </c>
      <c r="J1036" s="52">
        <v>3834.68</v>
      </c>
      <c r="K1036" s="67">
        <f t="shared" si="68"/>
        <v>35947.118725516419</v>
      </c>
      <c r="L1036" s="95">
        <f>+VLOOKUP(E1036,MARGEN!A:B,2,FALSE)</f>
        <v>0.1</v>
      </c>
      <c r="M1036" s="112">
        <f t="shared" si="65"/>
        <v>3594.711872551642</v>
      </c>
      <c r="N1036" s="113">
        <f t="shared" si="66"/>
        <v>143.78847490206567</v>
      </c>
      <c r="O1036" s="113">
        <f t="shared" si="67"/>
        <v>32208.618378062711</v>
      </c>
    </row>
    <row r="1037" spans="1:15" x14ac:dyDescent="0.25">
      <c r="A1037" s="13">
        <v>44449</v>
      </c>
      <c r="B1037" s="97">
        <v>1391</v>
      </c>
      <c r="C1037" t="s">
        <v>107</v>
      </c>
      <c r="D1037" s="94" t="s">
        <v>346</v>
      </c>
      <c r="E1037" t="s">
        <v>45</v>
      </c>
      <c r="F1037" t="s">
        <v>558</v>
      </c>
      <c r="G1037" s="50" t="s">
        <v>559</v>
      </c>
      <c r="H1037" s="50">
        <v>2</v>
      </c>
      <c r="I1037" s="100">
        <v>6.7391919697301583</v>
      </c>
      <c r="J1037" s="52">
        <v>3834.68</v>
      </c>
      <c r="K1037" s="67">
        <f t="shared" si="68"/>
        <v>35947.118725516419</v>
      </c>
      <c r="L1037" s="95">
        <f>+VLOOKUP(E1037,MARGEN!A:B,2,FALSE)</f>
        <v>0.1</v>
      </c>
      <c r="M1037" s="112">
        <f t="shared" si="65"/>
        <v>3594.711872551642</v>
      </c>
      <c r="N1037" s="113">
        <f t="shared" si="66"/>
        <v>143.78847490206567</v>
      </c>
      <c r="O1037" s="113">
        <f t="shared" si="67"/>
        <v>32208.618378062711</v>
      </c>
    </row>
    <row r="1038" spans="1:15" x14ac:dyDescent="0.25">
      <c r="A1038" s="13">
        <v>44450</v>
      </c>
      <c r="B1038" s="97">
        <v>16341</v>
      </c>
      <c r="C1038" t="s">
        <v>78</v>
      </c>
      <c r="D1038" s="94" t="s">
        <v>412</v>
      </c>
      <c r="E1038" t="s">
        <v>45</v>
      </c>
      <c r="F1038" t="s">
        <v>558</v>
      </c>
      <c r="G1038" s="50" t="s">
        <v>559</v>
      </c>
      <c r="H1038" s="50">
        <v>2</v>
      </c>
      <c r="I1038" s="100">
        <v>6.7391919697301583</v>
      </c>
      <c r="J1038" s="52">
        <v>3834.68</v>
      </c>
      <c r="K1038" s="67">
        <f t="shared" si="68"/>
        <v>422294.65642966487</v>
      </c>
      <c r="L1038" s="95">
        <f>+VLOOKUP(E1038,MARGEN!A:B,2,FALSE)</f>
        <v>0.1</v>
      </c>
      <c r="M1038" s="112">
        <f t="shared" si="65"/>
        <v>42229.46564296649</v>
      </c>
      <c r="N1038" s="113">
        <f t="shared" si="66"/>
        <v>1689.1786257186595</v>
      </c>
      <c r="O1038" s="113">
        <f t="shared" si="67"/>
        <v>378376.01216097974</v>
      </c>
    </row>
    <row r="1039" spans="1:15" x14ac:dyDescent="0.25">
      <c r="A1039" s="13">
        <v>44450</v>
      </c>
      <c r="B1039" s="97">
        <v>12814</v>
      </c>
      <c r="C1039" t="s">
        <v>73</v>
      </c>
      <c r="D1039" s="94" t="s">
        <v>338</v>
      </c>
      <c r="E1039" t="s">
        <v>45</v>
      </c>
      <c r="F1039" t="s">
        <v>566</v>
      </c>
      <c r="G1039" s="50" t="s">
        <v>559</v>
      </c>
      <c r="H1039" s="50">
        <v>2</v>
      </c>
      <c r="I1039" s="100">
        <v>6.7391919697301583</v>
      </c>
      <c r="J1039" s="52">
        <v>3834.68</v>
      </c>
      <c r="K1039" s="67">
        <f t="shared" si="68"/>
        <v>331147.64870508079</v>
      </c>
      <c r="L1039" s="95">
        <f>+VLOOKUP(E1039,MARGEN!A:B,2,FALSE)</f>
        <v>0.1</v>
      </c>
      <c r="M1039" s="112">
        <f t="shared" si="65"/>
        <v>33114.764870508079</v>
      </c>
      <c r="N1039" s="113">
        <f t="shared" si="66"/>
        <v>1324.5905948203231</v>
      </c>
      <c r="O1039" s="113">
        <f t="shared" si="67"/>
        <v>296708.29323975241</v>
      </c>
    </row>
    <row r="1040" spans="1:15" x14ac:dyDescent="0.25">
      <c r="A1040" s="13">
        <v>44450</v>
      </c>
      <c r="B1040" s="97">
        <v>9933</v>
      </c>
      <c r="C1040" t="s">
        <v>95</v>
      </c>
      <c r="D1040" s="94" t="s">
        <v>510</v>
      </c>
      <c r="E1040" t="s">
        <v>45</v>
      </c>
      <c r="F1040" t="s">
        <v>562</v>
      </c>
      <c r="G1040" s="50" t="s">
        <v>559</v>
      </c>
      <c r="H1040" s="50">
        <v>2</v>
      </c>
      <c r="I1040" s="100">
        <v>6.7391919697301583</v>
      </c>
      <c r="J1040" s="52">
        <v>3834.68</v>
      </c>
      <c r="K1040" s="67">
        <f t="shared" si="68"/>
        <v>256694.98943246197</v>
      </c>
      <c r="L1040" s="95">
        <f>+VLOOKUP(E1040,MARGEN!A:B,2,FALSE)</f>
        <v>0.1</v>
      </c>
      <c r="M1040" s="112">
        <f t="shared" si="65"/>
        <v>25669.498943246199</v>
      </c>
      <c r="N1040" s="113">
        <f t="shared" si="66"/>
        <v>1026.7799577298479</v>
      </c>
      <c r="O1040" s="113">
        <f t="shared" si="67"/>
        <v>229998.71053148591</v>
      </c>
    </row>
    <row r="1041" spans="1:15" x14ac:dyDescent="0.25">
      <c r="A1041" s="13">
        <v>44450</v>
      </c>
      <c r="B1041" s="51">
        <v>8158</v>
      </c>
      <c r="C1041" s="66" t="s">
        <v>191</v>
      </c>
      <c r="D1041" s="66" t="s">
        <v>354</v>
      </c>
      <c r="E1041" t="s">
        <v>45</v>
      </c>
      <c r="F1041" s="50" t="s">
        <v>566</v>
      </c>
      <c r="G1041" s="50" t="s">
        <v>559</v>
      </c>
      <c r="H1041" s="50">
        <v>2</v>
      </c>
      <c r="I1041" s="100">
        <v>6.7391919697301583</v>
      </c>
      <c r="J1041" s="52">
        <v>3834.68</v>
      </c>
      <c r="K1041" s="67">
        <f t="shared" si="68"/>
        <v>210824.29515655132</v>
      </c>
      <c r="L1041" s="95">
        <f>+VLOOKUP(E1041,MARGEN!A:B,2,FALSE)</f>
        <v>0.1</v>
      </c>
      <c r="M1041" s="112">
        <f t="shared" si="65"/>
        <v>21082.429515655134</v>
      </c>
      <c r="N1041" s="113">
        <f t="shared" si="66"/>
        <v>843.29718062620532</v>
      </c>
      <c r="O1041" s="113">
        <f t="shared" si="67"/>
        <v>188898.56846027001</v>
      </c>
    </row>
    <row r="1042" spans="1:15" x14ac:dyDescent="0.25">
      <c r="A1042" s="13">
        <v>44450</v>
      </c>
      <c r="B1042" s="97">
        <v>7606</v>
      </c>
      <c r="C1042" s="88" t="s">
        <v>248</v>
      </c>
      <c r="D1042" t="s">
        <v>385</v>
      </c>
      <c r="E1042" t="s">
        <v>45</v>
      </c>
      <c r="F1042" t="s">
        <v>566</v>
      </c>
      <c r="G1042" s="50" t="s">
        <v>559</v>
      </c>
      <c r="H1042" s="50">
        <v>2</v>
      </c>
      <c r="I1042" s="100">
        <v>6.7391919697301583</v>
      </c>
      <c r="J1042" s="52">
        <v>3834.68</v>
      </c>
      <c r="K1042" s="67">
        <f t="shared" si="68"/>
        <v>196559.1553028597</v>
      </c>
      <c r="L1042" s="95">
        <f>+VLOOKUP(E1042,MARGEN!A:B,2,FALSE)</f>
        <v>0.1</v>
      </c>
      <c r="M1042" s="112">
        <f t="shared" si="65"/>
        <v>19655.915530285973</v>
      </c>
      <c r="N1042" s="113">
        <f t="shared" si="66"/>
        <v>786.23662121143877</v>
      </c>
      <c r="O1042" s="113">
        <f t="shared" si="67"/>
        <v>176117.0031513623</v>
      </c>
    </row>
    <row r="1043" spans="1:15" x14ac:dyDescent="0.25">
      <c r="A1043" s="13">
        <v>44450</v>
      </c>
      <c r="B1043" s="97">
        <v>7582</v>
      </c>
      <c r="C1043" t="s">
        <v>90</v>
      </c>
      <c r="D1043" s="94" t="s">
        <v>350</v>
      </c>
      <c r="E1043" t="s">
        <v>45</v>
      </c>
      <c r="F1043" t="s">
        <v>562</v>
      </c>
      <c r="G1043" s="50" t="s">
        <v>559</v>
      </c>
      <c r="H1043" s="50">
        <v>2</v>
      </c>
      <c r="I1043" s="100">
        <v>6.7391919697301583</v>
      </c>
      <c r="J1043" s="52">
        <v>3834.68</v>
      </c>
      <c r="K1043" s="67">
        <f t="shared" si="68"/>
        <v>195938.93183096006</v>
      </c>
      <c r="L1043" s="95">
        <f>+VLOOKUP(E1043,MARGEN!A:B,2,FALSE)</f>
        <v>0.1</v>
      </c>
      <c r="M1043" s="112">
        <f t="shared" si="65"/>
        <v>19593.893183096006</v>
      </c>
      <c r="N1043" s="113">
        <f t="shared" si="66"/>
        <v>783.75572732384023</v>
      </c>
      <c r="O1043" s="113">
        <f t="shared" si="67"/>
        <v>175561.28292054022</v>
      </c>
    </row>
    <row r="1044" spans="1:15" x14ac:dyDescent="0.25">
      <c r="A1044" s="13">
        <v>44450</v>
      </c>
      <c r="B1044" s="97">
        <v>7534</v>
      </c>
      <c r="C1044" t="s">
        <v>179</v>
      </c>
      <c r="D1044" s="94" t="s">
        <v>361</v>
      </c>
      <c r="E1044" t="s">
        <v>45</v>
      </c>
      <c r="F1044" t="s">
        <v>562</v>
      </c>
      <c r="G1044" s="50" t="s">
        <v>559</v>
      </c>
      <c r="H1044" s="50">
        <v>2</v>
      </c>
      <c r="I1044" s="100">
        <v>6.7391919697301583</v>
      </c>
      <c r="J1044" s="52">
        <v>3834.68</v>
      </c>
      <c r="K1044" s="67">
        <f t="shared" si="68"/>
        <v>194698.4848871608</v>
      </c>
      <c r="L1044" s="95">
        <f>+VLOOKUP(E1044,MARGEN!A:B,2,FALSE)</f>
        <v>0.1</v>
      </c>
      <c r="M1044" s="112">
        <f t="shared" si="65"/>
        <v>19469.848488716081</v>
      </c>
      <c r="N1044" s="113">
        <f t="shared" si="66"/>
        <v>778.79393954864315</v>
      </c>
      <c r="O1044" s="113">
        <f t="shared" si="67"/>
        <v>174449.84245889608</v>
      </c>
    </row>
    <row r="1045" spans="1:15" x14ac:dyDescent="0.25">
      <c r="A1045" s="13">
        <v>44450</v>
      </c>
      <c r="B1045" s="97">
        <v>5638</v>
      </c>
      <c r="C1045" t="s">
        <v>275</v>
      </c>
      <c r="D1045" s="94" t="s">
        <v>519</v>
      </c>
      <c r="E1045" t="s">
        <v>45</v>
      </c>
      <c r="F1045" t="s">
        <v>562</v>
      </c>
      <c r="G1045" s="50" t="s">
        <v>559</v>
      </c>
      <c r="H1045" s="50">
        <v>2</v>
      </c>
      <c r="I1045" s="100">
        <v>6.7391919697301583</v>
      </c>
      <c r="J1045" s="52">
        <v>3834.68</v>
      </c>
      <c r="K1045" s="67">
        <f t="shared" si="68"/>
        <v>145700.83060708951</v>
      </c>
      <c r="L1045" s="95">
        <f>+VLOOKUP(E1045,MARGEN!A:B,2,FALSE)</f>
        <v>0.1</v>
      </c>
      <c r="M1045" s="112">
        <f t="shared" si="65"/>
        <v>14570.083060708952</v>
      </c>
      <c r="N1045" s="113">
        <f t="shared" si="66"/>
        <v>582.803322428358</v>
      </c>
      <c r="O1045" s="113">
        <f t="shared" si="67"/>
        <v>130547.9442239522</v>
      </c>
    </row>
    <row r="1046" spans="1:15" x14ac:dyDescent="0.25">
      <c r="A1046" s="13">
        <v>44450</v>
      </c>
      <c r="B1046" s="97">
        <v>5542</v>
      </c>
      <c r="C1046" t="s">
        <v>116</v>
      </c>
      <c r="D1046" s="94" t="s">
        <v>330</v>
      </c>
      <c r="E1046" t="s">
        <v>45</v>
      </c>
      <c r="F1046" t="s">
        <v>562</v>
      </c>
      <c r="G1046" s="50" t="s">
        <v>559</v>
      </c>
      <c r="H1046" s="50">
        <v>2</v>
      </c>
      <c r="I1046" s="100">
        <v>6.7391919697301583</v>
      </c>
      <c r="J1046" s="52">
        <v>3834.68</v>
      </c>
      <c r="K1046" s="67">
        <f t="shared" si="68"/>
        <v>143219.936719491</v>
      </c>
      <c r="L1046" s="95">
        <f>+VLOOKUP(E1046,MARGEN!A:B,2,FALSE)</f>
        <v>0.1</v>
      </c>
      <c r="M1046" s="112">
        <f t="shared" si="65"/>
        <v>14321.993671949102</v>
      </c>
      <c r="N1046" s="113">
        <f t="shared" si="66"/>
        <v>572.87974687796395</v>
      </c>
      <c r="O1046" s="113">
        <f t="shared" si="67"/>
        <v>128325.06330066393</v>
      </c>
    </row>
    <row r="1047" spans="1:15" x14ac:dyDescent="0.25">
      <c r="A1047" s="13">
        <v>44450</v>
      </c>
      <c r="B1047" s="97">
        <v>4535</v>
      </c>
      <c r="C1047" t="s">
        <v>76</v>
      </c>
      <c r="D1047" s="94" t="s">
        <v>332</v>
      </c>
      <c r="E1047" t="s">
        <v>45</v>
      </c>
      <c r="F1047" t="s">
        <v>566</v>
      </c>
      <c r="G1047" s="50" t="s">
        <v>559</v>
      </c>
      <c r="H1047" s="50">
        <v>2</v>
      </c>
      <c r="I1047" s="100">
        <v>6.7391919697301583</v>
      </c>
      <c r="J1047" s="52">
        <v>3834.68</v>
      </c>
      <c r="K1047" s="67">
        <f t="shared" si="68"/>
        <v>117196.39354436877</v>
      </c>
      <c r="L1047" s="95">
        <f>+VLOOKUP(E1047,MARGEN!A:B,2,FALSE)</f>
        <v>0.1</v>
      </c>
      <c r="M1047" s="112">
        <f t="shared" si="65"/>
        <v>11719.639354436877</v>
      </c>
      <c r="N1047" s="113">
        <f t="shared" si="66"/>
        <v>468.78557417747504</v>
      </c>
      <c r="O1047" s="113">
        <f t="shared" si="67"/>
        <v>105007.96861575442</v>
      </c>
    </row>
    <row r="1048" spans="1:15" x14ac:dyDescent="0.25">
      <c r="A1048" s="13">
        <v>44450</v>
      </c>
      <c r="B1048" s="97">
        <v>4319</v>
      </c>
      <c r="C1048" t="s">
        <v>91</v>
      </c>
      <c r="D1048" s="94" t="s">
        <v>340</v>
      </c>
      <c r="E1048" t="s">
        <v>45</v>
      </c>
      <c r="F1048" t="s">
        <v>566</v>
      </c>
      <c r="G1048" s="50" t="s">
        <v>559</v>
      </c>
      <c r="H1048" s="50">
        <v>2</v>
      </c>
      <c r="I1048" s="100">
        <v>6.7391919697301583</v>
      </c>
      <c r="J1048" s="52">
        <v>3834.68</v>
      </c>
      <c r="K1048" s="67">
        <f t="shared" si="68"/>
        <v>111614.38229727202</v>
      </c>
      <c r="L1048" s="95">
        <f>+VLOOKUP(E1048,MARGEN!A:B,2,FALSE)</f>
        <v>0.1</v>
      </c>
      <c r="M1048" s="112">
        <f t="shared" si="65"/>
        <v>11161.438229727202</v>
      </c>
      <c r="N1048" s="113">
        <f t="shared" si="66"/>
        <v>446.45752918908806</v>
      </c>
      <c r="O1048" s="113">
        <f t="shared" si="67"/>
        <v>100006.48653835573</v>
      </c>
    </row>
    <row r="1049" spans="1:15" x14ac:dyDescent="0.25">
      <c r="A1049" s="13">
        <v>44450</v>
      </c>
      <c r="B1049" s="97">
        <v>4175</v>
      </c>
      <c r="C1049" s="88" t="s">
        <v>276</v>
      </c>
      <c r="D1049" t="s">
        <v>512</v>
      </c>
      <c r="E1049" t="s">
        <v>45</v>
      </c>
      <c r="F1049" t="s">
        <v>562</v>
      </c>
      <c r="G1049" s="50" t="s">
        <v>559</v>
      </c>
      <c r="H1049" s="50">
        <v>2</v>
      </c>
      <c r="I1049" s="100">
        <v>6.7391919697301583</v>
      </c>
      <c r="J1049" s="52">
        <v>3834.68</v>
      </c>
      <c r="K1049" s="67">
        <f t="shared" si="68"/>
        <v>107893.04146587422</v>
      </c>
      <c r="L1049" s="95">
        <f>+VLOOKUP(E1049,MARGEN!A:B,2,FALSE)</f>
        <v>0.1</v>
      </c>
      <c r="M1049" s="112">
        <f t="shared" si="65"/>
        <v>10789.304146587423</v>
      </c>
      <c r="N1049" s="113">
        <f t="shared" si="66"/>
        <v>431.57216586349688</v>
      </c>
      <c r="O1049" s="113">
        <f t="shared" si="67"/>
        <v>96672.165153423295</v>
      </c>
    </row>
    <row r="1050" spans="1:15" x14ac:dyDescent="0.25">
      <c r="A1050" s="13">
        <v>44450</v>
      </c>
      <c r="B1050" s="97">
        <v>4127</v>
      </c>
      <c r="C1050" t="s">
        <v>235</v>
      </c>
      <c r="D1050" s="94" t="s">
        <v>339</v>
      </c>
      <c r="E1050" t="s">
        <v>45</v>
      </c>
      <c r="F1050" t="s">
        <v>558</v>
      </c>
      <c r="G1050" s="50" t="s">
        <v>559</v>
      </c>
      <c r="H1050" s="50">
        <v>2</v>
      </c>
      <c r="I1050" s="100">
        <v>6.7391919697301583</v>
      </c>
      <c r="J1050" s="52">
        <v>3834.68</v>
      </c>
      <c r="K1050" s="67">
        <f t="shared" si="68"/>
        <v>106652.59452207494</v>
      </c>
      <c r="L1050" s="95">
        <f>+VLOOKUP(E1050,MARGEN!A:B,2,FALSE)</f>
        <v>0.1</v>
      </c>
      <c r="M1050" s="112">
        <f t="shared" si="65"/>
        <v>10665.259452207494</v>
      </c>
      <c r="N1050" s="113">
        <f t="shared" si="66"/>
        <v>426.61037808829974</v>
      </c>
      <c r="O1050" s="113">
        <f t="shared" si="67"/>
        <v>95560.724691779149</v>
      </c>
    </row>
    <row r="1051" spans="1:15" x14ac:dyDescent="0.25">
      <c r="A1051" s="13">
        <v>44450</v>
      </c>
      <c r="B1051" s="97">
        <v>4103</v>
      </c>
      <c r="C1051" t="s">
        <v>234</v>
      </c>
      <c r="D1051" s="94" t="s">
        <v>331</v>
      </c>
      <c r="E1051" t="s">
        <v>45</v>
      </c>
      <c r="F1051" t="s">
        <v>566</v>
      </c>
      <c r="G1051" s="50" t="s">
        <v>559</v>
      </c>
      <c r="H1051" s="50">
        <v>2</v>
      </c>
      <c r="I1051" s="100">
        <v>6.7391919697301583</v>
      </c>
      <c r="J1051" s="52">
        <v>3834.68</v>
      </c>
      <c r="K1051" s="67">
        <f t="shared" si="68"/>
        <v>106032.37105017531</v>
      </c>
      <c r="L1051" s="95">
        <f>+VLOOKUP(E1051,MARGEN!A:B,2,FALSE)</f>
        <v>0.1</v>
      </c>
      <c r="M1051" s="112">
        <f t="shared" si="65"/>
        <v>10603.237105017532</v>
      </c>
      <c r="N1051" s="113">
        <f t="shared" si="66"/>
        <v>424.12948420070126</v>
      </c>
      <c r="O1051" s="113">
        <f t="shared" si="67"/>
        <v>95005.004460957076</v>
      </c>
    </row>
    <row r="1052" spans="1:15" x14ac:dyDescent="0.25">
      <c r="A1052" s="13">
        <v>44450</v>
      </c>
      <c r="B1052" s="97">
        <v>3911</v>
      </c>
      <c r="C1052" t="s">
        <v>71</v>
      </c>
      <c r="D1052" s="94" t="s">
        <v>337</v>
      </c>
      <c r="E1052" t="s">
        <v>45</v>
      </c>
      <c r="F1052" t="s">
        <v>562</v>
      </c>
      <c r="G1052" s="50" t="s">
        <v>559</v>
      </c>
      <c r="H1052" s="50">
        <v>2</v>
      </c>
      <c r="I1052" s="100">
        <v>6.7391919697301583</v>
      </c>
      <c r="J1052" s="52">
        <v>3834.68</v>
      </c>
      <c r="K1052" s="67">
        <f t="shared" si="68"/>
        <v>101070.58327497823</v>
      </c>
      <c r="L1052" s="95">
        <f>+VLOOKUP(E1052,MARGEN!A:B,2,FALSE)</f>
        <v>0.1</v>
      </c>
      <c r="M1052" s="112">
        <f t="shared" si="65"/>
        <v>10107.058327497823</v>
      </c>
      <c r="N1052" s="113">
        <f t="shared" si="66"/>
        <v>404.28233309991293</v>
      </c>
      <c r="O1052" s="113">
        <f t="shared" si="67"/>
        <v>90559.242614380491</v>
      </c>
    </row>
    <row r="1053" spans="1:15" x14ac:dyDescent="0.25">
      <c r="A1053" s="13">
        <v>44450</v>
      </c>
      <c r="B1053" s="97">
        <v>3815</v>
      </c>
      <c r="C1053" t="s">
        <v>249</v>
      </c>
      <c r="D1053" s="94" t="s">
        <v>334</v>
      </c>
      <c r="E1053" t="s">
        <v>45</v>
      </c>
      <c r="F1053" t="s">
        <v>558</v>
      </c>
      <c r="G1053" s="50" t="s">
        <v>559</v>
      </c>
      <c r="H1053" s="50">
        <v>2</v>
      </c>
      <c r="I1053" s="100">
        <v>6.7391919697301583</v>
      </c>
      <c r="J1053" s="52">
        <v>3834.68</v>
      </c>
      <c r="K1053" s="67">
        <f t="shared" si="68"/>
        <v>98589.68938737968</v>
      </c>
      <c r="L1053" s="95">
        <f>+VLOOKUP(E1053,MARGEN!A:B,2,FALSE)</f>
        <v>0.1</v>
      </c>
      <c r="M1053" s="112">
        <f t="shared" si="65"/>
        <v>9858.9689387379694</v>
      </c>
      <c r="N1053" s="113">
        <f t="shared" si="66"/>
        <v>394.35875754951871</v>
      </c>
      <c r="O1053" s="113">
        <f t="shared" si="67"/>
        <v>88336.361691092199</v>
      </c>
    </row>
    <row r="1054" spans="1:15" x14ac:dyDescent="0.25">
      <c r="A1054" s="13">
        <v>44450</v>
      </c>
      <c r="B1054" s="97">
        <v>3767</v>
      </c>
      <c r="C1054" t="s">
        <v>197</v>
      </c>
      <c r="D1054" s="94" t="s">
        <v>358</v>
      </c>
      <c r="E1054" t="s">
        <v>45</v>
      </c>
      <c r="F1054" t="s">
        <v>562</v>
      </c>
      <c r="G1054" s="50" t="s">
        <v>559</v>
      </c>
      <c r="H1054" s="50">
        <v>2</v>
      </c>
      <c r="I1054" s="100">
        <v>6.7391919697301583</v>
      </c>
      <c r="J1054" s="52">
        <v>3834.68</v>
      </c>
      <c r="K1054" s="67">
        <f t="shared" si="68"/>
        <v>97349.242443580399</v>
      </c>
      <c r="L1054" s="95">
        <f>+VLOOKUP(E1054,MARGEN!A:B,2,FALSE)</f>
        <v>0.1</v>
      </c>
      <c r="M1054" s="112">
        <f t="shared" si="65"/>
        <v>9734.9242443580406</v>
      </c>
      <c r="N1054" s="113">
        <f t="shared" si="66"/>
        <v>389.39696977432158</v>
      </c>
      <c r="O1054" s="113">
        <f t="shared" si="67"/>
        <v>87224.921229448039</v>
      </c>
    </row>
    <row r="1055" spans="1:15" x14ac:dyDescent="0.25">
      <c r="A1055" s="13">
        <v>44450</v>
      </c>
      <c r="B1055" s="97">
        <v>3143</v>
      </c>
      <c r="C1055" t="s">
        <v>277</v>
      </c>
      <c r="D1055" s="94" t="s">
        <v>513</v>
      </c>
      <c r="E1055" t="s">
        <v>45</v>
      </c>
      <c r="F1055" t="s">
        <v>558</v>
      </c>
      <c r="G1055" s="50" t="s">
        <v>559</v>
      </c>
      <c r="H1055" s="50">
        <v>2</v>
      </c>
      <c r="I1055" s="100">
        <v>6.7391919697301583</v>
      </c>
      <c r="J1055" s="52">
        <v>3834.68</v>
      </c>
      <c r="K1055" s="67">
        <f t="shared" si="68"/>
        <v>81223.43217418986</v>
      </c>
      <c r="L1055" s="95">
        <f>+VLOOKUP(E1055,MARGEN!A:B,2,FALSE)</f>
        <v>0.1</v>
      </c>
      <c r="M1055" s="112">
        <f t="shared" si="65"/>
        <v>8122.3432174189866</v>
      </c>
      <c r="N1055" s="113">
        <f t="shared" si="66"/>
        <v>324.89372869675947</v>
      </c>
      <c r="O1055" s="113">
        <f t="shared" si="67"/>
        <v>72776.195228074124</v>
      </c>
    </row>
    <row r="1056" spans="1:15" x14ac:dyDescent="0.25">
      <c r="A1056" s="13">
        <v>44450</v>
      </c>
      <c r="B1056" s="97">
        <v>2879</v>
      </c>
      <c r="C1056" t="s">
        <v>139</v>
      </c>
      <c r="D1056" s="94" t="s">
        <v>327</v>
      </c>
      <c r="E1056" t="s">
        <v>45</v>
      </c>
      <c r="F1056" t="s">
        <v>566</v>
      </c>
      <c r="G1056" s="50" t="s">
        <v>559</v>
      </c>
      <c r="H1056" s="50">
        <v>2</v>
      </c>
      <c r="I1056" s="100">
        <v>6.7391919697301583</v>
      </c>
      <c r="J1056" s="52">
        <v>3834.68</v>
      </c>
      <c r="K1056" s="67">
        <f t="shared" si="68"/>
        <v>74400.973983293865</v>
      </c>
      <c r="L1056" s="95">
        <f>+VLOOKUP(E1056,MARGEN!A:B,2,FALSE)</f>
        <v>0.1</v>
      </c>
      <c r="M1056" s="112">
        <f t="shared" si="65"/>
        <v>7440.097398329387</v>
      </c>
      <c r="N1056" s="113">
        <f t="shared" si="66"/>
        <v>297.60389593317547</v>
      </c>
      <c r="O1056" s="113">
        <f t="shared" si="67"/>
        <v>66663.272689031306</v>
      </c>
    </row>
    <row r="1057" spans="1:15" x14ac:dyDescent="0.25">
      <c r="A1057" s="13">
        <v>44450</v>
      </c>
      <c r="B1057" s="97">
        <v>2855</v>
      </c>
      <c r="C1057" t="s">
        <v>268</v>
      </c>
      <c r="D1057" s="94" t="s">
        <v>514</v>
      </c>
      <c r="E1057" t="s">
        <v>45</v>
      </c>
      <c r="F1057" t="s">
        <v>562</v>
      </c>
      <c r="G1057" s="50" t="s">
        <v>559</v>
      </c>
      <c r="H1057" s="50">
        <v>2</v>
      </c>
      <c r="I1057" s="100">
        <v>6.7391919697301583</v>
      </c>
      <c r="J1057" s="52">
        <v>3834.68</v>
      </c>
      <c r="K1057" s="67">
        <f t="shared" si="68"/>
        <v>73780.750511394232</v>
      </c>
      <c r="L1057" s="95">
        <f>+VLOOKUP(E1057,MARGEN!A:B,2,FALSE)</f>
        <v>0.1</v>
      </c>
      <c r="M1057" s="112">
        <f t="shared" si="65"/>
        <v>7378.0750511394235</v>
      </c>
      <c r="N1057" s="113">
        <f t="shared" si="66"/>
        <v>295.12300204557692</v>
      </c>
      <c r="O1057" s="113">
        <f t="shared" si="67"/>
        <v>66107.552458209218</v>
      </c>
    </row>
    <row r="1058" spans="1:15" x14ac:dyDescent="0.25">
      <c r="A1058" s="13">
        <v>44450</v>
      </c>
      <c r="B1058" s="97">
        <v>2807</v>
      </c>
      <c r="C1058" t="s">
        <v>178</v>
      </c>
      <c r="D1058" s="94" t="s">
        <v>370</v>
      </c>
      <c r="E1058" t="s">
        <v>45</v>
      </c>
      <c r="F1058" t="s">
        <v>562</v>
      </c>
      <c r="G1058" s="50" t="s">
        <v>559</v>
      </c>
      <c r="H1058" s="50">
        <v>2</v>
      </c>
      <c r="I1058" s="100">
        <v>6.7391919697301583</v>
      </c>
      <c r="J1058" s="52">
        <v>3834.68</v>
      </c>
      <c r="K1058" s="67">
        <f t="shared" si="68"/>
        <v>72540.303567594965</v>
      </c>
      <c r="L1058" s="95">
        <f>+VLOOKUP(E1058,MARGEN!A:B,2,FALSE)</f>
        <v>0.1</v>
      </c>
      <c r="M1058" s="112">
        <f t="shared" si="65"/>
        <v>7254.0303567594965</v>
      </c>
      <c r="N1058" s="113">
        <f t="shared" si="66"/>
        <v>290.16121427037984</v>
      </c>
      <c r="O1058" s="113">
        <f t="shared" si="67"/>
        <v>64996.111996565087</v>
      </c>
    </row>
    <row r="1059" spans="1:15" x14ac:dyDescent="0.25">
      <c r="A1059" s="13">
        <v>44450</v>
      </c>
      <c r="B1059" s="97">
        <v>2735</v>
      </c>
      <c r="C1059" t="s">
        <v>99</v>
      </c>
      <c r="D1059" s="94" t="s">
        <v>366</v>
      </c>
      <c r="E1059" t="s">
        <v>45</v>
      </c>
      <c r="F1059" t="s">
        <v>566</v>
      </c>
      <c r="G1059" s="50" t="s">
        <v>559</v>
      </c>
      <c r="H1059" s="50">
        <v>2</v>
      </c>
      <c r="I1059" s="100">
        <v>6.7391919697301583</v>
      </c>
      <c r="J1059" s="52">
        <v>3834.68</v>
      </c>
      <c r="K1059" s="67">
        <f t="shared" si="68"/>
        <v>70679.633151896051</v>
      </c>
      <c r="L1059" s="95">
        <f>+VLOOKUP(E1059,MARGEN!A:B,2,FALSE)</f>
        <v>0.1</v>
      </c>
      <c r="M1059" s="112">
        <f t="shared" si="65"/>
        <v>7067.9633151896051</v>
      </c>
      <c r="N1059" s="113">
        <f t="shared" si="66"/>
        <v>282.71853260758422</v>
      </c>
      <c r="O1059" s="113">
        <f t="shared" si="67"/>
        <v>63328.95130409886</v>
      </c>
    </row>
    <row r="1060" spans="1:15" x14ac:dyDescent="0.25">
      <c r="A1060" s="13">
        <v>44450</v>
      </c>
      <c r="B1060" s="97">
        <v>2183</v>
      </c>
      <c r="C1060" t="s">
        <v>560</v>
      </c>
      <c r="D1060" s="94" t="s">
        <v>561</v>
      </c>
      <c r="E1060" t="s">
        <v>45</v>
      </c>
      <c r="F1060" t="s">
        <v>562</v>
      </c>
      <c r="G1060" s="50" t="s">
        <v>559</v>
      </c>
      <c r="H1060" s="50">
        <v>2</v>
      </c>
      <c r="I1060" s="100">
        <v>6.7391919697301583</v>
      </c>
      <c r="J1060" s="52">
        <v>3834.68</v>
      </c>
      <c r="K1060" s="67">
        <f t="shared" si="68"/>
        <v>56414.493298204405</v>
      </c>
      <c r="L1060" s="95">
        <f>+VLOOKUP(E1060,MARGEN!A:B,2,FALSE)</f>
        <v>0.1</v>
      </c>
      <c r="M1060" s="112">
        <f t="shared" si="65"/>
        <v>5641.4493298204407</v>
      </c>
      <c r="N1060" s="113">
        <f t="shared" si="66"/>
        <v>225.65797319281762</v>
      </c>
      <c r="O1060" s="113">
        <f t="shared" si="67"/>
        <v>50547.385995191151</v>
      </c>
    </row>
    <row r="1061" spans="1:15" x14ac:dyDescent="0.25">
      <c r="A1061" s="13">
        <v>44450</v>
      </c>
      <c r="B1061" s="97">
        <v>2087</v>
      </c>
      <c r="C1061" t="s">
        <v>92</v>
      </c>
      <c r="D1061" s="94" t="s">
        <v>490</v>
      </c>
      <c r="E1061" t="s">
        <v>45</v>
      </c>
      <c r="F1061" t="s">
        <v>562</v>
      </c>
      <c r="G1061" s="50" t="s">
        <v>559</v>
      </c>
      <c r="H1061" s="50">
        <v>2</v>
      </c>
      <c r="I1061" s="100">
        <v>6.7391919697301583</v>
      </c>
      <c r="J1061" s="52">
        <v>3834.68</v>
      </c>
      <c r="K1061" s="67">
        <f t="shared" si="68"/>
        <v>53933.599410605872</v>
      </c>
      <c r="L1061" s="95">
        <f>+VLOOKUP(E1061,MARGEN!A:B,2,FALSE)</f>
        <v>0.1</v>
      </c>
      <c r="M1061" s="112">
        <f t="shared" si="65"/>
        <v>5393.3599410605875</v>
      </c>
      <c r="N1061" s="113">
        <f t="shared" si="66"/>
        <v>215.73439764242349</v>
      </c>
      <c r="O1061" s="113">
        <f t="shared" si="67"/>
        <v>48324.505071902859</v>
      </c>
    </row>
    <row r="1062" spans="1:15" x14ac:dyDescent="0.25">
      <c r="A1062" s="13">
        <v>44450</v>
      </c>
      <c r="B1062" s="97">
        <v>2039</v>
      </c>
      <c r="C1062" t="s">
        <v>103</v>
      </c>
      <c r="D1062" s="94" t="s">
        <v>342</v>
      </c>
      <c r="E1062" t="s">
        <v>45</v>
      </c>
      <c r="F1062" t="s">
        <v>566</v>
      </c>
      <c r="G1062" s="50" t="s">
        <v>559</v>
      </c>
      <c r="H1062" s="50">
        <v>2</v>
      </c>
      <c r="I1062" s="100">
        <v>6.7391919697301583</v>
      </c>
      <c r="J1062" s="52">
        <v>3834.68</v>
      </c>
      <c r="K1062" s="67">
        <f t="shared" si="68"/>
        <v>52693.152466806598</v>
      </c>
      <c r="L1062" s="95">
        <f>+VLOOKUP(E1062,MARGEN!A:B,2,FALSE)</f>
        <v>0.1</v>
      </c>
      <c r="M1062" s="112">
        <f t="shared" si="65"/>
        <v>5269.3152466806605</v>
      </c>
      <c r="N1062" s="113">
        <f t="shared" si="66"/>
        <v>210.77260986722638</v>
      </c>
      <c r="O1062" s="113">
        <f t="shared" si="67"/>
        <v>47213.064610258705</v>
      </c>
    </row>
    <row r="1063" spans="1:15" x14ac:dyDescent="0.25">
      <c r="A1063" s="13">
        <v>44450</v>
      </c>
      <c r="B1063" s="97">
        <v>1871</v>
      </c>
      <c r="C1063" t="s">
        <v>198</v>
      </c>
      <c r="D1063" s="94" t="s">
        <v>326</v>
      </c>
      <c r="E1063" t="s">
        <v>45</v>
      </c>
      <c r="F1063" t="s">
        <v>562</v>
      </c>
      <c r="G1063" s="50" t="s">
        <v>559</v>
      </c>
      <c r="H1063" s="50">
        <v>2</v>
      </c>
      <c r="I1063" s="100">
        <v>6.7391919697301583</v>
      </c>
      <c r="J1063" s="52">
        <v>3834.68</v>
      </c>
      <c r="K1063" s="67">
        <f t="shared" si="68"/>
        <v>48351.588163509143</v>
      </c>
      <c r="L1063" s="95">
        <f>+VLOOKUP(E1063,MARGEN!A:B,2,FALSE)</f>
        <v>0.1</v>
      </c>
      <c r="M1063" s="112">
        <f t="shared" si="65"/>
        <v>4835.1588163509141</v>
      </c>
      <c r="N1063" s="113">
        <f t="shared" si="66"/>
        <v>193.40635265403657</v>
      </c>
      <c r="O1063" s="113">
        <f t="shared" si="67"/>
        <v>43323.022994504194</v>
      </c>
    </row>
    <row r="1064" spans="1:15" x14ac:dyDescent="0.25">
      <c r="A1064" s="13">
        <v>44450</v>
      </c>
      <c r="B1064" s="51">
        <v>1727</v>
      </c>
      <c r="C1064" s="66" t="s">
        <v>190</v>
      </c>
      <c r="D1064" s="66" t="s">
        <v>356</v>
      </c>
      <c r="E1064" t="s">
        <v>45</v>
      </c>
      <c r="F1064" s="50" t="s">
        <v>562</v>
      </c>
      <c r="G1064" s="50" t="s">
        <v>559</v>
      </c>
      <c r="H1064" s="50">
        <v>2</v>
      </c>
      <c r="I1064" s="100">
        <v>6.7391919697301583</v>
      </c>
      <c r="J1064" s="52">
        <v>3834.68</v>
      </c>
      <c r="K1064" s="67">
        <f t="shared" si="68"/>
        <v>44630.247332111321</v>
      </c>
      <c r="L1064" s="95">
        <f>+VLOOKUP(E1064,MARGEN!A:B,2,FALSE)</f>
        <v>0.1</v>
      </c>
      <c r="M1064" s="112">
        <f t="shared" si="65"/>
        <v>4463.0247332111321</v>
      </c>
      <c r="N1064" s="113">
        <f t="shared" si="66"/>
        <v>178.5209893284453</v>
      </c>
      <c r="O1064" s="113">
        <f t="shared" si="67"/>
        <v>39988.701609571741</v>
      </c>
    </row>
    <row r="1065" spans="1:15" x14ac:dyDescent="0.25">
      <c r="A1065" s="13">
        <v>44450</v>
      </c>
      <c r="B1065" s="51">
        <v>1535</v>
      </c>
      <c r="C1065" s="66" t="s">
        <v>273</v>
      </c>
      <c r="D1065" s="66" t="s">
        <v>515</v>
      </c>
      <c r="E1065" t="s">
        <v>45</v>
      </c>
      <c r="F1065" s="50" t="s">
        <v>566</v>
      </c>
      <c r="G1065" s="50" t="s">
        <v>559</v>
      </c>
      <c r="H1065" s="50">
        <v>2</v>
      </c>
      <c r="I1065" s="100">
        <v>6.7391919697301583</v>
      </c>
      <c r="J1065" s="52">
        <v>3834.68</v>
      </c>
      <c r="K1065" s="67">
        <f t="shared" si="68"/>
        <v>39668.459556914233</v>
      </c>
      <c r="L1065" s="95">
        <f>+VLOOKUP(E1065,MARGEN!A:B,2,FALSE)</f>
        <v>0.1</v>
      </c>
      <c r="M1065" s="112">
        <f t="shared" si="65"/>
        <v>3966.8459556914236</v>
      </c>
      <c r="N1065" s="113">
        <f t="shared" si="66"/>
        <v>158.67383822765694</v>
      </c>
      <c r="O1065" s="113">
        <f t="shared" si="67"/>
        <v>35542.939762995149</v>
      </c>
    </row>
    <row r="1066" spans="1:15" x14ac:dyDescent="0.25">
      <c r="A1066" s="13">
        <v>44450</v>
      </c>
      <c r="B1066" s="97">
        <v>1391</v>
      </c>
      <c r="C1066" t="s">
        <v>107</v>
      </c>
      <c r="D1066" s="94" t="s">
        <v>346</v>
      </c>
      <c r="E1066" t="s">
        <v>45</v>
      </c>
      <c r="F1066" t="s">
        <v>562</v>
      </c>
      <c r="G1066" s="50" t="s">
        <v>559</v>
      </c>
      <c r="H1066" s="50">
        <v>2</v>
      </c>
      <c r="I1066" s="100">
        <v>6.7391919697301583</v>
      </c>
      <c r="J1066" s="52">
        <v>3834.68</v>
      </c>
      <c r="K1066" s="67">
        <f t="shared" si="68"/>
        <v>35947.118725516419</v>
      </c>
      <c r="L1066" s="95">
        <f>+VLOOKUP(E1066,MARGEN!A:B,2,FALSE)</f>
        <v>0.1</v>
      </c>
      <c r="M1066" s="112">
        <f t="shared" si="65"/>
        <v>3594.711872551642</v>
      </c>
      <c r="N1066" s="113">
        <f t="shared" si="66"/>
        <v>143.78847490206567</v>
      </c>
      <c r="O1066" s="113">
        <f t="shared" si="67"/>
        <v>32208.618378062711</v>
      </c>
    </row>
    <row r="1067" spans="1:15" x14ac:dyDescent="0.25">
      <c r="A1067" s="13">
        <v>44451</v>
      </c>
      <c r="B1067" s="97">
        <v>16341</v>
      </c>
      <c r="C1067" t="s">
        <v>78</v>
      </c>
      <c r="D1067" s="94" t="s">
        <v>412</v>
      </c>
      <c r="E1067" t="s">
        <v>45</v>
      </c>
      <c r="F1067" t="s">
        <v>566</v>
      </c>
      <c r="G1067" s="50" t="s">
        <v>559</v>
      </c>
      <c r="H1067" s="50">
        <v>2</v>
      </c>
      <c r="I1067" s="100">
        <v>6.7391919697301583</v>
      </c>
      <c r="J1067" s="52">
        <v>3834.68</v>
      </c>
      <c r="K1067" s="67">
        <f t="shared" si="68"/>
        <v>422294.65642966487</v>
      </c>
      <c r="L1067" s="95">
        <f>+VLOOKUP(E1067,MARGEN!A:B,2,FALSE)</f>
        <v>0.1</v>
      </c>
      <c r="M1067" s="112">
        <f t="shared" si="65"/>
        <v>42229.46564296649</v>
      </c>
      <c r="N1067" s="113">
        <f t="shared" si="66"/>
        <v>1689.1786257186595</v>
      </c>
      <c r="O1067" s="113">
        <f t="shared" si="67"/>
        <v>378376.01216097974</v>
      </c>
    </row>
    <row r="1068" spans="1:15" x14ac:dyDescent="0.25">
      <c r="A1068" s="13">
        <v>44451</v>
      </c>
      <c r="B1068" s="97">
        <v>12814</v>
      </c>
      <c r="C1068" t="s">
        <v>73</v>
      </c>
      <c r="D1068" s="94" t="s">
        <v>338</v>
      </c>
      <c r="E1068" t="s">
        <v>45</v>
      </c>
      <c r="F1068" t="s">
        <v>566</v>
      </c>
      <c r="G1068" s="50" t="s">
        <v>559</v>
      </c>
      <c r="H1068" s="50">
        <v>2</v>
      </c>
      <c r="I1068" s="100">
        <v>6.7391919697301583</v>
      </c>
      <c r="J1068" s="52">
        <v>3834.68</v>
      </c>
      <c r="K1068" s="67">
        <f t="shared" si="68"/>
        <v>331147.64870508079</v>
      </c>
      <c r="L1068" s="95">
        <f>+VLOOKUP(E1068,MARGEN!A:B,2,FALSE)</f>
        <v>0.1</v>
      </c>
      <c r="M1068" s="112">
        <f t="shared" si="65"/>
        <v>33114.764870508079</v>
      </c>
      <c r="N1068" s="113">
        <f t="shared" si="66"/>
        <v>1324.5905948203231</v>
      </c>
      <c r="O1068" s="113">
        <f t="shared" si="67"/>
        <v>296708.29323975241</v>
      </c>
    </row>
    <row r="1069" spans="1:15" x14ac:dyDescent="0.25">
      <c r="A1069" s="13">
        <v>44451</v>
      </c>
      <c r="B1069" s="97">
        <v>9933</v>
      </c>
      <c r="C1069" t="s">
        <v>95</v>
      </c>
      <c r="D1069" s="94" t="s">
        <v>510</v>
      </c>
      <c r="E1069" t="s">
        <v>45</v>
      </c>
      <c r="F1069" t="s">
        <v>562</v>
      </c>
      <c r="G1069" s="50" t="s">
        <v>559</v>
      </c>
      <c r="H1069" s="50">
        <v>2</v>
      </c>
      <c r="I1069" s="100">
        <v>6.7391919697301583</v>
      </c>
      <c r="J1069" s="52">
        <v>3834.68</v>
      </c>
      <c r="K1069" s="67">
        <f t="shared" si="68"/>
        <v>256694.98943246197</v>
      </c>
      <c r="L1069" s="95">
        <f>+VLOOKUP(E1069,MARGEN!A:B,2,FALSE)</f>
        <v>0.1</v>
      </c>
      <c r="M1069" s="112">
        <f t="shared" si="65"/>
        <v>25669.498943246199</v>
      </c>
      <c r="N1069" s="113">
        <f t="shared" si="66"/>
        <v>1026.7799577298479</v>
      </c>
      <c r="O1069" s="113">
        <f t="shared" si="67"/>
        <v>229998.71053148591</v>
      </c>
    </row>
    <row r="1070" spans="1:15" x14ac:dyDescent="0.25">
      <c r="A1070" s="13">
        <v>44451</v>
      </c>
      <c r="B1070" s="97">
        <v>8254</v>
      </c>
      <c r="C1070" t="s">
        <v>191</v>
      </c>
      <c r="D1070" s="94" t="s">
        <v>354</v>
      </c>
      <c r="E1070" t="s">
        <v>45</v>
      </c>
      <c r="F1070" t="s">
        <v>566</v>
      </c>
      <c r="G1070" s="50" t="s">
        <v>559</v>
      </c>
      <c r="H1070" s="50">
        <v>2</v>
      </c>
      <c r="I1070" s="100">
        <v>6.7391919697301583</v>
      </c>
      <c r="J1070" s="52">
        <v>3834.68</v>
      </c>
      <c r="K1070" s="67">
        <f t="shared" si="68"/>
        <v>213305.18904414988</v>
      </c>
      <c r="L1070" s="95">
        <f>+VLOOKUP(E1070,MARGEN!A:B,2,FALSE)</f>
        <v>0.1</v>
      </c>
      <c r="M1070" s="112">
        <f t="shared" si="65"/>
        <v>21330.518904414988</v>
      </c>
      <c r="N1070" s="113">
        <f t="shared" si="66"/>
        <v>853.22075617659948</v>
      </c>
      <c r="O1070" s="113">
        <f t="shared" si="67"/>
        <v>191121.4493835583</v>
      </c>
    </row>
    <row r="1071" spans="1:15" x14ac:dyDescent="0.25">
      <c r="A1071" s="13">
        <v>44451</v>
      </c>
      <c r="B1071" s="97">
        <v>8206</v>
      </c>
      <c r="C1071" t="s">
        <v>90</v>
      </c>
      <c r="D1071" s="94" t="s">
        <v>350</v>
      </c>
      <c r="E1071" t="s">
        <v>45</v>
      </c>
      <c r="F1071" t="s">
        <v>562</v>
      </c>
      <c r="G1071" s="50" t="s">
        <v>559</v>
      </c>
      <c r="H1071" s="50">
        <v>2</v>
      </c>
      <c r="I1071" s="100">
        <v>6.7391919697301583</v>
      </c>
      <c r="J1071" s="52">
        <v>3834.68</v>
      </c>
      <c r="K1071" s="67">
        <f t="shared" si="68"/>
        <v>212064.74210035062</v>
      </c>
      <c r="L1071" s="95">
        <f>+VLOOKUP(E1071,MARGEN!A:B,2,FALSE)</f>
        <v>0.1</v>
      </c>
      <c r="M1071" s="112">
        <f t="shared" si="65"/>
        <v>21206.474210035063</v>
      </c>
      <c r="N1071" s="113">
        <f t="shared" si="66"/>
        <v>848.25896840140251</v>
      </c>
      <c r="O1071" s="113">
        <f t="shared" si="67"/>
        <v>190010.00892191415</v>
      </c>
    </row>
    <row r="1072" spans="1:15" x14ac:dyDescent="0.25">
      <c r="A1072" s="13">
        <v>44451</v>
      </c>
      <c r="B1072" s="97">
        <v>7606</v>
      </c>
      <c r="C1072" t="s">
        <v>248</v>
      </c>
      <c r="D1072" s="94" t="s">
        <v>385</v>
      </c>
      <c r="E1072" t="s">
        <v>45</v>
      </c>
      <c r="F1072" t="s">
        <v>566</v>
      </c>
      <c r="G1072" s="50" t="s">
        <v>559</v>
      </c>
      <c r="H1072" s="50">
        <v>2</v>
      </c>
      <c r="I1072" s="100">
        <v>6.7391919697301583</v>
      </c>
      <c r="J1072" s="52">
        <v>3834.68</v>
      </c>
      <c r="K1072" s="67">
        <f t="shared" si="68"/>
        <v>196559.1553028597</v>
      </c>
      <c r="L1072" s="95">
        <f>+VLOOKUP(E1072,MARGEN!A:B,2,FALSE)</f>
        <v>0.1</v>
      </c>
      <c r="M1072" s="112">
        <f t="shared" si="65"/>
        <v>19655.915530285973</v>
      </c>
      <c r="N1072" s="113">
        <f t="shared" si="66"/>
        <v>786.23662121143877</v>
      </c>
      <c r="O1072" s="113">
        <f t="shared" si="67"/>
        <v>176117.0031513623</v>
      </c>
    </row>
    <row r="1073" spans="1:15" x14ac:dyDescent="0.25">
      <c r="A1073" s="13">
        <v>44451</v>
      </c>
      <c r="B1073" s="97">
        <v>7366</v>
      </c>
      <c r="C1073" t="s">
        <v>143</v>
      </c>
      <c r="D1073" s="94" t="s">
        <v>489</v>
      </c>
      <c r="E1073" t="s">
        <v>45</v>
      </c>
      <c r="F1073" t="s">
        <v>566</v>
      </c>
      <c r="G1073" s="50" t="s">
        <v>559</v>
      </c>
      <c r="H1073" s="50">
        <v>2</v>
      </c>
      <c r="I1073" s="100">
        <v>6.7391919697301583</v>
      </c>
      <c r="J1073" s="52">
        <v>3834.68</v>
      </c>
      <c r="K1073" s="67">
        <f t="shared" si="68"/>
        <v>190356.92058386334</v>
      </c>
      <c r="L1073" s="95">
        <f>+VLOOKUP(E1073,MARGEN!A:B,2,FALSE)</f>
        <v>0.1</v>
      </c>
      <c r="M1073" s="112">
        <f t="shared" si="65"/>
        <v>19035.692058386336</v>
      </c>
      <c r="N1073" s="113">
        <f t="shared" si="66"/>
        <v>761.42768233545337</v>
      </c>
      <c r="O1073" s="113">
        <f t="shared" si="67"/>
        <v>170559.80084314154</v>
      </c>
    </row>
    <row r="1074" spans="1:15" x14ac:dyDescent="0.25">
      <c r="A1074" s="13">
        <v>44451</v>
      </c>
      <c r="B1074" s="97">
        <v>7150</v>
      </c>
      <c r="C1074" t="s">
        <v>179</v>
      </c>
      <c r="D1074" s="94" t="s">
        <v>361</v>
      </c>
      <c r="E1074" t="s">
        <v>45</v>
      </c>
      <c r="F1074" t="s">
        <v>562</v>
      </c>
      <c r="G1074" s="50" t="s">
        <v>559</v>
      </c>
      <c r="H1074" s="50">
        <v>2</v>
      </c>
      <c r="I1074" s="100">
        <v>6.7391919697301583</v>
      </c>
      <c r="J1074" s="52">
        <v>3834.68</v>
      </c>
      <c r="K1074" s="67">
        <f t="shared" si="68"/>
        <v>184774.90933676664</v>
      </c>
      <c r="L1074" s="95">
        <f>+VLOOKUP(E1074,MARGEN!A:B,2,FALSE)</f>
        <v>0.1</v>
      </c>
      <c r="M1074" s="112">
        <f t="shared" si="65"/>
        <v>18477.490933676665</v>
      </c>
      <c r="N1074" s="113">
        <f t="shared" si="66"/>
        <v>739.0996373470665</v>
      </c>
      <c r="O1074" s="113">
        <f t="shared" si="67"/>
        <v>165558.31876574291</v>
      </c>
    </row>
    <row r="1075" spans="1:15" x14ac:dyDescent="0.25">
      <c r="A1075" s="13">
        <v>44451</v>
      </c>
      <c r="B1075" s="51">
        <v>5638</v>
      </c>
      <c r="C1075" s="66" t="s">
        <v>275</v>
      </c>
      <c r="D1075" s="94" t="s">
        <v>519</v>
      </c>
      <c r="E1075" t="s">
        <v>45</v>
      </c>
      <c r="F1075" s="50" t="s">
        <v>562</v>
      </c>
      <c r="G1075" s="50" t="s">
        <v>559</v>
      </c>
      <c r="H1075" s="50">
        <v>2</v>
      </c>
      <c r="I1075" s="100">
        <v>6.7391919697301583</v>
      </c>
      <c r="J1075" s="52">
        <v>3834.68</v>
      </c>
      <c r="K1075" s="67">
        <f t="shared" si="68"/>
        <v>145700.83060708951</v>
      </c>
      <c r="L1075" s="95">
        <f>+VLOOKUP(E1075,MARGEN!A:B,2,FALSE)</f>
        <v>0.1</v>
      </c>
      <c r="M1075" s="112">
        <f t="shared" si="65"/>
        <v>14570.083060708952</v>
      </c>
      <c r="N1075" s="113">
        <f t="shared" si="66"/>
        <v>582.803322428358</v>
      </c>
      <c r="O1075" s="113">
        <f t="shared" si="67"/>
        <v>130547.9442239522</v>
      </c>
    </row>
    <row r="1076" spans="1:15" x14ac:dyDescent="0.25">
      <c r="A1076" s="13">
        <v>44451</v>
      </c>
      <c r="B1076" s="97">
        <v>5542</v>
      </c>
      <c r="C1076" t="s">
        <v>116</v>
      </c>
      <c r="D1076" s="94" t="s">
        <v>330</v>
      </c>
      <c r="E1076" t="s">
        <v>45</v>
      </c>
      <c r="F1076" t="s">
        <v>562</v>
      </c>
      <c r="G1076" s="50" t="s">
        <v>559</v>
      </c>
      <c r="H1076" s="50">
        <v>2</v>
      </c>
      <c r="I1076" s="100">
        <v>6.7391919697301583</v>
      </c>
      <c r="J1076" s="52">
        <v>3834.68</v>
      </c>
      <c r="K1076" s="67">
        <f t="shared" si="68"/>
        <v>143219.936719491</v>
      </c>
      <c r="L1076" s="95">
        <f>+VLOOKUP(E1076,MARGEN!A:B,2,FALSE)</f>
        <v>0.1</v>
      </c>
      <c r="M1076" s="112">
        <f t="shared" si="65"/>
        <v>14321.993671949102</v>
      </c>
      <c r="N1076" s="113">
        <f t="shared" si="66"/>
        <v>572.87974687796395</v>
      </c>
      <c r="O1076" s="113">
        <f t="shared" si="67"/>
        <v>128325.06330066393</v>
      </c>
    </row>
    <row r="1077" spans="1:15" x14ac:dyDescent="0.25">
      <c r="A1077" s="13">
        <v>44451</v>
      </c>
      <c r="B1077" s="97">
        <v>4535</v>
      </c>
      <c r="C1077" t="s">
        <v>76</v>
      </c>
      <c r="D1077" s="94" t="s">
        <v>332</v>
      </c>
      <c r="E1077" t="s">
        <v>45</v>
      </c>
      <c r="F1077" t="s">
        <v>566</v>
      </c>
      <c r="G1077" s="50" t="s">
        <v>559</v>
      </c>
      <c r="H1077" s="50">
        <v>2</v>
      </c>
      <c r="I1077" s="100">
        <v>6.7391919697301583</v>
      </c>
      <c r="J1077" s="52">
        <v>3834.68</v>
      </c>
      <c r="K1077" s="67">
        <f t="shared" si="68"/>
        <v>117196.39354436877</v>
      </c>
      <c r="L1077" s="95">
        <f>+VLOOKUP(E1077,MARGEN!A:B,2,FALSE)</f>
        <v>0.1</v>
      </c>
      <c r="M1077" s="112">
        <f t="shared" si="65"/>
        <v>11719.639354436877</v>
      </c>
      <c r="N1077" s="113">
        <f t="shared" si="66"/>
        <v>468.78557417747504</v>
      </c>
      <c r="O1077" s="113">
        <f t="shared" si="67"/>
        <v>105007.96861575442</v>
      </c>
    </row>
    <row r="1078" spans="1:15" x14ac:dyDescent="0.25">
      <c r="A1078" s="13">
        <v>44451</v>
      </c>
      <c r="B1078" s="97">
        <v>4319</v>
      </c>
      <c r="C1078" t="s">
        <v>91</v>
      </c>
      <c r="D1078" s="94" t="s">
        <v>340</v>
      </c>
      <c r="E1078" t="s">
        <v>45</v>
      </c>
      <c r="F1078" t="s">
        <v>566</v>
      </c>
      <c r="G1078" s="50" t="s">
        <v>559</v>
      </c>
      <c r="H1078" s="50">
        <v>2</v>
      </c>
      <c r="I1078" s="100">
        <v>6.7391919697301583</v>
      </c>
      <c r="J1078" s="52">
        <v>3834.68</v>
      </c>
      <c r="K1078" s="67">
        <f t="shared" si="68"/>
        <v>111614.38229727202</v>
      </c>
      <c r="L1078" s="95">
        <f>+VLOOKUP(E1078,MARGEN!A:B,2,FALSE)</f>
        <v>0.1</v>
      </c>
      <c r="M1078" s="112">
        <f t="shared" si="65"/>
        <v>11161.438229727202</v>
      </c>
      <c r="N1078" s="113">
        <f t="shared" si="66"/>
        <v>446.45752918908806</v>
      </c>
      <c r="O1078" s="113">
        <f t="shared" si="67"/>
        <v>100006.48653835573</v>
      </c>
    </row>
    <row r="1079" spans="1:15" x14ac:dyDescent="0.25">
      <c r="A1079" s="13">
        <v>44451</v>
      </c>
      <c r="B1079" s="97">
        <v>4319</v>
      </c>
      <c r="C1079" t="s">
        <v>197</v>
      </c>
      <c r="D1079" s="94" t="s">
        <v>358</v>
      </c>
      <c r="E1079" t="s">
        <v>45</v>
      </c>
      <c r="F1079" t="s">
        <v>562</v>
      </c>
      <c r="G1079" s="50" t="s">
        <v>559</v>
      </c>
      <c r="H1079" s="50">
        <v>2</v>
      </c>
      <c r="I1079" s="100">
        <v>6.7391919697301583</v>
      </c>
      <c r="J1079" s="52">
        <v>3834.68</v>
      </c>
      <c r="K1079" s="67">
        <f t="shared" si="68"/>
        <v>111614.38229727202</v>
      </c>
      <c r="L1079" s="95">
        <f>+VLOOKUP(E1079,MARGEN!A:B,2,FALSE)</f>
        <v>0.1</v>
      </c>
      <c r="M1079" s="112">
        <f t="shared" si="65"/>
        <v>11161.438229727202</v>
      </c>
      <c r="N1079" s="113">
        <f t="shared" si="66"/>
        <v>446.45752918908806</v>
      </c>
      <c r="O1079" s="113">
        <f t="shared" si="67"/>
        <v>100006.48653835573</v>
      </c>
    </row>
    <row r="1080" spans="1:15" x14ac:dyDescent="0.25">
      <c r="A1080" s="13">
        <v>44451</v>
      </c>
      <c r="B1080" s="97">
        <v>4127</v>
      </c>
      <c r="C1080" t="s">
        <v>276</v>
      </c>
      <c r="D1080" s="94" t="s">
        <v>512</v>
      </c>
      <c r="E1080" t="s">
        <v>45</v>
      </c>
      <c r="F1080" t="s">
        <v>562</v>
      </c>
      <c r="G1080" s="50" t="s">
        <v>559</v>
      </c>
      <c r="H1080" s="50">
        <v>2</v>
      </c>
      <c r="I1080" s="100">
        <v>6.7391919697301583</v>
      </c>
      <c r="J1080" s="52">
        <v>3834.68</v>
      </c>
      <c r="K1080" s="67">
        <f t="shared" si="68"/>
        <v>106652.59452207494</v>
      </c>
      <c r="L1080" s="95">
        <f>+VLOOKUP(E1080,MARGEN!A:B,2,FALSE)</f>
        <v>0.1</v>
      </c>
      <c r="M1080" s="112">
        <f t="shared" si="65"/>
        <v>10665.259452207494</v>
      </c>
      <c r="N1080" s="113">
        <f t="shared" si="66"/>
        <v>426.61037808829974</v>
      </c>
      <c r="O1080" s="113">
        <f t="shared" si="67"/>
        <v>95560.724691779149</v>
      </c>
    </row>
    <row r="1081" spans="1:15" x14ac:dyDescent="0.25">
      <c r="A1081" s="13">
        <v>44451</v>
      </c>
      <c r="B1081" s="97">
        <v>4127</v>
      </c>
      <c r="C1081" t="s">
        <v>235</v>
      </c>
      <c r="D1081" s="94" t="s">
        <v>339</v>
      </c>
      <c r="E1081" t="s">
        <v>45</v>
      </c>
      <c r="F1081" t="s">
        <v>566</v>
      </c>
      <c r="G1081" s="50" t="s">
        <v>559</v>
      </c>
      <c r="H1081" s="50">
        <v>2</v>
      </c>
      <c r="I1081" s="100">
        <v>6.7391919697301583</v>
      </c>
      <c r="J1081" s="52">
        <v>3834.68</v>
      </c>
      <c r="K1081" s="67">
        <f t="shared" si="68"/>
        <v>106652.59452207494</v>
      </c>
      <c r="L1081" s="95">
        <f>+VLOOKUP(E1081,MARGEN!A:B,2,FALSE)</f>
        <v>0.1</v>
      </c>
      <c r="M1081" s="112">
        <f t="shared" si="65"/>
        <v>10665.259452207494</v>
      </c>
      <c r="N1081" s="113">
        <f t="shared" si="66"/>
        <v>426.61037808829974</v>
      </c>
      <c r="O1081" s="113">
        <f t="shared" si="67"/>
        <v>95560.724691779149</v>
      </c>
    </row>
    <row r="1082" spans="1:15" x14ac:dyDescent="0.25">
      <c r="A1082" s="13">
        <v>44451</v>
      </c>
      <c r="B1082" s="97">
        <v>4103</v>
      </c>
      <c r="C1082" t="s">
        <v>234</v>
      </c>
      <c r="D1082" s="94" t="s">
        <v>331</v>
      </c>
      <c r="E1082" t="s">
        <v>45</v>
      </c>
      <c r="F1082" t="s">
        <v>566</v>
      </c>
      <c r="G1082" s="50" t="s">
        <v>559</v>
      </c>
      <c r="H1082" s="50">
        <v>2</v>
      </c>
      <c r="I1082" s="100">
        <v>6.7391919697301583</v>
      </c>
      <c r="J1082" s="52">
        <v>3834.68</v>
      </c>
      <c r="K1082" s="67">
        <f t="shared" si="68"/>
        <v>106032.37105017531</v>
      </c>
      <c r="L1082" s="95">
        <f>+VLOOKUP(E1082,MARGEN!A:B,2,FALSE)</f>
        <v>0.1</v>
      </c>
      <c r="M1082" s="112">
        <f t="shared" si="65"/>
        <v>10603.237105017532</v>
      </c>
      <c r="N1082" s="113">
        <f t="shared" si="66"/>
        <v>424.12948420070126</v>
      </c>
      <c r="O1082" s="113">
        <f t="shared" si="67"/>
        <v>95005.004460957076</v>
      </c>
    </row>
    <row r="1083" spans="1:15" x14ac:dyDescent="0.25">
      <c r="A1083" s="13">
        <v>44451</v>
      </c>
      <c r="B1083" s="97">
        <v>3911</v>
      </c>
      <c r="C1083" t="s">
        <v>71</v>
      </c>
      <c r="D1083" t="s">
        <v>337</v>
      </c>
      <c r="E1083" t="s">
        <v>45</v>
      </c>
      <c r="F1083" t="s">
        <v>562</v>
      </c>
      <c r="G1083" s="50" t="s">
        <v>559</v>
      </c>
      <c r="H1083" s="50">
        <v>2</v>
      </c>
      <c r="I1083" s="100">
        <v>6.7391919697301583</v>
      </c>
      <c r="J1083" s="52">
        <v>3834.68</v>
      </c>
      <c r="K1083" s="67">
        <f t="shared" si="68"/>
        <v>101070.58327497823</v>
      </c>
      <c r="L1083" s="95">
        <f>+VLOOKUP(E1083,MARGEN!A:B,2,FALSE)</f>
        <v>0.1</v>
      </c>
      <c r="M1083" s="112">
        <f t="shared" si="65"/>
        <v>10107.058327497823</v>
      </c>
      <c r="N1083" s="113">
        <f t="shared" si="66"/>
        <v>404.28233309991293</v>
      </c>
      <c r="O1083" s="113">
        <f t="shared" si="67"/>
        <v>90559.242614380491</v>
      </c>
    </row>
    <row r="1084" spans="1:15" x14ac:dyDescent="0.25">
      <c r="A1084" s="13">
        <v>44451</v>
      </c>
      <c r="B1084" s="97">
        <v>3815</v>
      </c>
      <c r="C1084" t="s">
        <v>249</v>
      </c>
      <c r="D1084" s="94" t="s">
        <v>334</v>
      </c>
      <c r="E1084" t="s">
        <v>45</v>
      </c>
      <c r="F1084" t="s">
        <v>566</v>
      </c>
      <c r="G1084" s="50" t="s">
        <v>559</v>
      </c>
      <c r="H1084" s="50">
        <v>2</v>
      </c>
      <c r="I1084" s="100">
        <v>6.7391919697301583</v>
      </c>
      <c r="J1084" s="52">
        <v>3834.68</v>
      </c>
      <c r="K1084" s="67">
        <f t="shared" si="68"/>
        <v>98589.68938737968</v>
      </c>
      <c r="L1084" s="95">
        <f>+VLOOKUP(E1084,MARGEN!A:B,2,FALSE)</f>
        <v>0.1</v>
      </c>
      <c r="M1084" s="112">
        <f t="shared" si="65"/>
        <v>9858.9689387379694</v>
      </c>
      <c r="N1084" s="113">
        <f t="shared" si="66"/>
        <v>394.35875754951871</v>
      </c>
      <c r="O1084" s="113">
        <f t="shared" si="67"/>
        <v>88336.361691092199</v>
      </c>
    </row>
    <row r="1085" spans="1:15" x14ac:dyDescent="0.25">
      <c r="A1085" s="13">
        <v>44451</v>
      </c>
      <c r="B1085" s="97">
        <v>3143</v>
      </c>
      <c r="C1085" t="s">
        <v>277</v>
      </c>
      <c r="D1085" s="94" t="s">
        <v>513</v>
      </c>
      <c r="E1085" t="s">
        <v>45</v>
      </c>
      <c r="F1085" t="s">
        <v>566</v>
      </c>
      <c r="G1085" s="50" t="s">
        <v>559</v>
      </c>
      <c r="H1085" s="50">
        <v>2</v>
      </c>
      <c r="I1085" s="100">
        <v>6.7391919697301583</v>
      </c>
      <c r="J1085" s="52">
        <v>3834.68</v>
      </c>
      <c r="K1085" s="67">
        <f t="shared" si="68"/>
        <v>81223.43217418986</v>
      </c>
      <c r="L1085" s="95">
        <f>+VLOOKUP(E1085,MARGEN!A:B,2,FALSE)</f>
        <v>0.1</v>
      </c>
      <c r="M1085" s="112">
        <f t="shared" si="65"/>
        <v>8122.3432174189866</v>
      </c>
      <c r="N1085" s="113">
        <f t="shared" si="66"/>
        <v>324.89372869675947</v>
      </c>
      <c r="O1085" s="113">
        <f t="shared" si="67"/>
        <v>72776.195228074124</v>
      </c>
    </row>
    <row r="1086" spans="1:15" x14ac:dyDescent="0.25">
      <c r="A1086" s="13">
        <v>44451</v>
      </c>
      <c r="B1086" s="97">
        <v>2879</v>
      </c>
      <c r="C1086" t="s">
        <v>139</v>
      </c>
      <c r="D1086" s="94" t="s">
        <v>327</v>
      </c>
      <c r="E1086" t="s">
        <v>45</v>
      </c>
      <c r="F1086" t="s">
        <v>566</v>
      </c>
      <c r="G1086" s="50" t="s">
        <v>559</v>
      </c>
      <c r="H1086" s="50">
        <v>2</v>
      </c>
      <c r="I1086" s="100">
        <v>6.7391919697301583</v>
      </c>
      <c r="J1086" s="52">
        <v>3834.68</v>
      </c>
      <c r="K1086" s="67">
        <f t="shared" si="68"/>
        <v>74400.973983293865</v>
      </c>
      <c r="L1086" s="95">
        <f>+VLOOKUP(E1086,MARGEN!A:B,2,FALSE)</f>
        <v>0.1</v>
      </c>
      <c r="M1086" s="112">
        <f t="shared" si="65"/>
        <v>7440.097398329387</v>
      </c>
      <c r="N1086" s="113">
        <f t="shared" si="66"/>
        <v>297.60389593317547</v>
      </c>
      <c r="O1086" s="113">
        <f t="shared" si="67"/>
        <v>66663.272689031306</v>
      </c>
    </row>
    <row r="1087" spans="1:15" x14ac:dyDescent="0.25">
      <c r="A1087" s="13">
        <v>44451</v>
      </c>
      <c r="B1087" s="97">
        <v>2855</v>
      </c>
      <c r="C1087" t="s">
        <v>268</v>
      </c>
      <c r="D1087" s="94" t="s">
        <v>514</v>
      </c>
      <c r="E1087" t="s">
        <v>45</v>
      </c>
      <c r="F1087" t="s">
        <v>562</v>
      </c>
      <c r="G1087" s="50" t="s">
        <v>559</v>
      </c>
      <c r="H1087" s="50">
        <v>2</v>
      </c>
      <c r="I1087" s="100">
        <v>6.7391919697301583</v>
      </c>
      <c r="J1087" s="52">
        <v>3834.68</v>
      </c>
      <c r="K1087" s="67">
        <f t="shared" si="68"/>
        <v>73780.750511394232</v>
      </c>
      <c r="L1087" s="95">
        <f>+VLOOKUP(E1087,MARGEN!A:B,2,FALSE)</f>
        <v>0.1</v>
      </c>
      <c r="M1087" s="112">
        <f t="shared" si="65"/>
        <v>7378.0750511394235</v>
      </c>
      <c r="N1087" s="113">
        <f t="shared" si="66"/>
        <v>295.12300204557692</v>
      </c>
      <c r="O1087" s="113">
        <f t="shared" si="67"/>
        <v>66107.552458209218</v>
      </c>
    </row>
    <row r="1088" spans="1:15" x14ac:dyDescent="0.25">
      <c r="A1088" s="13">
        <v>44451</v>
      </c>
      <c r="B1088" s="97">
        <v>2855</v>
      </c>
      <c r="C1088" t="s">
        <v>99</v>
      </c>
      <c r="D1088" s="94" t="s">
        <v>366</v>
      </c>
      <c r="E1088" t="s">
        <v>45</v>
      </c>
      <c r="F1088" t="s">
        <v>566</v>
      </c>
      <c r="G1088" s="50" t="s">
        <v>559</v>
      </c>
      <c r="H1088" s="50">
        <v>2</v>
      </c>
      <c r="I1088" s="100">
        <v>6.7391919697301583</v>
      </c>
      <c r="J1088" s="52">
        <v>3834.68</v>
      </c>
      <c r="K1088" s="67">
        <f t="shared" si="68"/>
        <v>73780.750511394232</v>
      </c>
      <c r="L1088" s="95">
        <f>+VLOOKUP(E1088,MARGEN!A:B,2,FALSE)</f>
        <v>0.1</v>
      </c>
      <c r="M1088" s="112">
        <f t="shared" si="65"/>
        <v>7378.0750511394235</v>
      </c>
      <c r="N1088" s="113">
        <f t="shared" si="66"/>
        <v>295.12300204557692</v>
      </c>
      <c r="O1088" s="113">
        <f t="shared" si="67"/>
        <v>66107.552458209218</v>
      </c>
    </row>
    <row r="1089" spans="1:15" x14ac:dyDescent="0.25">
      <c r="A1089" s="13">
        <v>44451</v>
      </c>
      <c r="B1089" s="97">
        <v>2807</v>
      </c>
      <c r="C1089" t="s">
        <v>178</v>
      </c>
      <c r="D1089" t="s">
        <v>370</v>
      </c>
      <c r="E1089" t="s">
        <v>45</v>
      </c>
      <c r="F1089" t="s">
        <v>562</v>
      </c>
      <c r="G1089" s="50" t="s">
        <v>559</v>
      </c>
      <c r="H1089" s="50">
        <v>2</v>
      </c>
      <c r="I1089" s="100">
        <v>6.7391919697301583</v>
      </c>
      <c r="J1089" s="52">
        <v>3834.68</v>
      </c>
      <c r="K1089" s="67">
        <f t="shared" si="68"/>
        <v>72540.303567594965</v>
      </c>
      <c r="L1089" s="95">
        <f>+VLOOKUP(E1089,MARGEN!A:B,2,FALSE)</f>
        <v>0.1</v>
      </c>
      <c r="M1089" s="112">
        <f t="shared" si="65"/>
        <v>7254.0303567594965</v>
      </c>
      <c r="N1089" s="113">
        <f t="shared" si="66"/>
        <v>290.16121427037984</v>
      </c>
      <c r="O1089" s="113">
        <f t="shared" si="67"/>
        <v>64996.111996565087</v>
      </c>
    </row>
    <row r="1090" spans="1:15" x14ac:dyDescent="0.25">
      <c r="A1090" s="43">
        <v>44451</v>
      </c>
      <c r="B1090" s="97">
        <v>2159</v>
      </c>
      <c r="C1090" s="88" t="s">
        <v>560</v>
      </c>
      <c r="D1090" s="94" t="s">
        <v>561</v>
      </c>
      <c r="E1090" t="s">
        <v>45</v>
      </c>
      <c r="F1090" s="88" t="s">
        <v>562</v>
      </c>
      <c r="G1090" s="50" t="s">
        <v>559</v>
      </c>
      <c r="H1090" s="50">
        <v>2</v>
      </c>
      <c r="I1090" s="100">
        <v>6.7391919697301583</v>
      </c>
      <c r="J1090" s="52">
        <v>3834.68</v>
      </c>
      <c r="K1090" s="67">
        <f t="shared" si="68"/>
        <v>55794.269826304779</v>
      </c>
      <c r="L1090" s="95">
        <f>+VLOOKUP(E1090,MARGEN!A:B,2,FALSE)</f>
        <v>0.1</v>
      </c>
      <c r="M1090" s="112">
        <f t="shared" si="65"/>
        <v>5579.4269826304781</v>
      </c>
      <c r="N1090" s="113">
        <f t="shared" si="66"/>
        <v>223.17707930521911</v>
      </c>
      <c r="O1090" s="113">
        <f t="shared" si="67"/>
        <v>49991.665764369078</v>
      </c>
    </row>
    <row r="1091" spans="1:15" x14ac:dyDescent="0.25">
      <c r="A1091" s="13">
        <v>44451</v>
      </c>
      <c r="B1091" s="97">
        <v>2087</v>
      </c>
      <c r="C1091" t="s">
        <v>103</v>
      </c>
      <c r="D1091" s="94" t="s">
        <v>342</v>
      </c>
      <c r="E1091" t="s">
        <v>45</v>
      </c>
      <c r="F1091" t="s">
        <v>566</v>
      </c>
      <c r="G1091" s="50" t="s">
        <v>559</v>
      </c>
      <c r="H1091" s="50">
        <v>2</v>
      </c>
      <c r="I1091" s="100">
        <v>6.7391919697301583</v>
      </c>
      <c r="J1091" s="52">
        <v>3834.68</v>
      </c>
      <c r="K1091" s="67">
        <f t="shared" si="68"/>
        <v>53933.599410605872</v>
      </c>
      <c r="L1091" s="95">
        <f>+VLOOKUP(E1091,MARGEN!A:B,2,FALSE)</f>
        <v>0.1</v>
      </c>
      <c r="M1091" s="112">
        <f t="shared" ref="M1091:M1154" si="69">+K1091*L1091</f>
        <v>5393.3599410605875</v>
      </c>
      <c r="N1091" s="113">
        <f t="shared" ref="N1091:N1154" si="70">+K1091*4/1000</f>
        <v>215.73439764242349</v>
      </c>
      <c r="O1091" s="113">
        <f t="shared" ref="O1091:O1154" si="71">+K1091-M1091-N1091</f>
        <v>48324.505071902859</v>
      </c>
    </row>
    <row r="1092" spans="1:15" x14ac:dyDescent="0.25">
      <c r="A1092" s="13">
        <v>44451</v>
      </c>
      <c r="B1092" s="97">
        <v>2039</v>
      </c>
      <c r="C1092" t="s">
        <v>92</v>
      </c>
      <c r="D1092" s="94" t="s">
        <v>490</v>
      </c>
      <c r="E1092" t="s">
        <v>45</v>
      </c>
      <c r="F1092" t="s">
        <v>562</v>
      </c>
      <c r="G1092" s="50" t="s">
        <v>559</v>
      </c>
      <c r="H1092" s="50">
        <v>2</v>
      </c>
      <c r="I1092" s="100">
        <v>6.7391919697301583</v>
      </c>
      <c r="J1092" s="52">
        <v>3834.68</v>
      </c>
      <c r="K1092" s="67">
        <f t="shared" si="68"/>
        <v>52693.152466806598</v>
      </c>
      <c r="L1092" s="95">
        <f>+VLOOKUP(E1092,MARGEN!A:B,2,FALSE)</f>
        <v>0.1</v>
      </c>
      <c r="M1092" s="112">
        <f t="shared" si="69"/>
        <v>5269.3152466806605</v>
      </c>
      <c r="N1092" s="113">
        <f t="shared" si="70"/>
        <v>210.77260986722638</v>
      </c>
      <c r="O1092" s="113">
        <f t="shared" si="71"/>
        <v>47213.064610258705</v>
      </c>
    </row>
    <row r="1093" spans="1:15" x14ac:dyDescent="0.25">
      <c r="A1093" s="13">
        <v>44451</v>
      </c>
      <c r="B1093" s="97">
        <v>1871</v>
      </c>
      <c r="C1093" t="s">
        <v>198</v>
      </c>
      <c r="D1093" s="94" t="s">
        <v>326</v>
      </c>
      <c r="E1093" t="s">
        <v>45</v>
      </c>
      <c r="F1093" t="s">
        <v>562</v>
      </c>
      <c r="G1093" s="50" t="s">
        <v>559</v>
      </c>
      <c r="H1093" s="50">
        <v>2</v>
      </c>
      <c r="I1093" s="100">
        <v>6.7391919697301583</v>
      </c>
      <c r="J1093" s="52">
        <v>3834.68</v>
      </c>
      <c r="K1093" s="67">
        <f t="shared" si="68"/>
        <v>48351.588163509143</v>
      </c>
      <c r="L1093" s="95">
        <f>+VLOOKUP(E1093,MARGEN!A:B,2,FALSE)</f>
        <v>0.1</v>
      </c>
      <c r="M1093" s="112">
        <f t="shared" si="69"/>
        <v>4835.1588163509141</v>
      </c>
      <c r="N1093" s="113">
        <f t="shared" si="70"/>
        <v>193.40635265403657</v>
      </c>
      <c r="O1093" s="113">
        <f t="shared" si="71"/>
        <v>43323.022994504194</v>
      </c>
    </row>
    <row r="1094" spans="1:15" x14ac:dyDescent="0.25">
      <c r="A1094" s="13">
        <v>44451</v>
      </c>
      <c r="B1094" s="97">
        <v>1847</v>
      </c>
      <c r="C1094" t="s">
        <v>270</v>
      </c>
      <c r="D1094" s="94" t="s">
        <v>491</v>
      </c>
      <c r="E1094" t="s">
        <v>45</v>
      </c>
      <c r="F1094" t="s">
        <v>566</v>
      </c>
      <c r="G1094" s="50" t="s">
        <v>559</v>
      </c>
      <c r="H1094" s="50">
        <v>2</v>
      </c>
      <c r="I1094" s="100">
        <v>6.7391919697301583</v>
      </c>
      <c r="J1094" s="52">
        <v>3834.68</v>
      </c>
      <c r="K1094" s="67">
        <f t="shared" si="68"/>
        <v>47731.364691609502</v>
      </c>
      <c r="L1094" s="95">
        <f>+VLOOKUP(E1094,MARGEN!A:B,2,FALSE)</f>
        <v>0.1</v>
      </c>
      <c r="M1094" s="112">
        <f t="shared" si="69"/>
        <v>4773.1364691609506</v>
      </c>
      <c r="N1094" s="113">
        <f t="shared" si="70"/>
        <v>190.925458766438</v>
      </c>
      <c r="O1094" s="113">
        <f t="shared" si="71"/>
        <v>42767.302763682113</v>
      </c>
    </row>
    <row r="1095" spans="1:15" x14ac:dyDescent="0.25">
      <c r="A1095" s="13">
        <v>44451</v>
      </c>
      <c r="B1095" s="97">
        <v>1679</v>
      </c>
      <c r="C1095" t="s">
        <v>190</v>
      </c>
      <c r="D1095" s="94" t="s">
        <v>356</v>
      </c>
      <c r="E1095" t="s">
        <v>45</v>
      </c>
      <c r="F1095" t="s">
        <v>562</v>
      </c>
      <c r="G1095" s="50" t="s">
        <v>559</v>
      </c>
      <c r="H1095" s="50">
        <v>2</v>
      </c>
      <c r="I1095" s="100">
        <v>6.7391919697301583</v>
      </c>
      <c r="J1095" s="52">
        <v>3834.68</v>
      </c>
      <c r="K1095" s="67">
        <f t="shared" si="68"/>
        <v>43389.800388312047</v>
      </c>
      <c r="L1095" s="95">
        <f>+VLOOKUP(E1095,MARGEN!A:B,2,FALSE)</f>
        <v>0.1</v>
      </c>
      <c r="M1095" s="112">
        <f t="shared" si="69"/>
        <v>4338.9800388312051</v>
      </c>
      <c r="N1095" s="113">
        <f t="shared" si="70"/>
        <v>173.55920155324819</v>
      </c>
      <c r="O1095" s="113">
        <f t="shared" si="71"/>
        <v>38877.261147927595</v>
      </c>
    </row>
    <row r="1096" spans="1:15" x14ac:dyDescent="0.25">
      <c r="A1096" s="13">
        <v>44451</v>
      </c>
      <c r="B1096" s="97">
        <v>1535</v>
      </c>
      <c r="C1096" t="s">
        <v>273</v>
      </c>
      <c r="D1096" s="94" t="s">
        <v>515</v>
      </c>
      <c r="E1096" t="s">
        <v>45</v>
      </c>
      <c r="F1096" t="s">
        <v>566</v>
      </c>
      <c r="G1096" s="50" t="s">
        <v>559</v>
      </c>
      <c r="H1096" s="50">
        <v>2</v>
      </c>
      <c r="I1096" s="100">
        <v>6.7391919697301583</v>
      </c>
      <c r="J1096" s="52">
        <v>3834.68</v>
      </c>
      <c r="K1096" s="67">
        <f t="shared" si="68"/>
        <v>39668.459556914233</v>
      </c>
      <c r="L1096" s="95">
        <f>+VLOOKUP(E1096,MARGEN!A:B,2,FALSE)</f>
        <v>0.1</v>
      </c>
      <c r="M1096" s="112">
        <f t="shared" si="69"/>
        <v>3966.8459556914236</v>
      </c>
      <c r="N1096" s="113">
        <f t="shared" si="70"/>
        <v>158.67383822765694</v>
      </c>
      <c r="O1096" s="113">
        <f t="shared" si="71"/>
        <v>35542.939762995149</v>
      </c>
    </row>
    <row r="1097" spans="1:15" x14ac:dyDescent="0.25">
      <c r="A1097" s="13">
        <v>44451</v>
      </c>
      <c r="B1097" s="97">
        <v>1535</v>
      </c>
      <c r="C1097" t="s">
        <v>273</v>
      </c>
      <c r="D1097" s="94" t="s">
        <v>515</v>
      </c>
      <c r="E1097" t="s">
        <v>45</v>
      </c>
      <c r="F1097" t="s">
        <v>566</v>
      </c>
      <c r="G1097" s="50" t="s">
        <v>559</v>
      </c>
      <c r="H1097" s="50">
        <v>2</v>
      </c>
      <c r="I1097" s="100">
        <v>6.7391919697301583</v>
      </c>
      <c r="J1097" s="52">
        <v>3834.68</v>
      </c>
      <c r="K1097" s="67">
        <f t="shared" ref="K1097:K1160" si="72">+B1097*I1097*J1097/1000</f>
        <v>39668.459556914233</v>
      </c>
      <c r="L1097" s="95">
        <f>+VLOOKUP(E1097,MARGEN!A:B,2,FALSE)</f>
        <v>0.1</v>
      </c>
      <c r="M1097" s="112">
        <f t="shared" si="69"/>
        <v>3966.8459556914236</v>
      </c>
      <c r="N1097" s="113">
        <f t="shared" si="70"/>
        <v>158.67383822765694</v>
      </c>
      <c r="O1097" s="113">
        <f t="shared" si="71"/>
        <v>35542.939762995149</v>
      </c>
    </row>
    <row r="1098" spans="1:15" x14ac:dyDescent="0.25">
      <c r="A1098" s="13">
        <v>44451</v>
      </c>
      <c r="B1098" s="97">
        <v>1391</v>
      </c>
      <c r="C1098" t="s">
        <v>107</v>
      </c>
      <c r="D1098" s="94" t="s">
        <v>346</v>
      </c>
      <c r="E1098" t="s">
        <v>45</v>
      </c>
      <c r="F1098" t="s">
        <v>562</v>
      </c>
      <c r="G1098" s="50" t="s">
        <v>559</v>
      </c>
      <c r="H1098" s="50">
        <v>2</v>
      </c>
      <c r="I1098" s="100">
        <v>6.7391919697301583</v>
      </c>
      <c r="J1098" s="52">
        <v>3834.68</v>
      </c>
      <c r="K1098" s="67">
        <f t="shared" si="72"/>
        <v>35947.118725516419</v>
      </c>
      <c r="L1098" s="95">
        <f>+VLOOKUP(E1098,MARGEN!A:B,2,FALSE)</f>
        <v>0.1</v>
      </c>
      <c r="M1098" s="112">
        <f t="shared" si="69"/>
        <v>3594.711872551642</v>
      </c>
      <c r="N1098" s="113">
        <f t="shared" si="70"/>
        <v>143.78847490206567</v>
      </c>
      <c r="O1098" s="113">
        <f t="shared" si="71"/>
        <v>32208.618378062711</v>
      </c>
    </row>
    <row r="1099" spans="1:15" x14ac:dyDescent="0.25">
      <c r="A1099" s="13">
        <v>44452</v>
      </c>
      <c r="B1099" s="97">
        <v>16341</v>
      </c>
      <c r="C1099" t="s">
        <v>78</v>
      </c>
      <c r="D1099" s="94" t="s">
        <v>412</v>
      </c>
      <c r="E1099" t="s">
        <v>45</v>
      </c>
      <c r="F1099" t="s">
        <v>558</v>
      </c>
      <c r="G1099" s="50" t="s">
        <v>559</v>
      </c>
      <c r="H1099" s="50">
        <v>2</v>
      </c>
      <c r="I1099" s="100">
        <v>6.7391919697301583</v>
      </c>
      <c r="J1099" s="52">
        <v>3834.68</v>
      </c>
      <c r="K1099" s="67">
        <f t="shared" si="72"/>
        <v>422294.65642966487</v>
      </c>
      <c r="L1099" s="95">
        <f>+VLOOKUP(E1099,MARGEN!A:B,2,FALSE)</f>
        <v>0.1</v>
      </c>
      <c r="M1099" s="112">
        <f t="shared" si="69"/>
        <v>42229.46564296649</v>
      </c>
      <c r="N1099" s="113">
        <f t="shared" si="70"/>
        <v>1689.1786257186595</v>
      </c>
      <c r="O1099" s="113">
        <f t="shared" si="71"/>
        <v>378376.01216097974</v>
      </c>
    </row>
    <row r="1100" spans="1:15" x14ac:dyDescent="0.25">
      <c r="A1100" s="13">
        <v>44452</v>
      </c>
      <c r="B1100" s="97">
        <v>9934</v>
      </c>
      <c r="C1100" t="s">
        <v>95</v>
      </c>
      <c r="D1100" t="s">
        <v>510</v>
      </c>
      <c r="E1100" t="s">
        <v>45</v>
      </c>
      <c r="F1100" t="s">
        <v>566</v>
      </c>
      <c r="G1100" s="50" t="s">
        <v>559</v>
      </c>
      <c r="H1100" s="50">
        <v>2</v>
      </c>
      <c r="I1100" s="100">
        <v>6.7391919697301583</v>
      </c>
      <c r="J1100" s="52">
        <v>3834.68</v>
      </c>
      <c r="K1100" s="67">
        <f t="shared" si="72"/>
        <v>256720.83207712442</v>
      </c>
      <c r="L1100" s="95">
        <f>+VLOOKUP(E1100,MARGEN!A:B,2,FALSE)</f>
        <v>0.1</v>
      </c>
      <c r="M1100" s="112">
        <f t="shared" si="69"/>
        <v>25672.083207712443</v>
      </c>
      <c r="N1100" s="113">
        <f t="shared" si="70"/>
        <v>1026.8833283084978</v>
      </c>
      <c r="O1100" s="113">
        <f t="shared" si="71"/>
        <v>230021.86554110347</v>
      </c>
    </row>
    <row r="1101" spans="1:15" x14ac:dyDescent="0.25">
      <c r="A1101" s="13">
        <v>44452</v>
      </c>
      <c r="B1101" s="97">
        <v>7534</v>
      </c>
      <c r="C1101" t="s">
        <v>179</v>
      </c>
      <c r="D1101" s="94" t="s">
        <v>361</v>
      </c>
      <c r="E1101" t="s">
        <v>45</v>
      </c>
      <c r="F1101" t="s">
        <v>566</v>
      </c>
      <c r="G1101" s="50" t="s">
        <v>559</v>
      </c>
      <c r="H1101" s="50">
        <v>2</v>
      </c>
      <c r="I1101" s="100">
        <v>6.7391919697301583</v>
      </c>
      <c r="J1101" s="52">
        <v>3834.68</v>
      </c>
      <c r="K1101" s="67">
        <f t="shared" si="72"/>
        <v>194698.4848871608</v>
      </c>
      <c r="L1101" s="95">
        <f>+VLOOKUP(E1101,MARGEN!A:B,2,FALSE)</f>
        <v>0.1</v>
      </c>
      <c r="M1101" s="112">
        <f t="shared" si="69"/>
        <v>19469.848488716081</v>
      </c>
      <c r="N1101" s="113">
        <f t="shared" si="70"/>
        <v>778.79393954864315</v>
      </c>
      <c r="O1101" s="113">
        <f t="shared" si="71"/>
        <v>174449.84245889608</v>
      </c>
    </row>
    <row r="1102" spans="1:15" x14ac:dyDescent="0.25">
      <c r="A1102" s="13">
        <v>44452</v>
      </c>
      <c r="B1102" s="97">
        <v>5639</v>
      </c>
      <c r="C1102" t="s">
        <v>275</v>
      </c>
      <c r="D1102" s="94" t="s">
        <v>519</v>
      </c>
      <c r="E1102" t="s">
        <v>45</v>
      </c>
      <c r="F1102" t="s">
        <v>558</v>
      </c>
      <c r="G1102" s="50" t="s">
        <v>559</v>
      </c>
      <c r="H1102" s="50">
        <v>2</v>
      </c>
      <c r="I1102" s="100">
        <v>6.7391919697301583</v>
      </c>
      <c r="J1102" s="52">
        <v>3834.68</v>
      </c>
      <c r="K1102" s="67">
        <f t="shared" si="72"/>
        <v>145726.67325175201</v>
      </c>
      <c r="L1102" s="95">
        <f>+VLOOKUP(E1102,MARGEN!A:B,2,FALSE)</f>
        <v>0.1</v>
      </c>
      <c r="M1102" s="112">
        <f t="shared" si="69"/>
        <v>14572.667325175202</v>
      </c>
      <c r="N1102" s="113">
        <f t="shared" si="70"/>
        <v>582.90669300700802</v>
      </c>
      <c r="O1102" s="113">
        <f t="shared" si="71"/>
        <v>130571.09923356981</v>
      </c>
    </row>
    <row r="1103" spans="1:15" x14ac:dyDescent="0.25">
      <c r="A1103" s="13">
        <v>44452</v>
      </c>
      <c r="B1103" s="97">
        <v>5638</v>
      </c>
      <c r="C1103" t="s">
        <v>275</v>
      </c>
      <c r="D1103" s="94" t="s">
        <v>519</v>
      </c>
      <c r="E1103" t="s">
        <v>45</v>
      </c>
      <c r="F1103" t="s">
        <v>551</v>
      </c>
      <c r="G1103" s="50" t="s">
        <v>205</v>
      </c>
      <c r="H1103" s="50">
        <v>2</v>
      </c>
      <c r="I1103" s="100">
        <v>6.7391919697301583</v>
      </c>
      <c r="J1103" s="52">
        <v>3834.68</v>
      </c>
      <c r="K1103" s="67">
        <f t="shared" si="72"/>
        <v>145700.83060708951</v>
      </c>
      <c r="L1103" s="95">
        <f>+VLOOKUP(E1103,MARGEN!A:B,2,FALSE)</f>
        <v>0.1</v>
      </c>
      <c r="M1103" s="112">
        <f t="shared" si="69"/>
        <v>14570.083060708952</v>
      </c>
      <c r="N1103" s="113">
        <f t="shared" si="70"/>
        <v>582.803322428358</v>
      </c>
      <c r="O1103" s="113">
        <f t="shared" si="71"/>
        <v>130547.9442239522</v>
      </c>
    </row>
    <row r="1104" spans="1:15" x14ac:dyDescent="0.25">
      <c r="A1104" s="13">
        <v>44452</v>
      </c>
      <c r="B1104" s="97">
        <v>5543</v>
      </c>
      <c r="C1104" t="s">
        <v>116</v>
      </c>
      <c r="D1104" s="94" t="s">
        <v>330</v>
      </c>
      <c r="E1104" t="s">
        <v>45</v>
      </c>
      <c r="F1104" t="s">
        <v>566</v>
      </c>
      <c r="G1104" s="50" t="s">
        <v>559</v>
      </c>
      <c r="H1104" s="50">
        <v>2</v>
      </c>
      <c r="I1104" s="100">
        <v>6.7391919697301583</v>
      </c>
      <c r="J1104" s="52">
        <v>3834.68</v>
      </c>
      <c r="K1104" s="67">
        <f t="shared" si="72"/>
        <v>143245.77936415351</v>
      </c>
      <c r="L1104" s="95">
        <f>+VLOOKUP(E1104,MARGEN!A:B,2,FALSE)</f>
        <v>0.1</v>
      </c>
      <c r="M1104" s="112">
        <f t="shared" si="69"/>
        <v>14324.577936415351</v>
      </c>
      <c r="N1104" s="113">
        <f t="shared" si="70"/>
        <v>572.98311745661408</v>
      </c>
      <c r="O1104" s="113">
        <f t="shared" si="71"/>
        <v>128348.21831028153</v>
      </c>
    </row>
    <row r="1105" spans="1:15" x14ac:dyDescent="0.25">
      <c r="A1105" s="13">
        <v>44452</v>
      </c>
      <c r="B1105" s="97">
        <v>5542</v>
      </c>
      <c r="C1105" t="s">
        <v>116</v>
      </c>
      <c r="D1105" s="94" t="s">
        <v>330</v>
      </c>
      <c r="E1105" t="s">
        <v>45</v>
      </c>
      <c r="F1105" t="s">
        <v>551</v>
      </c>
      <c r="G1105" s="50" t="s">
        <v>205</v>
      </c>
      <c r="H1105" s="50">
        <v>2</v>
      </c>
      <c r="I1105" s="100">
        <v>6.7391919697301583</v>
      </c>
      <c r="J1105" s="52">
        <v>3834.68</v>
      </c>
      <c r="K1105" s="67">
        <f t="shared" si="72"/>
        <v>143219.936719491</v>
      </c>
      <c r="L1105" s="95">
        <f>+VLOOKUP(E1105,MARGEN!A:B,2,FALSE)</f>
        <v>0.1</v>
      </c>
      <c r="M1105" s="112">
        <f t="shared" si="69"/>
        <v>14321.993671949102</v>
      </c>
      <c r="N1105" s="113">
        <f t="shared" si="70"/>
        <v>572.87974687796395</v>
      </c>
      <c r="O1105" s="113">
        <f t="shared" si="71"/>
        <v>128325.06330066393</v>
      </c>
    </row>
    <row r="1106" spans="1:15" x14ac:dyDescent="0.25">
      <c r="A1106" s="13">
        <v>44452</v>
      </c>
      <c r="B1106" s="97">
        <v>4175</v>
      </c>
      <c r="C1106" t="s">
        <v>276</v>
      </c>
      <c r="D1106" s="94" t="s">
        <v>512</v>
      </c>
      <c r="E1106" t="s">
        <v>45</v>
      </c>
      <c r="F1106" t="s">
        <v>566</v>
      </c>
      <c r="G1106" s="50" t="s">
        <v>559</v>
      </c>
      <c r="H1106" s="50">
        <v>2</v>
      </c>
      <c r="I1106" s="100">
        <v>6.7391919697301583</v>
      </c>
      <c r="J1106" s="52">
        <v>3834.68</v>
      </c>
      <c r="K1106" s="67">
        <f t="shared" si="72"/>
        <v>107893.04146587422</v>
      </c>
      <c r="L1106" s="95">
        <f>+VLOOKUP(E1106,MARGEN!A:B,2,FALSE)</f>
        <v>0.1</v>
      </c>
      <c r="M1106" s="112">
        <f t="shared" si="69"/>
        <v>10789.304146587423</v>
      </c>
      <c r="N1106" s="113">
        <f t="shared" si="70"/>
        <v>431.57216586349688</v>
      </c>
      <c r="O1106" s="113">
        <f t="shared" si="71"/>
        <v>96672.165153423295</v>
      </c>
    </row>
    <row r="1107" spans="1:15" x14ac:dyDescent="0.25">
      <c r="A1107" s="13">
        <v>44452</v>
      </c>
      <c r="B1107" s="97">
        <v>4175</v>
      </c>
      <c r="C1107" t="s">
        <v>276</v>
      </c>
      <c r="D1107" s="94" t="s">
        <v>512</v>
      </c>
      <c r="E1107" t="s">
        <v>45</v>
      </c>
      <c r="F1107" t="s">
        <v>551</v>
      </c>
      <c r="G1107" s="50" t="s">
        <v>205</v>
      </c>
      <c r="H1107" s="50">
        <v>2</v>
      </c>
      <c r="I1107" s="100">
        <v>6.7391919697301583</v>
      </c>
      <c r="J1107" s="52">
        <v>3834.68</v>
      </c>
      <c r="K1107" s="67">
        <f t="shared" si="72"/>
        <v>107893.04146587422</v>
      </c>
      <c r="L1107" s="95">
        <f>+VLOOKUP(E1107,MARGEN!A:B,2,FALSE)</f>
        <v>0.1</v>
      </c>
      <c r="M1107" s="112">
        <f t="shared" si="69"/>
        <v>10789.304146587423</v>
      </c>
      <c r="N1107" s="113">
        <f t="shared" si="70"/>
        <v>431.57216586349688</v>
      </c>
      <c r="O1107" s="113">
        <f t="shared" si="71"/>
        <v>96672.165153423295</v>
      </c>
    </row>
    <row r="1108" spans="1:15" x14ac:dyDescent="0.25">
      <c r="A1108" s="13">
        <v>44452</v>
      </c>
      <c r="B1108" s="97">
        <v>4127</v>
      </c>
      <c r="C1108" s="88" t="s">
        <v>235</v>
      </c>
      <c r="D1108" t="s">
        <v>339</v>
      </c>
      <c r="E1108" t="s">
        <v>45</v>
      </c>
      <c r="F1108" t="s">
        <v>558</v>
      </c>
      <c r="G1108" s="50" t="s">
        <v>559</v>
      </c>
      <c r="H1108" s="50">
        <v>2</v>
      </c>
      <c r="I1108" s="100">
        <v>6.7391919697301583</v>
      </c>
      <c r="J1108" s="52">
        <v>3834.68</v>
      </c>
      <c r="K1108" s="67">
        <f t="shared" si="72"/>
        <v>106652.59452207494</v>
      </c>
      <c r="L1108" s="95">
        <f>+VLOOKUP(E1108,MARGEN!A:B,2,FALSE)</f>
        <v>0.1</v>
      </c>
      <c r="M1108" s="112">
        <f t="shared" si="69"/>
        <v>10665.259452207494</v>
      </c>
      <c r="N1108" s="113">
        <f t="shared" si="70"/>
        <v>426.61037808829974</v>
      </c>
      <c r="O1108" s="113">
        <f t="shared" si="71"/>
        <v>95560.724691779149</v>
      </c>
    </row>
    <row r="1109" spans="1:15" x14ac:dyDescent="0.25">
      <c r="A1109" s="13">
        <v>44452</v>
      </c>
      <c r="B1109" s="97">
        <v>3911</v>
      </c>
      <c r="C1109" t="s">
        <v>71</v>
      </c>
      <c r="D1109" s="94" t="s">
        <v>337</v>
      </c>
      <c r="E1109" t="s">
        <v>45</v>
      </c>
      <c r="F1109" t="s">
        <v>566</v>
      </c>
      <c r="G1109" s="50" t="s">
        <v>559</v>
      </c>
      <c r="H1109" s="50">
        <v>2</v>
      </c>
      <c r="I1109" s="100">
        <v>6.7391919697301583</v>
      </c>
      <c r="J1109" s="52">
        <v>3834.68</v>
      </c>
      <c r="K1109" s="67">
        <f t="shared" si="72"/>
        <v>101070.58327497823</v>
      </c>
      <c r="L1109" s="95">
        <f>+VLOOKUP(E1109,MARGEN!A:B,2,FALSE)</f>
        <v>0.1</v>
      </c>
      <c r="M1109" s="112">
        <f t="shared" si="69"/>
        <v>10107.058327497823</v>
      </c>
      <c r="N1109" s="113">
        <f t="shared" si="70"/>
        <v>404.28233309991293</v>
      </c>
      <c r="O1109" s="113">
        <f t="shared" si="71"/>
        <v>90559.242614380491</v>
      </c>
    </row>
    <row r="1110" spans="1:15" x14ac:dyDescent="0.25">
      <c r="A1110" s="13">
        <v>44452</v>
      </c>
      <c r="B1110" s="97">
        <v>3911</v>
      </c>
      <c r="C1110" t="s">
        <v>71</v>
      </c>
      <c r="D1110" s="94" t="s">
        <v>337</v>
      </c>
      <c r="E1110" t="s">
        <v>45</v>
      </c>
      <c r="F1110" t="s">
        <v>551</v>
      </c>
      <c r="G1110" s="50" t="s">
        <v>205</v>
      </c>
      <c r="H1110" s="50">
        <v>2</v>
      </c>
      <c r="I1110" s="100">
        <v>6.7391919697301583</v>
      </c>
      <c r="J1110" s="52">
        <v>3834.68</v>
      </c>
      <c r="K1110" s="67">
        <f t="shared" si="72"/>
        <v>101070.58327497823</v>
      </c>
      <c r="L1110" s="95">
        <f>+VLOOKUP(E1110,MARGEN!A:B,2,FALSE)</f>
        <v>0.1</v>
      </c>
      <c r="M1110" s="112">
        <f t="shared" si="69"/>
        <v>10107.058327497823</v>
      </c>
      <c r="N1110" s="113">
        <f t="shared" si="70"/>
        <v>404.28233309991293</v>
      </c>
      <c r="O1110" s="113">
        <f t="shared" si="71"/>
        <v>90559.242614380491</v>
      </c>
    </row>
    <row r="1111" spans="1:15" x14ac:dyDescent="0.25">
      <c r="A1111" s="13">
        <v>44452</v>
      </c>
      <c r="B1111" s="97">
        <v>3815</v>
      </c>
      <c r="C1111" t="s">
        <v>249</v>
      </c>
      <c r="D1111" s="94" t="s">
        <v>334</v>
      </c>
      <c r="E1111" t="s">
        <v>45</v>
      </c>
      <c r="F1111" t="s">
        <v>558</v>
      </c>
      <c r="G1111" s="50" t="s">
        <v>559</v>
      </c>
      <c r="H1111" s="50">
        <v>2</v>
      </c>
      <c r="I1111" s="100">
        <v>6.7391919697301583</v>
      </c>
      <c r="J1111" s="52">
        <v>3834.68</v>
      </c>
      <c r="K1111" s="67">
        <f t="shared" si="72"/>
        <v>98589.68938737968</v>
      </c>
      <c r="L1111" s="95">
        <f>+VLOOKUP(E1111,MARGEN!A:B,2,FALSE)</f>
        <v>0.1</v>
      </c>
      <c r="M1111" s="112">
        <f t="shared" si="69"/>
        <v>9858.9689387379694</v>
      </c>
      <c r="N1111" s="113">
        <f t="shared" si="70"/>
        <v>394.35875754951871</v>
      </c>
      <c r="O1111" s="113">
        <f t="shared" si="71"/>
        <v>88336.361691092199</v>
      </c>
    </row>
    <row r="1112" spans="1:15" x14ac:dyDescent="0.25">
      <c r="A1112" s="13">
        <v>44452</v>
      </c>
      <c r="B1112" s="97">
        <v>3143</v>
      </c>
      <c r="C1112" t="s">
        <v>277</v>
      </c>
      <c r="D1112" s="94" t="s">
        <v>513</v>
      </c>
      <c r="E1112" t="s">
        <v>45</v>
      </c>
      <c r="F1112" t="s">
        <v>558</v>
      </c>
      <c r="G1112" s="50" t="s">
        <v>559</v>
      </c>
      <c r="H1112" s="50">
        <v>2</v>
      </c>
      <c r="I1112" s="100">
        <v>6.7391919697301583</v>
      </c>
      <c r="J1112" s="52">
        <v>3834.68</v>
      </c>
      <c r="K1112" s="67">
        <f t="shared" si="72"/>
        <v>81223.43217418986</v>
      </c>
      <c r="L1112" s="95">
        <f>+VLOOKUP(E1112,MARGEN!A:B,2,FALSE)</f>
        <v>0.1</v>
      </c>
      <c r="M1112" s="112">
        <f t="shared" si="69"/>
        <v>8122.3432174189866</v>
      </c>
      <c r="N1112" s="113">
        <f t="shared" si="70"/>
        <v>324.89372869675947</v>
      </c>
      <c r="O1112" s="113">
        <f t="shared" si="71"/>
        <v>72776.195228074124</v>
      </c>
    </row>
    <row r="1113" spans="1:15" x14ac:dyDescent="0.25">
      <c r="A1113" s="13">
        <v>44452</v>
      </c>
      <c r="B1113" s="97">
        <v>3143</v>
      </c>
      <c r="C1113" t="s">
        <v>277</v>
      </c>
      <c r="D1113" s="94" t="s">
        <v>513</v>
      </c>
      <c r="E1113" t="s">
        <v>45</v>
      </c>
      <c r="F1113" t="s">
        <v>566</v>
      </c>
      <c r="G1113" s="50" t="s">
        <v>559</v>
      </c>
      <c r="H1113" s="50">
        <v>2</v>
      </c>
      <c r="I1113" s="100">
        <v>6.7391919697301583</v>
      </c>
      <c r="J1113" s="52">
        <v>3834.68</v>
      </c>
      <c r="K1113" s="67">
        <f t="shared" si="72"/>
        <v>81223.43217418986</v>
      </c>
      <c r="L1113" s="95">
        <f>+VLOOKUP(E1113,MARGEN!A:B,2,FALSE)</f>
        <v>0.1</v>
      </c>
      <c r="M1113" s="112">
        <f t="shared" si="69"/>
        <v>8122.3432174189866</v>
      </c>
      <c r="N1113" s="113">
        <f t="shared" si="70"/>
        <v>324.89372869675947</v>
      </c>
      <c r="O1113" s="113">
        <f t="shared" si="71"/>
        <v>72776.195228074124</v>
      </c>
    </row>
    <row r="1114" spans="1:15" x14ac:dyDescent="0.25">
      <c r="A1114" s="13">
        <v>44452</v>
      </c>
      <c r="B1114" s="51">
        <v>2855</v>
      </c>
      <c r="C1114" s="66" t="s">
        <v>268</v>
      </c>
      <c r="D1114" s="66" t="s">
        <v>514</v>
      </c>
      <c r="E1114" t="s">
        <v>45</v>
      </c>
      <c r="F1114" s="50" t="s">
        <v>566</v>
      </c>
      <c r="G1114" s="50" t="s">
        <v>559</v>
      </c>
      <c r="H1114" s="50">
        <v>2</v>
      </c>
      <c r="I1114" s="100">
        <v>6.7391919697301583</v>
      </c>
      <c r="J1114" s="52">
        <v>3834.68</v>
      </c>
      <c r="K1114" s="67">
        <f t="shared" si="72"/>
        <v>73780.750511394232</v>
      </c>
      <c r="L1114" s="95">
        <f>+VLOOKUP(E1114,MARGEN!A:B,2,FALSE)</f>
        <v>0.1</v>
      </c>
      <c r="M1114" s="112">
        <f t="shared" si="69"/>
        <v>7378.0750511394235</v>
      </c>
      <c r="N1114" s="113">
        <f t="shared" si="70"/>
        <v>295.12300204557692</v>
      </c>
      <c r="O1114" s="113">
        <f t="shared" si="71"/>
        <v>66107.552458209218</v>
      </c>
    </row>
    <row r="1115" spans="1:15" x14ac:dyDescent="0.25">
      <c r="A1115" s="13">
        <v>44452</v>
      </c>
      <c r="B1115" s="97">
        <v>2855</v>
      </c>
      <c r="C1115" t="s">
        <v>268</v>
      </c>
      <c r="D1115" s="94" t="s">
        <v>514</v>
      </c>
      <c r="E1115" t="s">
        <v>45</v>
      </c>
      <c r="F1115" t="s">
        <v>562</v>
      </c>
      <c r="G1115" s="50" t="s">
        <v>559</v>
      </c>
      <c r="H1115" s="50">
        <v>2</v>
      </c>
      <c r="I1115" s="100">
        <v>6.7391919697301583</v>
      </c>
      <c r="J1115" s="52">
        <v>3834.68</v>
      </c>
      <c r="K1115" s="67">
        <f t="shared" si="72"/>
        <v>73780.750511394232</v>
      </c>
      <c r="L1115" s="95">
        <f>+VLOOKUP(E1115,MARGEN!A:B,2,FALSE)</f>
        <v>0.1</v>
      </c>
      <c r="M1115" s="112">
        <f t="shared" si="69"/>
        <v>7378.0750511394235</v>
      </c>
      <c r="N1115" s="113">
        <f t="shared" si="70"/>
        <v>295.12300204557692</v>
      </c>
      <c r="O1115" s="113">
        <f t="shared" si="71"/>
        <v>66107.552458209218</v>
      </c>
    </row>
    <row r="1116" spans="1:15" x14ac:dyDescent="0.25">
      <c r="A1116" s="13">
        <v>44452</v>
      </c>
      <c r="B1116" s="97">
        <v>2807</v>
      </c>
      <c r="C1116" t="s">
        <v>178</v>
      </c>
      <c r="D1116" s="94" t="s">
        <v>370</v>
      </c>
      <c r="E1116" t="s">
        <v>45</v>
      </c>
      <c r="F1116" t="s">
        <v>566</v>
      </c>
      <c r="G1116" s="50" t="s">
        <v>559</v>
      </c>
      <c r="H1116" s="50">
        <v>2</v>
      </c>
      <c r="I1116" s="100">
        <v>6.7391919697301583</v>
      </c>
      <c r="J1116" s="52">
        <v>3834.68</v>
      </c>
      <c r="K1116" s="67">
        <f t="shared" si="72"/>
        <v>72540.303567594965</v>
      </c>
      <c r="L1116" s="95">
        <f>+VLOOKUP(E1116,MARGEN!A:B,2,FALSE)</f>
        <v>0.1</v>
      </c>
      <c r="M1116" s="112">
        <f t="shared" si="69"/>
        <v>7254.0303567594965</v>
      </c>
      <c r="N1116" s="113">
        <f t="shared" si="70"/>
        <v>290.16121427037984</v>
      </c>
      <c r="O1116" s="113">
        <f t="shared" si="71"/>
        <v>64996.111996565087</v>
      </c>
    </row>
    <row r="1117" spans="1:15" x14ac:dyDescent="0.25">
      <c r="A1117" s="13">
        <v>44452</v>
      </c>
      <c r="B1117" s="97">
        <v>2807</v>
      </c>
      <c r="C1117" t="s">
        <v>178</v>
      </c>
      <c r="D1117" s="94" t="s">
        <v>370</v>
      </c>
      <c r="E1117" t="s">
        <v>45</v>
      </c>
      <c r="F1117" t="s">
        <v>562</v>
      </c>
      <c r="G1117" s="50" t="s">
        <v>559</v>
      </c>
      <c r="H1117" s="50">
        <v>2</v>
      </c>
      <c r="I1117" s="100">
        <v>6.7391919697301583</v>
      </c>
      <c r="J1117" s="52">
        <v>3834.68</v>
      </c>
      <c r="K1117" s="67">
        <f t="shared" si="72"/>
        <v>72540.303567594965</v>
      </c>
      <c r="L1117" s="95">
        <f>+VLOOKUP(E1117,MARGEN!A:B,2,FALSE)</f>
        <v>0.1</v>
      </c>
      <c r="M1117" s="112">
        <f t="shared" si="69"/>
        <v>7254.0303567594965</v>
      </c>
      <c r="N1117" s="113">
        <f t="shared" si="70"/>
        <v>290.16121427037984</v>
      </c>
      <c r="O1117" s="113">
        <f t="shared" si="71"/>
        <v>64996.111996565087</v>
      </c>
    </row>
    <row r="1118" spans="1:15" x14ac:dyDescent="0.25">
      <c r="A1118" s="13">
        <v>44452</v>
      </c>
      <c r="B1118" s="97">
        <v>2663</v>
      </c>
      <c r="C1118" t="s">
        <v>138</v>
      </c>
      <c r="D1118" s="94" t="s">
        <v>321</v>
      </c>
      <c r="E1118" t="s">
        <v>45</v>
      </c>
      <c r="F1118" t="s">
        <v>566</v>
      </c>
      <c r="G1118" s="50" t="s">
        <v>559</v>
      </c>
      <c r="H1118" s="50">
        <v>2</v>
      </c>
      <c r="I1118" s="100">
        <v>6.7391919697301583</v>
      </c>
      <c r="J1118" s="52">
        <v>3834.68</v>
      </c>
      <c r="K1118" s="67">
        <f t="shared" si="72"/>
        <v>68818.962736197136</v>
      </c>
      <c r="L1118" s="95">
        <f>+VLOOKUP(E1118,MARGEN!A:B,2,FALSE)</f>
        <v>0.1</v>
      </c>
      <c r="M1118" s="112">
        <f t="shared" si="69"/>
        <v>6881.8962736197136</v>
      </c>
      <c r="N1118" s="113">
        <f t="shared" si="70"/>
        <v>275.27585094478854</v>
      </c>
      <c r="O1118" s="113">
        <f t="shared" si="71"/>
        <v>61661.790611632634</v>
      </c>
    </row>
    <row r="1119" spans="1:15" x14ac:dyDescent="0.25">
      <c r="A1119" s="13">
        <v>44452</v>
      </c>
      <c r="B1119" s="97">
        <v>2183</v>
      </c>
      <c r="C1119" t="s">
        <v>560</v>
      </c>
      <c r="D1119" s="94" t="s">
        <v>561</v>
      </c>
      <c r="E1119" t="s">
        <v>45</v>
      </c>
      <c r="F1119" t="s">
        <v>566</v>
      </c>
      <c r="G1119" s="50" t="s">
        <v>559</v>
      </c>
      <c r="H1119" s="50">
        <v>2</v>
      </c>
      <c r="I1119" s="100">
        <v>6.7391919697301583</v>
      </c>
      <c r="J1119" s="52">
        <v>3834.68</v>
      </c>
      <c r="K1119" s="67">
        <f t="shared" si="72"/>
        <v>56414.493298204405</v>
      </c>
      <c r="L1119" s="95">
        <f>+VLOOKUP(E1119,MARGEN!A:B,2,FALSE)</f>
        <v>0.1</v>
      </c>
      <c r="M1119" s="112">
        <f t="shared" si="69"/>
        <v>5641.4493298204407</v>
      </c>
      <c r="N1119" s="113">
        <f t="shared" si="70"/>
        <v>225.65797319281762</v>
      </c>
      <c r="O1119" s="113">
        <f t="shared" si="71"/>
        <v>50547.385995191151</v>
      </c>
    </row>
    <row r="1120" spans="1:15" x14ac:dyDescent="0.25">
      <c r="A1120" s="13">
        <v>44452</v>
      </c>
      <c r="B1120" s="97">
        <v>2183</v>
      </c>
      <c r="C1120" t="s">
        <v>560</v>
      </c>
      <c r="D1120" t="s">
        <v>561</v>
      </c>
      <c r="E1120" t="s">
        <v>45</v>
      </c>
      <c r="F1120" t="s">
        <v>562</v>
      </c>
      <c r="G1120" s="50" t="s">
        <v>559</v>
      </c>
      <c r="H1120" s="50">
        <v>2</v>
      </c>
      <c r="I1120" s="100">
        <v>6.7391919697301583</v>
      </c>
      <c r="J1120" s="52">
        <v>3834.68</v>
      </c>
      <c r="K1120" s="67">
        <f t="shared" si="72"/>
        <v>56414.493298204405</v>
      </c>
      <c r="L1120" s="95">
        <f>+VLOOKUP(E1120,MARGEN!A:B,2,FALSE)</f>
        <v>0.1</v>
      </c>
      <c r="M1120" s="112">
        <f t="shared" si="69"/>
        <v>5641.4493298204407</v>
      </c>
      <c r="N1120" s="113">
        <f t="shared" si="70"/>
        <v>225.65797319281762</v>
      </c>
      <c r="O1120" s="113">
        <f t="shared" si="71"/>
        <v>50547.385995191151</v>
      </c>
    </row>
    <row r="1121" spans="1:15" x14ac:dyDescent="0.25">
      <c r="A1121" s="13">
        <v>44452</v>
      </c>
      <c r="B1121" s="97">
        <v>2087</v>
      </c>
      <c r="C1121" t="s">
        <v>92</v>
      </c>
      <c r="D1121" s="94" t="s">
        <v>490</v>
      </c>
      <c r="E1121" t="s">
        <v>45</v>
      </c>
      <c r="F1121" t="s">
        <v>566</v>
      </c>
      <c r="G1121" s="50" t="s">
        <v>559</v>
      </c>
      <c r="H1121" s="50">
        <v>2</v>
      </c>
      <c r="I1121" s="100">
        <v>6.7391919697301583</v>
      </c>
      <c r="J1121" s="52">
        <v>3834.68</v>
      </c>
      <c r="K1121" s="67">
        <f t="shared" si="72"/>
        <v>53933.599410605872</v>
      </c>
      <c r="L1121" s="95">
        <f>+VLOOKUP(E1121,MARGEN!A:B,2,FALSE)</f>
        <v>0.1</v>
      </c>
      <c r="M1121" s="112">
        <f t="shared" si="69"/>
        <v>5393.3599410605875</v>
      </c>
      <c r="N1121" s="113">
        <f t="shared" si="70"/>
        <v>215.73439764242349</v>
      </c>
      <c r="O1121" s="113">
        <f t="shared" si="71"/>
        <v>48324.505071902859</v>
      </c>
    </row>
    <row r="1122" spans="1:15" x14ac:dyDescent="0.25">
      <c r="A1122" s="13">
        <v>44452</v>
      </c>
      <c r="B1122" s="97">
        <v>2087</v>
      </c>
      <c r="C1122" t="s">
        <v>92</v>
      </c>
      <c r="D1122" t="s">
        <v>490</v>
      </c>
      <c r="E1122" t="s">
        <v>45</v>
      </c>
      <c r="F1122" t="s">
        <v>562</v>
      </c>
      <c r="G1122" s="50" t="s">
        <v>559</v>
      </c>
      <c r="H1122" s="50">
        <v>2</v>
      </c>
      <c r="I1122" s="100">
        <v>6.7391919697301583</v>
      </c>
      <c r="J1122" s="52">
        <v>3834.68</v>
      </c>
      <c r="K1122" s="67">
        <f t="shared" si="72"/>
        <v>53933.599410605872</v>
      </c>
      <c r="L1122" s="95">
        <f>+VLOOKUP(E1122,MARGEN!A:B,2,FALSE)</f>
        <v>0.1</v>
      </c>
      <c r="M1122" s="112">
        <f t="shared" si="69"/>
        <v>5393.3599410605875</v>
      </c>
      <c r="N1122" s="113">
        <f t="shared" si="70"/>
        <v>215.73439764242349</v>
      </c>
      <c r="O1122" s="113">
        <f t="shared" si="71"/>
        <v>48324.505071902859</v>
      </c>
    </row>
    <row r="1123" spans="1:15" x14ac:dyDescent="0.25">
      <c r="A1123" s="13">
        <v>44452</v>
      </c>
      <c r="B1123" s="97">
        <v>1871</v>
      </c>
      <c r="C1123" t="s">
        <v>198</v>
      </c>
      <c r="D1123" s="94" t="s">
        <v>326</v>
      </c>
      <c r="E1123" t="s">
        <v>45</v>
      </c>
      <c r="F1123" t="s">
        <v>562</v>
      </c>
      <c r="G1123" s="50" t="s">
        <v>559</v>
      </c>
      <c r="H1123" s="50">
        <v>2</v>
      </c>
      <c r="I1123" s="100">
        <v>6.7391919697301583</v>
      </c>
      <c r="J1123" s="52">
        <v>3834.68</v>
      </c>
      <c r="K1123" s="67">
        <f t="shared" si="72"/>
        <v>48351.588163509143</v>
      </c>
      <c r="L1123" s="95">
        <f>+VLOOKUP(E1123,MARGEN!A:B,2,FALSE)</f>
        <v>0.1</v>
      </c>
      <c r="M1123" s="112">
        <f t="shared" si="69"/>
        <v>4835.1588163509141</v>
      </c>
      <c r="N1123" s="113">
        <f t="shared" si="70"/>
        <v>193.40635265403657</v>
      </c>
      <c r="O1123" s="113">
        <f t="shared" si="71"/>
        <v>43323.022994504194</v>
      </c>
    </row>
    <row r="1124" spans="1:15" x14ac:dyDescent="0.25">
      <c r="A1124" s="13">
        <v>44452</v>
      </c>
      <c r="B1124" s="97">
        <v>1727</v>
      </c>
      <c r="C1124" t="s">
        <v>190</v>
      </c>
      <c r="D1124" s="94" t="s">
        <v>356</v>
      </c>
      <c r="E1124" t="s">
        <v>45</v>
      </c>
      <c r="F1124" t="s">
        <v>566</v>
      </c>
      <c r="G1124" s="50" t="s">
        <v>559</v>
      </c>
      <c r="H1124" s="50">
        <v>2</v>
      </c>
      <c r="I1124" s="100">
        <v>6.7391919697301583</v>
      </c>
      <c r="J1124" s="52">
        <v>3834.68</v>
      </c>
      <c r="K1124" s="67">
        <f t="shared" si="72"/>
        <v>44630.247332111321</v>
      </c>
      <c r="L1124" s="95">
        <f>+VLOOKUP(E1124,MARGEN!A:B,2,FALSE)</f>
        <v>0.1</v>
      </c>
      <c r="M1124" s="112">
        <f t="shared" si="69"/>
        <v>4463.0247332111321</v>
      </c>
      <c r="N1124" s="113">
        <f t="shared" si="70"/>
        <v>178.5209893284453</v>
      </c>
      <c r="O1124" s="113">
        <f t="shared" si="71"/>
        <v>39988.701609571741</v>
      </c>
    </row>
    <row r="1125" spans="1:15" x14ac:dyDescent="0.25">
      <c r="A1125" s="13">
        <v>44452</v>
      </c>
      <c r="B1125" s="97">
        <v>1727</v>
      </c>
      <c r="C1125" t="s">
        <v>190</v>
      </c>
      <c r="D1125" s="94" t="s">
        <v>356</v>
      </c>
      <c r="E1125" t="s">
        <v>45</v>
      </c>
      <c r="F1125" t="s">
        <v>562</v>
      </c>
      <c r="G1125" s="50" t="s">
        <v>559</v>
      </c>
      <c r="H1125" s="50">
        <v>2</v>
      </c>
      <c r="I1125" s="100">
        <v>6.7391919697301583</v>
      </c>
      <c r="J1125" s="52">
        <v>3834.68</v>
      </c>
      <c r="K1125" s="67">
        <f t="shared" si="72"/>
        <v>44630.247332111321</v>
      </c>
      <c r="L1125" s="95">
        <f>+VLOOKUP(E1125,MARGEN!A:B,2,FALSE)</f>
        <v>0.1</v>
      </c>
      <c r="M1125" s="112">
        <f t="shared" si="69"/>
        <v>4463.0247332111321</v>
      </c>
      <c r="N1125" s="113">
        <f t="shared" si="70"/>
        <v>178.5209893284453</v>
      </c>
      <c r="O1125" s="113">
        <f t="shared" si="71"/>
        <v>39988.701609571741</v>
      </c>
    </row>
    <row r="1126" spans="1:15" x14ac:dyDescent="0.25">
      <c r="A1126" s="13">
        <v>44452</v>
      </c>
      <c r="B1126" s="97">
        <v>1535</v>
      </c>
      <c r="C1126" t="s">
        <v>273</v>
      </c>
      <c r="D1126" s="94" t="s">
        <v>515</v>
      </c>
      <c r="E1126" t="s">
        <v>45</v>
      </c>
      <c r="F1126" t="s">
        <v>566</v>
      </c>
      <c r="G1126" s="50" t="s">
        <v>559</v>
      </c>
      <c r="H1126" s="50">
        <v>2</v>
      </c>
      <c r="I1126" s="100">
        <v>6.7391919697301583</v>
      </c>
      <c r="J1126" s="52">
        <v>3834.68</v>
      </c>
      <c r="K1126" s="67">
        <f t="shared" si="72"/>
        <v>39668.459556914233</v>
      </c>
      <c r="L1126" s="95">
        <f>+VLOOKUP(E1126,MARGEN!A:B,2,FALSE)</f>
        <v>0.1</v>
      </c>
      <c r="M1126" s="112">
        <f t="shared" si="69"/>
        <v>3966.8459556914236</v>
      </c>
      <c r="N1126" s="113">
        <f t="shared" si="70"/>
        <v>158.67383822765694</v>
      </c>
      <c r="O1126" s="113">
        <f t="shared" si="71"/>
        <v>35542.939762995149</v>
      </c>
    </row>
    <row r="1127" spans="1:15" x14ac:dyDescent="0.25">
      <c r="A1127" s="13">
        <v>44452</v>
      </c>
      <c r="B1127" s="97">
        <v>1391</v>
      </c>
      <c r="C1127" t="s">
        <v>107</v>
      </c>
      <c r="D1127" s="94" t="s">
        <v>346</v>
      </c>
      <c r="E1127" t="s">
        <v>45</v>
      </c>
      <c r="F1127" t="s">
        <v>562</v>
      </c>
      <c r="G1127" s="50" t="s">
        <v>559</v>
      </c>
      <c r="H1127" s="50">
        <v>2</v>
      </c>
      <c r="I1127" s="100">
        <v>6.7391919697301583</v>
      </c>
      <c r="J1127" s="52">
        <v>3834.68</v>
      </c>
      <c r="K1127" s="67">
        <f t="shared" si="72"/>
        <v>35947.118725516419</v>
      </c>
      <c r="L1127" s="95">
        <f>+VLOOKUP(E1127,MARGEN!A:B,2,FALSE)</f>
        <v>0.1</v>
      </c>
      <c r="M1127" s="112">
        <f t="shared" si="69"/>
        <v>3594.711872551642</v>
      </c>
      <c r="N1127" s="113">
        <f t="shared" si="70"/>
        <v>143.78847490206567</v>
      </c>
      <c r="O1127" s="113">
        <f t="shared" si="71"/>
        <v>32208.618378062711</v>
      </c>
    </row>
    <row r="1128" spans="1:15" x14ac:dyDescent="0.25">
      <c r="A1128" s="13">
        <v>44452</v>
      </c>
      <c r="B1128" s="97">
        <v>1391</v>
      </c>
      <c r="C1128" t="s">
        <v>107</v>
      </c>
      <c r="D1128" s="94" t="s">
        <v>346</v>
      </c>
      <c r="E1128" t="s">
        <v>45</v>
      </c>
      <c r="F1128" t="s">
        <v>562</v>
      </c>
      <c r="G1128" s="50" t="s">
        <v>559</v>
      </c>
      <c r="H1128" s="50">
        <v>2</v>
      </c>
      <c r="I1128" s="100">
        <v>6.7391919697301583</v>
      </c>
      <c r="J1128" s="52">
        <v>3834.68</v>
      </c>
      <c r="K1128" s="67">
        <f t="shared" si="72"/>
        <v>35947.118725516419</v>
      </c>
      <c r="L1128" s="95">
        <f>+VLOOKUP(E1128,MARGEN!A:B,2,FALSE)</f>
        <v>0.1</v>
      </c>
      <c r="M1128" s="112">
        <f t="shared" si="69"/>
        <v>3594.711872551642</v>
      </c>
      <c r="N1128" s="113">
        <f t="shared" si="70"/>
        <v>143.78847490206567</v>
      </c>
      <c r="O1128" s="113">
        <f t="shared" si="71"/>
        <v>32208.618378062711</v>
      </c>
    </row>
    <row r="1129" spans="1:15" x14ac:dyDescent="0.25">
      <c r="A1129" s="13">
        <v>44454</v>
      </c>
      <c r="B1129" s="97">
        <v>16340</v>
      </c>
      <c r="C1129" t="s">
        <v>78</v>
      </c>
      <c r="D1129" s="94" t="s">
        <v>412</v>
      </c>
      <c r="E1129" t="s">
        <v>45</v>
      </c>
      <c r="F1129" t="s">
        <v>551</v>
      </c>
      <c r="G1129" s="50" t="s">
        <v>205</v>
      </c>
      <c r="H1129" s="50">
        <v>2</v>
      </c>
      <c r="I1129" s="100">
        <v>6.7391919697301583</v>
      </c>
      <c r="J1129" s="52">
        <v>3834.68</v>
      </c>
      <c r="K1129" s="67">
        <f t="shared" si="72"/>
        <v>422268.81378500228</v>
      </c>
      <c r="L1129" s="95">
        <f>+VLOOKUP(E1129,MARGEN!A:B,2,FALSE)</f>
        <v>0.1</v>
      </c>
      <c r="M1129" s="112">
        <f t="shared" si="69"/>
        <v>42226.881378500228</v>
      </c>
      <c r="N1129" s="113">
        <f t="shared" si="70"/>
        <v>1689.0752551400092</v>
      </c>
      <c r="O1129" s="113">
        <f t="shared" si="71"/>
        <v>378352.85715136206</v>
      </c>
    </row>
    <row r="1130" spans="1:15" x14ac:dyDescent="0.25">
      <c r="A1130" s="13">
        <v>44454</v>
      </c>
      <c r="B1130" s="97">
        <v>12813</v>
      </c>
      <c r="C1130" t="s">
        <v>73</v>
      </c>
      <c r="D1130" s="94" t="s">
        <v>338</v>
      </c>
      <c r="E1130" t="s">
        <v>45</v>
      </c>
      <c r="F1130" t="s">
        <v>551</v>
      </c>
      <c r="G1130" s="50" t="s">
        <v>205</v>
      </c>
      <c r="H1130" s="50">
        <v>2</v>
      </c>
      <c r="I1130" s="100">
        <v>6.7391919697301583</v>
      </c>
      <c r="J1130" s="52">
        <v>3834.68</v>
      </c>
      <c r="K1130" s="67">
        <f t="shared" si="72"/>
        <v>331121.80606041825</v>
      </c>
      <c r="L1130" s="95">
        <f>+VLOOKUP(E1130,MARGEN!A:B,2,FALSE)</f>
        <v>0.1</v>
      </c>
      <c r="M1130" s="112">
        <f t="shared" si="69"/>
        <v>33112.180606041824</v>
      </c>
      <c r="N1130" s="113">
        <f t="shared" si="70"/>
        <v>1324.4872242416729</v>
      </c>
      <c r="O1130" s="113">
        <f t="shared" si="71"/>
        <v>296685.13823013479</v>
      </c>
    </row>
    <row r="1131" spans="1:15" x14ac:dyDescent="0.25">
      <c r="A1131" s="13">
        <v>44454</v>
      </c>
      <c r="B1131" s="97">
        <v>9934</v>
      </c>
      <c r="C1131" t="s">
        <v>95</v>
      </c>
      <c r="D1131" s="94" t="s">
        <v>510</v>
      </c>
      <c r="E1131" t="s">
        <v>45</v>
      </c>
      <c r="F1131" t="s">
        <v>551</v>
      </c>
      <c r="G1131" s="50" t="s">
        <v>205</v>
      </c>
      <c r="H1131" s="50">
        <v>2</v>
      </c>
      <c r="I1131" s="100">
        <v>6.7391919697301583</v>
      </c>
      <c r="J1131" s="52">
        <v>3834.68</v>
      </c>
      <c r="K1131" s="67">
        <f t="shared" si="72"/>
        <v>256720.83207712442</v>
      </c>
      <c r="L1131" s="95">
        <f>+VLOOKUP(E1131,MARGEN!A:B,2,FALSE)</f>
        <v>0.1</v>
      </c>
      <c r="M1131" s="112">
        <f t="shared" si="69"/>
        <v>25672.083207712443</v>
      </c>
      <c r="N1131" s="113">
        <f t="shared" si="70"/>
        <v>1026.8833283084978</v>
      </c>
      <c r="O1131" s="113">
        <f t="shared" si="71"/>
        <v>230021.86554110347</v>
      </c>
    </row>
    <row r="1132" spans="1:15" x14ac:dyDescent="0.25">
      <c r="A1132" s="13">
        <v>44454</v>
      </c>
      <c r="B1132" s="51">
        <v>8254</v>
      </c>
      <c r="C1132" s="66" t="s">
        <v>191</v>
      </c>
      <c r="D1132" s="66" t="s">
        <v>354</v>
      </c>
      <c r="E1132" t="s">
        <v>45</v>
      </c>
      <c r="F1132" s="50" t="s">
        <v>551</v>
      </c>
      <c r="G1132" s="50" t="s">
        <v>205</v>
      </c>
      <c r="H1132" s="50">
        <v>2</v>
      </c>
      <c r="I1132" s="100">
        <v>6.7391919697301583</v>
      </c>
      <c r="J1132" s="52">
        <v>3834.68</v>
      </c>
      <c r="K1132" s="67">
        <f t="shared" si="72"/>
        <v>213305.18904414988</v>
      </c>
      <c r="L1132" s="95">
        <f>+VLOOKUP(E1132,MARGEN!A:B,2,FALSE)</f>
        <v>0.1</v>
      </c>
      <c r="M1132" s="112">
        <f t="shared" si="69"/>
        <v>21330.518904414988</v>
      </c>
      <c r="N1132" s="113">
        <f t="shared" si="70"/>
        <v>853.22075617659948</v>
      </c>
      <c r="O1132" s="113">
        <f t="shared" si="71"/>
        <v>191121.4493835583</v>
      </c>
    </row>
    <row r="1133" spans="1:15" x14ac:dyDescent="0.25">
      <c r="A1133" s="13">
        <v>44454</v>
      </c>
      <c r="B1133" s="97">
        <v>7606</v>
      </c>
      <c r="C1133" t="s">
        <v>248</v>
      </c>
      <c r="D1133" s="94" t="s">
        <v>385</v>
      </c>
      <c r="E1133" t="s">
        <v>45</v>
      </c>
      <c r="F1133" t="s">
        <v>551</v>
      </c>
      <c r="G1133" s="50" t="s">
        <v>205</v>
      </c>
      <c r="H1133" s="50">
        <v>2</v>
      </c>
      <c r="I1133" s="100">
        <v>6.7391919697301583</v>
      </c>
      <c r="J1133" s="52">
        <v>3834.68</v>
      </c>
      <c r="K1133" s="67">
        <f t="shared" si="72"/>
        <v>196559.1553028597</v>
      </c>
      <c r="L1133" s="95">
        <f>+VLOOKUP(E1133,MARGEN!A:B,2,FALSE)</f>
        <v>0.1</v>
      </c>
      <c r="M1133" s="112">
        <f t="shared" si="69"/>
        <v>19655.915530285973</v>
      </c>
      <c r="N1133" s="113">
        <f t="shared" si="70"/>
        <v>786.23662121143877</v>
      </c>
      <c r="O1133" s="113">
        <f t="shared" si="71"/>
        <v>176117.0031513623</v>
      </c>
    </row>
    <row r="1134" spans="1:15" x14ac:dyDescent="0.25">
      <c r="A1134" s="13">
        <v>44454</v>
      </c>
      <c r="B1134" s="97">
        <v>7510</v>
      </c>
      <c r="C1134" t="s">
        <v>179</v>
      </c>
      <c r="D1134" s="94" t="s">
        <v>361</v>
      </c>
      <c r="E1134" t="s">
        <v>45</v>
      </c>
      <c r="F1134" t="s">
        <v>551</v>
      </c>
      <c r="G1134" s="50" t="s">
        <v>205</v>
      </c>
      <c r="H1134" s="50">
        <v>2</v>
      </c>
      <c r="I1134" s="100">
        <v>6.7391919697301583</v>
      </c>
      <c r="J1134" s="52">
        <v>3834.68</v>
      </c>
      <c r="K1134" s="67">
        <f t="shared" si="72"/>
        <v>194078.26141526119</v>
      </c>
      <c r="L1134" s="95">
        <f>+VLOOKUP(E1134,MARGEN!A:B,2,FALSE)</f>
        <v>0.1</v>
      </c>
      <c r="M1134" s="112">
        <f t="shared" si="69"/>
        <v>19407.826141526119</v>
      </c>
      <c r="N1134" s="113">
        <f t="shared" si="70"/>
        <v>776.31304566104473</v>
      </c>
      <c r="O1134" s="113">
        <f t="shared" si="71"/>
        <v>173894.12222807403</v>
      </c>
    </row>
    <row r="1135" spans="1:15" x14ac:dyDescent="0.25">
      <c r="A1135" s="13">
        <v>44454</v>
      </c>
      <c r="B1135" s="97">
        <v>7414</v>
      </c>
      <c r="C1135" t="s">
        <v>143</v>
      </c>
      <c r="D1135" s="94" t="s">
        <v>489</v>
      </c>
      <c r="E1135" t="s">
        <v>45</v>
      </c>
      <c r="F1135" t="s">
        <v>551</v>
      </c>
      <c r="G1135" s="50" t="s">
        <v>205</v>
      </c>
      <c r="H1135" s="50">
        <v>2</v>
      </c>
      <c r="I1135" s="100">
        <v>6.7391919697301583</v>
      </c>
      <c r="J1135" s="52">
        <v>3834.68</v>
      </c>
      <c r="K1135" s="67">
        <f t="shared" si="72"/>
        <v>191597.3675276626</v>
      </c>
      <c r="L1135" s="95">
        <f>+VLOOKUP(E1135,MARGEN!A:B,2,FALSE)</f>
        <v>0.1</v>
      </c>
      <c r="M1135" s="112">
        <f t="shared" si="69"/>
        <v>19159.736752766261</v>
      </c>
      <c r="N1135" s="113">
        <f t="shared" si="70"/>
        <v>766.38947011065045</v>
      </c>
      <c r="O1135" s="113">
        <f t="shared" si="71"/>
        <v>171671.24130478568</v>
      </c>
    </row>
    <row r="1136" spans="1:15" x14ac:dyDescent="0.25">
      <c r="A1136" s="13">
        <v>44454</v>
      </c>
      <c r="B1136" s="97">
        <v>5638</v>
      </c>
      <c r="C1136" s="88" t="s">
        <v>275</v>
      </c>
      <c r="D1136" t="s">
        <v>519</v>
      </c>
      <c r="E1136" t="s">
        <v>45</v>
      </c>
      <c r="F1136" t="s">
        <v>551</v>
      </c>
      <c r="G1136" s="50" t="s">
        <v>205</v>
      </c>
      <c r="H1136" s="50">
        <v>2</v>
      </c>
      <c r="I1136" s="100">
        <v>6.7391919697301583</v>
      </c>
      <c r="J1136" s="52">
        <v>3834.68</v>
      </c>
      <c r="K1136" s="67">
        <f t="shared" si="72"/>
        <v>145700.83060708951</v>
      </c>
      <c r="L1136" s="95">
        <f>+VLOOKUP(E1136,MARGEN!A:B,2,FALSE)</f>
        <v>0.1</v>
      </c>
      <c r="M1136" s="112">
        <f t="shared" si="69"/>
        <v>14570.083060708952</v>
      </c>
      <c r="N1136" s="113">
        <f t="shared" si="70"/>
        <v>582.803322428358</v>
      </c>
      <c r="O1136" s="113">
        <f t="shared" si="71"/>
        <v>130547.9442239522</v>
      </c>
    </row>
    <row r="1137" spans="1:15" x14ac:dyDescent="0.25">
      <c r="A1137" s="13">
        <v>44454</v>
      </c>
      <c r="B1137" s="97">
        <v>5542</v>
      </c>
      <c r="C1137" t="s">
        <v>116</v>
      </c>
      <c r="D1137" s="94" t="s">
        <v>330</v>
      </c>
      <c r="E1137" t="s">
        <v>45</v>
      </c>
      <c r="F1137" t="s">
        <v>551</v>
      </c>
      <c r="G1137" s="50" t="s">
        <v>205</v>
      </c>
      <c r="H1137" s="50">
        <v>2</v>
      </c>
      <c r="I1137" s="100">
        <v>6.7391919697301583</v>
      </c>
      <c r="J1137" s="52">
        <v>3834.68</v>
      </c>
      <c r="K1137" s="67">
        <f t="shared" si="72"/>
        <v>143219.936719491</v>
      </c>
      <c r="L1137" s="95">
        <f>+VLOOKUP(E1137,MARGEN!A:B,2,FALSE)</f>
        <v>0.1</v>
      </c>
      <c r="M1137" s="112">
        <f t="shared" si="69"/>
        <v>14321.993671949102</v>
      </c>
      <c r="N1137" s="113">
        <f t="shared" si="70"/>
        <v>572.87974687796395</v>
      </c>
      <c r="O1137" s="113">
        <f t="shared" si="71"/>
        <v>128325.06330066393</v>
      </c>
    </row>
    <row r="1138" spans="1:15" x14ac:dyDescent="0.25">
      <c r="A1138" s="13">
        <v>44454</v>
      </c>
      <c r="B1138" s="97">
        <v>4535</v>
      </c>
      <c r="C1138" t="s">
        <v>76</v>
      </c>
      <c r="D1138" s="94" t="s">
        <v>332</v>
      </c>
      <c r="E1138" t="s">
        <v>45</v>
      </c>
      <c r="F1138" t="s">
        <v>551</v>
      </c>
      <c r="G1138" s="50" t="s">
        <v>205</v>
      </c>
      <c r="H1138" s="50">
        <v>2</v>
      </c>
      <c r="I1138" s="100">
        <v>6.7391919697301583</v>
      </c>
      <c r="J1138" s="52">
        <v>3834.68</v>
      </c>
      <c r="K1138" s="67">
        <f t="shared" si="72"/>
        <v>117196.39354436877</v>
      </c>
      <c r="L1138" s="95">
        <f>+VLOOKUP(E1138,MARGEN!A:B,2,FALSE)</f>
        <v>0.1</v>
      </c>
      <c r="M1138" s="112">
        <f t="shared" si="69"/>
        <v>11719.639354436877</v>
      </c>
      <c r="N1138" s="113">
        <f t="shared" si="70"/>
        <v>468.78557417747504</v>
      </c>
      <c r="O1138" s="113">
        <f t="shared" si="71"/>
        <v>105007.96861575442</v>
      </c>
    </row>
    <row r="1139" spans="1:15" x14ac:dyDescent="0.25">
      <c r="A1139" s="13">
        <v>44454</v>
      </c>
      <c r="B1139" s="97">
        <v>4319</v>
      </c>
      <c r="C1139" t="s">
        <v>91</v>
      </c>
      <c r="D1139" s="94" t="s">
        <v>340</v>
      </c>
      <c r="E1139" t="s">
        <v>45</v>
      </c>
      <c r="F1139" t="s">
        <v>551</v>
      </c>
      <c r="G1139" s="50" t="s">
        <v>205</v>
      </c>
      <c r="H1139" s="50">
        <v>2</v>
      </c>
      <c r="I1139" s="100">
        <v>6.7391919697301583</v>
      </c>
      <c r="J1139" s="52">
        <v>3834.68</v>
      </c>
      <c r="K1139" s="67">
        <f t="shared" si="72"/>
        <v>111614.38229727202</v>
      </c>
      <c r="L1139" s="95">
        <f>+VLOOKUP(E1139,MARGEN!A:B,2,FALSE)</f>
        <v>0.1</v>
      </c>
      <c r="M1139" s="112">
        <f t="shared" si="69"/>
        <v>11161.438229727202</v>
      </c>
      <c r="N1139" s="113">
        <f t="shared" si="70"/>
        <v>446.45752918908806</v>
      </c>
      <c r="O1139" s="113">
        <f t="shared" si="71"/>
        <v>100006.48653835573</v>
      </c>
    </row>
    <row r="1140" spans="1:15" x14ac:dyDescent="0.25">
      <c r="A1140" s="13">
        <v>44454</v>
      </c>
      <c r="B1140" s="51">
        <v>4175</v>
      </c>
      <c r="C1140" s="66" t="s">
        <v>276</v>
      </c>
      <c r="D1140" s="66" t="s">
        <v>512</v>
      </c>
      <c r="E1140" t="s">
        <v>45</v>
      </c>
      <c r="F1140" s="50" t="s">
        <v>551</v>
      </c>
      <c r="G1140" s="50" t="s">
        <v>205</v>
      </c>
      <c r="H1140" s="50">
        <v>2</v>
      </c>
      <c r="I1140" s="100">
        <v>6.7391919697301583</v>
      </c>
      <c r="J1140" s="52">
        <v>3834.68</v>
      </c>
      <c r="K1140" s="67">
        <f t="shared" si="72"/>
        <v>107893.04146587422</v>
      </c>
      <c r="L1140" s="95">
        <f>+VLOOKUP(E1140,MARGEN!A:B,2,FALSE)</f>
        <v>0.1</v>
      </c>
      <c r="M1140" s="112">
        <f t="shared" si="69"/>
        <v>10789.304146587423</v>
      </c>
      <c r="N1140" s="113">
        <f t="shared" si="70"/>
        <v>431.57216586349688</v>
      </c>
      <c r="O1140" s="113">
        <f t="shared" si="71"/>
        <v>96672.165153423295</v>
      </c>
    </row>
    <row r="1141" spans="1:15" x14ac:dyDescent="0.25">
      <c r="A1141" s="13">
        <v>44454</v>
      </c>
      <c r="B1141" s="97">
        <v>4127</v>
      </c>
      <c r="C1141" t="s">
        <v>235</v>
      </c>
      <c r="D1141" s="94" t="s">
        <v>339</v>
      </c>
      <c r="E1141" t="s">
        <v>45</v>
      </c>
      <c r="F1141" t="s">
        <v>551</v>
      </c>
      <c r="G1141" s="50" t="s">
        <v>205</v>
      </c>
      <c r="H1141" s="50">
        <v>2</v>
      </c>
      <c r="I1141" s="100">
        <v>6.7391919697301583</v>
      </c>
      <c r="J1141" s="52">
        <v>3834.68</v>
      </c>
      <c r="K1141" s="67">
        <f t="shared" si="72"/>
        <v>106652.59452207494</v>
      </c>
      <c r="L1141" s="95">
        <f>+VLOOKUP(E1141,MARGEN!A:B,2,FALSE)</f>
        <v>0.1</v>
      </c>
      <c r="M1141" s="112">
        <f t="shared" si="69"/>
        <v>10665.259452207494</v>
      </c>
      <c r="N1141" s="113">
        <f t="shared" si="70"/>
        <v>426.61037808829974</v>
      </c>
      <c r="O1141" s="113">
        <f t="shared" si="71"/>
        <v>95560.724691779149</v>
      </c>
    </row>
    <row r="1142" spans="1:15" x14ac:dyDescent="0.25">
      <c r="A1142" s="13">
        <v>44454</v>
      </c>
      <c r="B1142" s="97">
        <v>3911</v>
      </c>
      <c r="C1142" t="s">
        <v>71</v>
      </c>
      <c r="D1142" s="94" t="s">
        <v>337</v>
      </c>
      <c r="E1142" t="s">
        <v>45</v>
      </c>
      <c r="F1142" t="s">
        <v>551</v>
      </c>
      <c r="G1142" s="50" t="s">
        <v>205</v>
      </c>
      <c r="H1142" s="50">
        <v>2</v>
      </c>
      <c r="I1142" s="100">
        <v>6.7391919697301583</v>
      </c>
      <c r="J1142" s="52">
        <v>3834.68</v>
      </c>
      <c r="K1142" s="67">
        <f t="shared" si="72"/>
        <v>101070.58327497823</v>
      </c>
      <c r="L1142" s="95">
        <f>+VLOOKUP(E1142,MARGEN!A:B,2,FALSE)</f>
        <v>0.1</v>
      </c>
      <c r="M1142" s="112">
        <f t="shared" si="69"/>
        <v>10107.058327497823</v>
      </c>
      <c r="N1142" s="113">
        <f t="shared" si="70"/>
        <v>404.28233309991293</v>
      </c>
      <c r="O1142" s="113">
        <f t="shared" si="71"/>
        <v>90559.242614380491</v>
      </c>
    </row>
    <row r="1143" spans="1:15" x14ac:dyDescent="0.25">
      <c r="A1143" s="13">
        <v>44454</v>
      </c>
      <c r="B1143" s="97">
        <v>3815</v>
      </c>
      <c r="C1143" t="s">
        <v>249</v>
      </c>
      <c r="D1143" s="94" t="s">
        <v>334</v>
      </c>
      <c r="E1143" t="s">
        <v>45</v>
      </c>
      <c r="F1143" t="s">
        <v>551</v>
      </c>
      <c r="G1143" s="50" t="s">
        <v>205</v>
      </c>
      <c r="H1143" s="50">
        <v>2</v>
      </c>
      <c r="I1143" s="100">
        <v>6.7391919697301583</v>
      </c>
      <c r="J1143" s="52">
        <v>3834.68</v>
      </c>
      <c r="K1143" s="67">
        <f t="shared" si="72"/>
        <v>98589.68938737968</v>
      </c>
      <c r="L1143" s="95">
        <f>+VLOOKUP(E1143,MARGEN!A:B,2,FALSE)</f>
        <v>0.1</v>
      </c>
      <c r="M1143" s="112">
        <f t="shared" si="69"/>
        <v>9858.9689387379694</v>
      </c>
      <c r="N1143" s="113">
        <f t="shared" si="70"/>
        <v>394.35875754951871</v>
      </c>
      <c r="O1143" s="113">
        <f t="shared" si="71"/>
        <v>88336.361691092199</v>
      </c>
    </row>
    <row r="1144" spans="1:15" x14ac:dyDescent="0.25">
      <c r="A1144" s="13">
        <v>44454</v>
      </c>
      <c r="B1144" s="97">
        <v>3695</v>
      </c>
      <c r="C1144" t="s">
        <v>177</v>
      </c>
      <c r="D1144" s="94" t="s">
        <v>355</v>
      </c>
      <c r="E1144" t="s">
        <v>45</v>
      </c>
      <c r="F1144" t="s">
        <v>551</v>
      </c>
      <c r="G1144" s="50" t="s">
        <v>205</v>
      </c>
      <c r="H1144" s="50">
        <v>2</v>
      </c>
      <c r="I1144" s="100">
        <v>6.7391919697301583</v>
      </c>
      <c r="J1144" s="52">
        <v>3834.68</v>
      </c>
      <c r="K1144" s="67">
        <f t="shared" si="72"/>
        <v>95488.572027881484</v>
      </c>
      <c r="L1144" s="95">
        <f>+VLOOKUP(E1144,MARGEN!A:B,2,FALSE)</f>
        <v>0.1</v>
      </c>
      <c r="M1144" s="112">
        <f t="shared" si="69"/>
        <v>9548.8572027881492</v>
      </c>
      <c r="N1144" s="113">
        <f t="shared" si="70"/>
        <v>381.95428811152595</v>
      </c>
      <c r="O1144" s="113">
        <f t="shared" si="71"/>
        <v>85557.760536981819</v>
      </c>
    </row>
    <row r="1145" spans="1:15" x14ac:dyDescent="0.25">
      <c r="A1145" s="13">
        <v>44454</v>
      </c>
      <c r="B1145" s="97">
        <v>3143</v>
      </c>
      <c r="C1145" t="s">
        <v>277</v>
      </c>
      <c r="D1145" s="94" t="s">
        <v>513</v>
      </c>
      <c r="E1145" t="s">
        <v>45</v>
      </c>
      <c r="F1145" t="s">
        <v>551</v>
      </c>
      <c r="G1145" s="50" t="s">
        <v>205</v>
      </c>
      <c r="H1145" s="50">
        <v>2</v>
      </c>
      <c r="I1145" s="100">
        <v>6.7391919697301583</v>
      </c>
      <c r="J1145" s="52">
        <v>3834.68</v>
      </c>
      <c r="K1145" s="67">
        <f t="shared" si="72"/>
        <v>81223.43217418986</v>
      </c>
      <c r="L1145" s="95">
        <f>+VLOOKUP(E1145,MARGEN!A:B,2,FALSE)</f>
        <v>0.1</v>
      </c>
      <c r="M1145" s="112">
        <f t="shared" si="69"/>
        <v>8122.3432174189866</v>
      </c>
      <c r="N1145" s="113">
        <f t="shared" si="70"/>
        <v>324.89372869675947</v>
      </c>
      <c r="O1145" s="113">
        <f t="shared" si="71"/>
        <v>72776.195228074124</v>
      </c>
    </row>
    <row r="1146" spans="1:15" x14ac:dyDescent="0.25">
      <c r="A1146" s="13">
        <v>44454</v>
      </c>
      <c r="B1146" s="97">
        <v>2879</v>
      </c>
      <c r="C1146" t="s">
        <v>139</v>
      </c>
      <c r="D1146" s="94" t="s">
        <v>327</v>
      </c>
      <c r="E1146" t="s">
        <v>45</v>
      </c>
      <c r="F1146" t="s">
        <v>551</v>
      </c>
      <c r="G1146" s="50" t="s">
        <v>205</v>
      </c>
      <c r="H1146" s="50">
        <v>2</v>
      </c>
      <c r="I1146" s="100">
        <v>6.7391919697301583</v>
      </c>
      <c r="J1146" s="52">
        <v>3834.68</v>
      </c>
      <c r="K1146" s="67">
        <f t="shared" si="72"/>
        <v>74400.973983293865</v>
      </c>
      <c r="L1146" s="95">
        <f>+VLOOKUP(E1146,MARGEN!A:B,2,FALSE)</f>
        <v>0.1</v>
      </c>
      <c r="M1146" s="112">
        <f t="shared" si="69"/>
        <v>7440.097398329387</v>
      </c>
      <c r="N1146" s="113">
        <f t="shared" si="70"/>
        <v>297.60389593317547</v>
      </c>
      <c r="O1146" s="113">
        <f t="shared" si="71"/>
        <v>66663.272689031306</v>
      </c>
    </row>
    <row r="1147" spans="1:15" x14ac:dyDescent="0.25">
      <c r="A1147" s="13">
        <v>44454</v>
      </c>
      <c r="B1147" s="97">
        <v>2855</v>
      </c>
      <c r="C1147" t="s">
        <v>268</v>
      </c>
      <c r="D1147" s="94" t="s">
        <v>514</v>
      </c>
      <c r="E1147" t="s">
        <v>45</v>
      </c>
      <c r="F1147" t="s">
        <v>562</v>
      </c>
      <c r="G1147" s="50" t="s">
        <v>559</v>
      </c>
      <c r="H1147" s="50">
        <v>2</v>
      </c>
      <c r="I1147" s="100">
        <v>6.7391919697301583</v>
      </c>
      <c r="J1147" s="52">
        <v>3834.68</v>
      </c>
      <c r="K1147" s="67">
        <f t="shared" si="72"/>
        <v>73780.750511394232</v>
      </c>
      <c r="L1147" s="95">
        <f>+VLOOKUP(E1147,MARGEN!A:B,2,FALSE)</f>
        <v>0.1</v>
      </c>
      <c r="M1147" s="112">
        <f t="shared" si="69"/>
        <v>7378.0750511394235</v>
      </c>
      <c r="N1147" s="113">
        <f t="shared" si="70"/>
        <v>295.12300204557692</v>
      </c>
      <c r="O1147" s="113">
        <f t="shared" si="71"/>
        <v>66107.552458209218</v>
      </c>
    </row>
    <row r="1148" spans="1:15" x14ac:dyDescent="0.25">
      <c r="A1148" s="13">
        <v>44454</v>
      </c>
      <c r="B1148" s="97">
        <v>2807</v>
      </c>
      <c r="C1148" t="s">
        <v>178</v>
      </c>
      <c r="D1148" s="94" t="s">
        <v>370</v>
      </c>
      <c r="E1148" t="s">
        <v>45</v>
      </c>
      <c r="F1148" t="s">
        <v>562</v>
      </c>
      <c r="G1148" s="50" t="s">
        <v>559</v>
      </c>
      <c r="H1148" s="50">
        <v>2</v>
      </c>
      <c r="I1148" s="100">
        <v>6.7391919697301583</v>
      </c>
      <c r="J1148" s="52">
        <v>3834.68</v>
      </c>
      <c r="K1148" s="67">
        <f t="shared" si="72"/>
        <v>72540.303567594965</v>
      </c>
      <c r="L1148" s="95">
        <f>+VLOOKUP(E1148,MARGEN!A:B,2,FALSE)</f>
        <v>0.1</v>
      </c>
      <c r="M1148" s="112">
        <f t="shared" si="69"/>
        <v>7254.0303567594965</v>
      </c>
      <c r="N1148" s="113">
        <f t="shared" si="70"/>
        <v>290.16121427037984</v>
      </c>
      <c r="O1148" s="113">
        <f t="shared" si="71"/>
        <v>64996.111996565087</v>
      </c>
    </row>
    <row r="1149" spans="1:15" x14ac:dyDescent="0.25">
      <c r="A1149" s="13">
        <v>44454</v>
      </c>
      <c r="B1149" s="97">
        <v>2663</v>
      </c>
      <c r="C1149" t="s">
        <v>138</v>
      </c>
      <c r="D1149" s="94" t="s">
        <v>321</v>
      </c>
      <c r="E1149" t="s">
        <v>45</v>
      </c>
      <c r="F1149" t="s">
        <v>551</v>
      </c>
      <c r="G1149" s="50" t="s">
        <v>205</v>
      </c>
      <c r="H1149" s="50">
        <v>2</v>
      </c>
      <c r="I1149" s="100">
        <v>6.7391919697301583</v>
      </c>
      <c r="J1149" s="52">
        <v>3834.68</v>
      </c>
      <c r="K1149" s="67">
        <f t="shared" si="72"/>
        <v>68818.962736197136</v>
      </c>
      <c r="L1149" s="95">
        <f>+VLOOKUP(E1149,MARGEN!A:B,2,FALSE)</f>
        <v>0.1</v>
      </c>
      <c r="M1149" s="112">
        <f t="shared" si="69"/>
        <v>6881.8962736197136</v>
      </c>
      <c r="N1149" s="113">
        <f t="shared" si="70"/>
        <v>275.27585094478854</v>
      </c>
      <c r="O1149" s="113">
        <f t="shared" si="71"/>
        <v>61661.790611632634</v>
      </c>
    </row>
    <row r="1150" spans="1:15" x14ac:dyDescent="0.25">
      <c r="A1150" s="13">
        <v>44454</v>
      </c>
      <c r="B1150" s="97">
        <v>2183</v>
      </c>
      <c r="C1150" t="s">
        <v>560</v>
      </c>
      <c r="D1150" s="94" t="s">
        <v>561</v>
      </c>
      <c r="E1150" t="s">
        <v>45</v>
      </c>
      <c r="F1150" t="s">
        <v>562</v>
      </c>
      <c r="G1150" s="50" t="s">
        <v>559</v>
      </c>
      <c r="H1150" s="50">
        <v>2</v>
      </c>
      <c r="I1150" s="100">
        <v>6.7391919697301583</v>
      </c>
      <c r="J1150" s="52">
        <v>3834.68</v>
      </c>
      <c r="K1150" s="67">
        <f t="shared" si="72"/>
        <v>56414.493298204405</v>
      </c>
      <c r="L1150" s="95">
        <f>+VLOOKUP(E1150,MARGEN!A:B,2,FALSE)</f>
        <v>0.1</v>
      </c>
      <c r="M1150" s="112">
        <f t="shared" si="69"/>
        <v>5641.4493298204407</v>
      </c>
      <c r="N1150" s="113">
        <f t="shared" si="70"/>
        <v>225.65797319281762</v>
      </c>
      <c r="O1150" s="113">
        <f t="shared" si="71"/>
        <v>50547.385995191151</v>
      </c>
    </row>
    <row r="1151" spans="1:15" x14ac:dyDescent="0.25">
      <c r="A1151" s="13">
        <v>44454</v>
      </c>
      <c r="B1151" s="97">
        <v>2087</v>
      </c>
      <c r="C1151" t="s">
        <v>103</v>
      </c>
      <c r="D1151" s="94" t="s">
        <v>342</v>
      </c>
      <c r="E1151" t="s">
        <v>45</v>
      </c>
      <c r="F1151" t="s">
        <v>558</v>
      </c>
      <c r="G1151" s="50" t="s">
        <v>559</v>
      </c>
      <c r="H1151" s="50">
        <v>2</v>
      </c>
      <c r="I1151" s="100">
        <v>6.7391919697301583</v>
      </c>
      <c r="J1151" s="52">
        <v>3834.68</v>
      </c>
      <c r="K1151" s="67">
        <f t="shared" si="72"/>
        <v>53933.599410605872</v>
      </c>
      <c r="L1151" s="95">
        <f>+VLOOKUP(E1151,MARGEN!A:B,2,FALSE)</f>
        <v>0.1</v>
      </c>
      <c r="M1151" s="112">
        <f t="shared" si="69"/>
        <v>5393.3599410605875</v>
      </c>
      <c r="N1151" s="113">
        <f t="shared" si="70"/>
        <v>215.73439764242349</v>
      </c>
      <c r="O1151" s="113">
        <f t="shared" si="71"/>
        <v>48324.505071902859</v>
      </c>
    </row>
    <row r="1152" spans="1:15" x14ac:dyDescent="0.25">
      <c r="A1152" s="13">
        <v>44454</v>
      </c>
      <c r="B1152" s="97">
        <v>2087</v>
      </c>
      <c r="C1152" t="s">
        <v>92</v>
      </c>
      <c r="D1152" s="94" t="s">
        <v>490</v>
      </c>
      <c r="E1152" t="s">
        <v>45</v>
      </c>
      <c r="F1152" t="s">
        <v>562</v>
      </c>
      <c r="G1152" s="50" t="s">
        <v>559</v>
      </c>
      <c r="H1152" s="50">
        <v>2</v>
      </c>
      <c r="I1152" s="100">
        <v>6.7391919697301583</v>
      </c>
      <c r="J1152" s="52">
        <v>3834.68</v>
      </c>
      <c r="K1152" s="67">
        <f t="shared" si="72"/>
        <v>53933.599410605872</v>
      </c>
      <c r="L1152" s="95">
        <f>+VLOOKUP(E1152,MARGEN!A:B,2,FALSE)</f>
        <v>0.1</v>
      </c>
      <c r="M1152" s="112">
        <f t="shared" si="69"/>
        <v>5393.3599410605875</v>
      </c>
      <c r="N1152" s="113">
        <f t="shared" si="70"/>
        <v>215.73439764242349</v>
      </c>
      <c r="O1152" s="113">
        <f t="shared" si="71"/>
        <v>48324.505071902859</v>
      </c>
    </row>
    <row r="1153" spans="1:15" x14ac:dyDescent="0.25">
      <c r="A1153" s="13">
        <v>44454</v>
      </c>
      <c r="B1153" s="97">
        <v>1871</v>
      </c>
      <c r="C1153" t="s">
        <v>198</v>
      </c>
      <c r="D1153" s="94" t="s">
        <v>326</v>
      </c>
      <c r="E1153" t="s">
        <v>45</v>
      </c>
      <c r="F1153" t="s">
        <v>558</v>
      </c>
      <c r="G1153" s="50" t="s">
        <v>559</v>
      </c>
      <c r="H1153" s="50">
        <v>2</v>
      </c>
      <c r="I1153" s="100">
        <v>6.7391919697301583</v>
      </c>
      <c r="J1153" s="52">
        <v>3834.68</v>
      </c>
      <c r="K1153" s="67">
        <f t="shared" si="72"/>
        <v>48351.588163509143</v>
      </c>
      <c r="L1153" s="95">
        <f>+VLOOKUP(E1153,MARGEN!A:B,2,FALSE)</f>
        <v>0.1</v>
      </c>
      <c r="M1153" s="112">
        <f t="shared" si="69"/>
        <v>4835.1588163509141</v>
      </c>
      <c r="N1153" s="113">
        <f t="shared" si="70"/>
        <v>193.40635265403657</v>
      </c>
      <c r="O1153" s="113">
        <f t="shared" si="71"/>
        <v>43323.022994504194</v>
      </c>
    </row>
    <row r="1154" spans="1:15" x14ac:dyDescent="0.25">
      <c r="A1154" s="13">
        <v>44454</v>
      </c>
      <c r="B1154" s="97">
        <v>1727</v>
      </c>
      <c r="C1154" t="s">
        <v>190</v>
      </c>
      <c r="D1154" s="94" t="s">
        <v>356</v>
      </c>
      <c r="E1154" t="s">
        <v>45</v>
      </c>
      <c r="F1154" t="s">
        <v>562</v>
      </c>
      <c r="G1154" s="50" t="s">
        <v>559</v>
      </c>
      <c r="H1154" s="50">
        <v>2</v>
      </c>
      <c r="I1154" s="100">
        <v>6.7391919697301583</v>
      </c>
      <c r="J1154" s="52">
        <v>3834.68</v>
      </c>
      <c r="K1154" s="67">
        <f t="shared" si="72"/>
        <v>44630.247332111321</v>
      </c>
      <c r="L1154" s="95">
        <f>+VLOOKUP(E1154,MARGEN!A:B,2,FALSE)</f>
        <v>0.1</v>
      </c>
      <c r="M1154" s="112">
        <f t="shared" si="69"/>
        <v>4463.0247332111321</v>
      </c>
      <c r="N1154" s="113">
        <f t="shared" si="70"/>
        <v>178.5209893284453</v>
      </c>
      <c r="O1154" s="113">
        <f t="shared" si="71"/>
        <v>39988.701609571741</v>
      </c>
    </row>
    <row r="1155" spans="1:15" x14ac:dyDescent="0.25">
      <c r="A1155" s="13">
        <v>44454</v>
      </c>
      <c r="B1155" s="51">
        <v>1391</v>
      </c>
      <c r="C1155" s="66" t="s">
        <v>107</v>
      </c>
      <c r="D1155" s="66" t="s">
        <v>346</v>
      </c>
      <c r="E1155" t="s">
        <v>45</v>
      </c>
      <c r="F1155" s="50" t="s">
        <v>562</v>
      </c>
      <c r="G1155" s="50" t="s">
        <v>559</v>
      </c>
      <c r="H1155" s="50">
        <v>2</v>
      </c>
      <c r="I1155" s="100">
        <v>6.7391919697301583</v>
      </c>
      <c r="J1155" s="52">
        <v>3834.68</v>
      </c>
      <c r="K1155" s="67">
        <f t="shared" si="72"/>
        <v>35947.118725516419</v>
      </c>
      <c r="L1155" s="95">
        <f>+VLOOKUP(E1155,MARGEN!A:B,2,FALSE)</f>
        <v>0.1</v>
      </c>
      <c r="M1155" s="112">
        <f t="shared" ref="M1155:M1218" si="73">+K1155*L1155</f>
        <v>3594.711872551642</v>
      </c>
      <c r="N1155" s="113">
        <f t="shared" ref="N1155:N1218" si="74">+K1155*4/1000</f>
        <v>143.78847490206567</v>
      </c>
      <c r="O1155" s="113">
        <f t="shared" ref="O1155:O1218" si="75">+K1155-M1155-N1155</f>
        <v>32208.618378062711</v>
      </c>
    </row>
    <row r="1156" spans="1:15" x14ac:dyDescent="0.25">
      <c r="A1156" s="13">
        <v>44455</v>
      </c>
      <c r="B1156" s="97">
        <v>16340</v>
      </c>
      <c r="C1156" t="s">
        <v>78</v>
      </c>
      <c r="D1156" s="94" t="s">
        <v>412</v>
      </c>
      <c r="E1156" t="s">
        <v>45</v>
      </c>
      <c r="F1156" t="s">
        <v>551</v>
      </c>
      <c r="G1156" s="50" t="s">
        <v>205</v>
      </c>
      <c r="H1156" s="50">
        <v>2</v>
      </c>
      <c r="I1156" s="100">
        <v>6.7391919697301583</v>
      </c>
      <c r="J1156" s="52">
        <v>3834.68</v>
      </c>
      <c r="K1156" s="67">
        <f t="shared" si="72"/>
        <v>422268.81378500228</v>
      </c>
      <c r="L1156" s="95">
        <f>+VLOOKUP(E1156,MARGEN!A:B,2,FALSE)</f>
        <v>0.1</v>
      </c>
      <c r="M1156" s="112">
        <f t="shared" si="73"/>
        <v>42226.881378500228</v>
      </c>
      <c r="N1156" s="113">
        <f t="shared" si="74"/>
        <v>1689.0752551400092</v>
      </c>
      <c r="O1156" s="113">
        <f t="shared" si="75"/>
        <v>378352.85715136206</v>
      </c>
    </row>
    <row r="1157" spans="1:15" x14ac:dyDescent="0.25">
      <c r="A1157" s="13">
        <v>44455</v>
      </c>
      <c r="B1157" s="51">
        <v>12814</v>
      </c>
      <c r="C1157" s="66" t="s">
        <v>73</v>
      </c>
      <c r="D1157" s="66" t="s">
        <v>338</v>
      </c>
      <c r="E1157" t="s">
        <v>45</v>
      </c>
      <c r="F1157" s="50" t="s">
        <v>566</v>
      </c>
      <c r="G1157" s="50" t="s">
        <v>559</v>
      </c>
      <c r="H1157" s="50">
        <v>2</v>
      </c>
      <c r="I1157" s="100">
        <v>6.7391919697301583</v>
      </c>
      <c r="J1157" s="52">
        <v>3834.68</v>
      </c>
      <c r="K1157" s="67">
        <f t="shared" si="72"/>
        <v>331147.64870508079</v>
      </c>
      <c r="L1157" s="95">
        <f>+VLOOKUP(E1157,MARGEN!A:B,2,FALSE)</f>
        <v>0.1</v>
      </c>
      <c r="M1157" s="112">
        <f t="shared" si="73"/>
        <v>33114.764870508079</v>
      </c>
      <c r="N1157" s="113">
        <f t="shared" si="74"/>
        <v>1324.5905948203231</v>
      </c>
      <c r="O1157" s="113">
        <f t="shared" si="75"/>
        <v>296708.29323975241</v>
      </c>
    </row>
    <row r="1158" spans="1:15" x14ac:dyDescent="0.25">
      <c r="A1158" s="13">
        <v>44455</v>
      </c>
      <c r="B1158" s="97">
        <v>9934</v>
      </c>
      <c r="C1158" t="s">
        <v>95</v>
      </c>
      <c r="D1158" s="94" t="s">
        <v>510</v>
      </c>
      <c r="E1158" t="s">
        <v>45</v>
      </c>
      <c r="F1158" t="s">
        <v>566</v>
      </c>
      <c r="G1158" s="50" t="s">
        <v>559</v>
      </c>
      <c r="H1158" s="50">
        <v>2</v>
      </c>
      <c r="I1158" s="100">
        <v>6.7391919697301583</v>
      </c>
      <c r="J1158" s="52">
        <v>3834.68</v>
      </c>
      <c r="K1158" s="67">
        <f t="shared" si="72"/>
        <v>256720.83207712442</v>
      </c>
      <c r="L1158" s="95">
        <f>+VLOOKUP(E1158,MARGEN!A:B,2,FALSE)</f>
        <v>0.1</v>
      </c>
      <c r="M1158" s="112">
        <f t="shared" si="73"/>
        <v>25672.083207712443</v>
      </c>
      <c r="N1158" s="113">
        <f t="shared" si="74"/>
        <v>1026.8833283084978</v>
      </c>
      <c r="O1158" s="113">
        <f t="shared" si="75"/>
        <v>230021.86554110347</v>
      </c>
    </row>
    <row r="1159" spans="1:15" x14ac:dyDescent="0.25">
      <c r="A1159" s="13">
        <v>44455</v>
      </c>
      <c r="B1159" s="97">
        <v>8254</v>
      </c>
      <c r="C1159" t="s">
        <v>191</v>
      </c>
      <c r="D1159" s="94" t="s">
        <v>354</v>
      </c>
      <c r="E1159" t="s">
        <v>45</v>
      </c>
      <c r="F1159" t="s">
        <v>566</v>
      </c>
      <c r="G1159" s="50" t="s">
        <v>559</v>
      </c>
      <c r="H1159" s="50">
        <v>2</v>
      </c>
      <c r="I1159" s="100">
        <v>6.7391919697301583</v>
      </c>
      <c r="J1159" s="52">
        <v>3834.68</v>
      </c>
      <c r="K1159" s="67">
        <f t="shared" si="72"/>
        <v>213305.18904414988</v>
      </c>
      <c r="L1159" s="95">
        <f>+VLOOKUP(E1159,MARGEN!A:B,2,FALSE)</f>
        <v>0.1</v>
      </c>
      <c r="M1159" s="112">
        <f t="shared" si="73"/>
        <v>21330.518904414988</v>
      </c>
      <c r="N1159" s="113">
        <f t="shared" si="74"/>
        <v>853.22075617659948</v>
      </c>
      <c r="O1159" s="113">
        <f t="shared" si="75"/>
        <v>191121.4493835583</v>
      </c>
    </row>
    <row r="1160" spans="1:15" x14ac:dyDescent="0.25">
      <c r="A1160" s="13">
        <v>44455</v>
      </c>
      <c r="B1160" s="97">
        <v>8230</v>
      </c>
      <c r="C1160" t="s">
        <v>90</v>
      </c>
      <c r="D1160" s="94" t="s">
        <v>350</v>
      </c>
      <c r="E1160" t="s">
        <v>45</v>
      </c>
      <c r="F1160" t="s">
        <v>562</v>
      </c>
      <c r="G1160" s="50" t="s">
        <v>559</v>
      </c>
      <c r="H1160" s="50">
        <v>2</v>
      </c>
      <c r="I1160" s="100">
        <v>6.7391919697301583</v>
      </c>
      <c r="J1160" s="52">
        <v>3834.68</v>
      </c>
      <c r="K1160" s="67">
        <f t="shared" si="72"/>
        <v>212684.96557225028</v>
      </c>
      <c r="L1160" s="95">
        <f>+VLOOKUP(E1160,MARGEN!A:B,2,FALSE)</f>
        <v>0.1</v>
      </c>
      <c r="M1160" s="112">
        <f t="shared" si="73"/>
        <v>21268.496557225029</v>
      </c>
      <c r="N1160" s="113">
        <f t="shared" si="74"/>
        <v>850.73986228900117</v>
      </c>
      <c r="O1160" s="113">
        <f t="shared" si="75"/>
        <v>190565.72915273625</v>
      </c>
    </row>
    <row r="1161" spans="1:15" x14ac:dyDescent="0.25">
      <c r="A1161" s="13">
        <v>44455</v>
      </c>
      <c r="B1161" s="97">
        <v>7606</v>
      </c>
      <c r="C1161" t="s">
        <v>248</v>
      </c>
      <c r="D1161" s="94" t="s">
        <v>385</v>
      </c>
      <c r="E1161" t="s">
        <v>45</v>
      </c>
      <c r="F1161" t="s">
        <v>566</v>
      </c>
      <c r="G1161" s="50" t="s">
        <v>559</v>
      </c>
      <c r="H1161" s="50">
        <v>2</v>
      </c>
      <c r="I1161" s="100">
        <v>6.7391919697301583</v>
      </c>
      <c r="J1161" s="52">
        <v>3834.68</v>
      </c>
      <c r="K1161" s="67">
        <f t="shared" ref="K1161:K1224" si="76">+B1161*I1161*J1161/1000</f>
        <v>196559.1553028597</v>
      </c>
      <c r="L1161" s="95">
        <f>+VLOOKUP(E1161,MARGEN!A:B,2,FALSE)</f>
        <v>0.1</v>
      </c>
      <c r="M1161" s="112">
        <f t="shared" si="73"/>
        <v>19655.915530285973</v>
      </c>
      <c r="N1161" s="113">
        <f t="shared" si="74"/>
        <v>786.23662121143877</v>
      </c>
      <c r="O1161" s="113">
        <f t="shared" si="75"/>
        <v>176117.0031513623</v>
      </c>
    </row>
    <row r="1162" spans="1:15" x14ac:dyDescent="0.25">
      <c r="A1162" s="13">
        <v>44455</v>
      </c>
      <c r="B1162" s="97">
        <v>7534</v>
      </c>
      <c r="C1162" t="s">
        <v>179</v>
      </c>
      <c r="D1162" s="94" t="s">
        <v>361</v>
      </c>
      <c r="E1162" t="s">
        <v>45</v>
      </c>
      <c r="F1162" t="s">
        <v>566</v>
      </c>
      <c r="G1162" s="50" t="s">
        <v>559</v>
      </c>
      <c r="H1162" s="50">
        <v>2</v>
      </c>
      <c r="I1162" s="100">
        <v>6.7391919697301583</v>
      </c>
      <c r="J1162" s="52">
        <v>3834.68</v>
      </c>
      <c r="K1162" s="67">
        <f t="shared" si="76"/>
        <v>194698.4848871608</v>
      </c>
      <c r="L1162" s="95">
        <f>+VLOOKUP(E1162,MARGEN!A:B,2,FALSE)</f>
        <v>0.1</v>
      </c>
      <c r="M1162" s="112">
        <f t="shared" si="73"/>
        <v>19469.848488716081</v>
      </c>
      <c r="N1162" s="113">
        <f t="shared" si="74"/>
        <v>778.79393954864315</v>
      </c>
      <c r="O1162" s="113">
        <f t="shared" si="75"/>
        <v>174449.84245889608</v>
      </c>
    </row>
    <row r="1163" spans="1:15" x14ac:dyDescent="0.25">
      <c r="A1163" s="13">
        <v>44455</v>
      </c>
      <c r="B1163" s="97">
        <v>7414</v>
      </c>
      <c r="C1163" t="s">
        <v>143</v>
      </c>
      <c r="D1163" s="94" t="s">
        <v>489</v>
      </c>
      <c r="E1163" t="s">
        <v>45</v>
      </c>
      <c r="F1163" t="s">
        <v>566</v>
      </c>
      <c r="G1163" s="50" t="s">
        <v>559</v>
      </c>
      <c r="H1163" s="50">
        <v>2</v>
      </c>
      <c r="I1163" s="100">
        <v>6.7391919697301583</v>
      </c>
      <c r="J1163" s="52">
        <v>3834.68</v>
      </c>
      <c r="K1163" s="67">
        <f t="shared" si="76"/>
        <v>191597.3675276626</v>
      </c>
      <c r="L1163" s="95">
        <f>+VLOOKUP(E1163,MARGEN!A:B,2,FALSE)</f>
        <v>0.1</v>
      </c>
      <c r="M1163" s="112">
        <f t="shared" si="73"/>
        <v>19159.736752766261</v>
      </c>
      <c r="N1163" s="113">
        <f t="shared" si="74"/>
        <v>766.38947011065045</v>
      </c>
      <c r="O1163" s="113">
        <f t="shared" si="75"/>
        <v>171671.24130478568</v>
      </c>
    </row>
    <row r="1164" spans="1:15" x14ac:dyDescent="0.25">
      <c r="A1164" s="13">
        <v>44455</v>
      </c>
      <c r="B1164" s="97">
        <v>5639</v>
      </c>
      <c r="C1164" t="s">
        <v>275</v>
      </c>
      <c r="D1164" s="94" t="s">
        <v>519</v>
      </c>
      <c r="E1164" t="s">
        <v>45</v>
      </c>
      <c r="F1164" t="s">
        <v>558</v>
      </c>
      <c r="G1164" s="50" t="s">
        <v>559</v>
      </c>
      <c r="H1164" s="50">
        <v>2</v>
      </c>
      <c r="I1164" s="100">
        <v>6.7391919697301583</v>
      </c>
      <c r="J1164" s="52">
        <v>3834.68</v>
      </c>
      <c r="K1164" s="67">
        <f t="shared" si="76"/>
        <v>145726.67325175201</v>
      </c>
      <c r="L1164" s="95">
        <f>+VLOOKUP(E1164,MARGEN!A:B,2,FALSE)</f>
        <v>0.1</v>
      </c>
      <c r="M1164" s="112">
        <f t="shared" si="73"/>
        <v>14572.667325175202</v>
      </c>
      <c r="N1164" s="113">
        <f t="shared" si="74"/>
        <v>582.90669300700802</v>
      </c>
      <c r="O1164" s="113">
        <f t="shared" si="75"/>
        <v>130571.09923356981</v>
      </c>
    </row>
    <row r="1165" spans="1:15" x14ac:dyDescent="0.25">
      <c r="A1165" s="13">
        <v>44455</v>
      </c>
      <c r="B1165" s="97">
        <v>5543</v>
      </c>
      <c r="C1165" t="s">
        <v>116</v>
      </c>
      <c r="D1165" s="94" t="s">
        <v>330</v>
      </c>
      <c r="E1165" t="s">
        <v>45</v>
      </c>
      <c r="F1165" t="s">
        <v>566</v>
      </c>
      <c r="G1165" s="50" t="s">
        <v>559</v>
      </c>
      <c r="H1165" s="50">
        <v>2</v>
      </c>
      <c r="I1165" s="100">
        <v>6.7391919697301583</v>
      </c>
      <c r="J1165" s="52">
        <v>3834.68</v>
      </c>
      <c r="K1165" s="67">
        <f t="shared" si="76"/>
        <v>143245.77936415351</v>
      </c>
      <c r="L1165" s="95">
        <f>+VLOOKUP(E1165,MARGEN!A:B,2,FALSE)</f>
        <v>0.1</v>
      </c>
      <c r="M1165" s="112">
        <f t="shared" si="73"/>
        <v>14324.577936415351</v>
      </c>
      <c r="N1165" s="113">
        <f t="shared" si="74"/>
        <v>572.98311745661408</v>
      </c>
      <c r="O1165" s="113">
        <f t="shared" si="75"/>
        <v>128348.21831028153</v>
      </c>
    </row>
    <row r="1166" spans="1:15" x14ac:dyDescent="0.25">
      <c r="A1166" s="13">
        <v>44455</v>
      </c>
      <c r="B1166" s="51">
        <v>4535</v>
      </c>
      <c r="C1166" s="66" t="s">
        <v>76</v>
      </c>
      <c r="D1166" s="66" t="s">
        <v>332</v>
      </c>
      <c r="E1166" t="s">
        <v>45</v>
      </c>
      <c r="F1166" s="50" t="s">
        <v>566</v>
      </c>
      <c r="G1166" s="50" t="s">
        <v>559</v>
      </c>
      <c r="H1166" s="50">
        <v>2</v>
      </c>
      <c r="I1166" s="100">
        <v>6.7391919697301583</v>
      </c>
      <c r="J1166" s="52">
        <v>3834.68</v>
      </c>
      <c r="K1166" s="67">
        <f t="shared" si="76"/>
        <v>117196.39354436877</v>
      </c>
      <c r="L1166" s="95">
        <f>+VLOOKUP(E1166,MARGEN!A:B,2,FALSE)</f>
        <v>0.1</v>
      </c>
      <c r="M1166" s="112">
        <f t="shared" si="73"/>
        <v>11719.639354436877</v>
      </c>
      <c r="N1166" s="113">
        <f t="shared" si="74"/>
        <v>468.78557417747504</v>
      </c>
      <c r="O1166" s="113">
        <f t="shared" si="75"/>
        <v>105007.96861575442</v>
      </c>
    </row>
    <row r="1167" spans="1:15" x14ac:dyDescent="0.25">
      <c r="A1167" s="13">
        <v>44455</v>
      </c>
      <c r="B1167" s="97">
        <v>4319</v>
      </c>
      <c r="C1167" t="s">
        <v>91</v>
      </c>
      <c r="D1167" s="94" t="s">
        <v>340</v>
      </c>
      <c r="E1167" t="s">
        <v>45</v>
      </c>
      <c r="F1167" t="s">
        <v>566</v>
      </c>
      <c r="G1167" s="50" t="s">
        <v>559</v>
      </c>
      <c r="H1167" s="50">
        <v>2</v>
      </c>
      <c r="I1167" s="100">
        <v>6.7391919697301583</v>
      </c>
      <c r="J1167" s="52">
        <v>3834.68</v>
      </c>
      <c r="K1167" s="67">
        <f t="shared" si="76"/>
        <v>111614.38229727202</v>
      </c>
      <c r="L1167" s="95">
        <f>+VLOOKUP(E1167,MARGEN!A:B,2,FALSE)</f>
        <v>0.1</v>
      </c>
      <c r="M1167" s="112">
        <f t="shared" si="73"/>
        <v>11161.438229727202</v>
      </c>
      <c r="N1167" s="113">
        <f t="shared" si="74"/>
        <v>446.45752918908806</v>
      </c>
      <c r="O1167" s="113">
        <f t="shared" si="75"/>
        <v>100006.48653835573</v>
      </c>
    </row>
    <row r="1168" spans="1:15" x14ac:dyDescent="0.25">
      <c r="A1168" s="13">
        <v>44455</v>
      </c>
      <c r="B1168" s="97">
        <v>4319</v>
      </c>
      <c r="C1168" t="s">
        <v>197</v>
      </c>
      <c r="D1168" s="94" t="s">
        <v>358</v>
      </c>
      <c r="E1168" t="s">
        <v>45</v>
      </c>
      <c r="F1168" t="s">
        <v>562</v>
      </c>
      <c r="G1168" s="50" t="s">
        <v>559</v>
      </c>
      <c r="H1168" s="50">
        <v>2</v>
      </c>
      <c r="I1168" s="100">
        <v>6.7391919697301583</v>
      </c>
      <c r="J1168" s="52">
        <v>3834.68</v>
      </c>
      <c r="K1168" s="67">
        <f t="shared" si="76"/>
        <v>111614.38229727202</v>
      </c>
      <c r="L1168" s="95">
        <f>+VLOOKUP(E1168,MARGEN!A:B,2,FALSE)</f>
        <v>0.1</v>
      </c>
      <c r="M1168" s="112">
        <f t="shared" si="73"/>
        <v>11161.438229727202</v>
      </c>
      <c r="N1168" s="113">
        <f t="shared" si="74"/>
        <v>446.45752918908806</v>
      </c>
      <c r="O1168" s="113">
        <f t="shared" si="75"/>
        <v>100006.48653835573</v>
      </c>
    </row>
    <row r="1169" spans="1:15" x14ac:dyDescent="0.25">
      <c r="A1169" s="13">
        <v>44455</v>
      </c>
      <c r="B1169" s="51">
        <v>4175</v>
      </c>
      <c r="C1169" s="66" t="s">
        <v>276</v>
      </c>
      <c r="D1169" s="66" t="s">
        <v>512</v>
      </c>
      <c r="E1169" t="s">
        <v>45</v>
      </c>
      <c r="F1169" s="50" t="s">
        <v>562</v>
      </c>
      <c r="G1169" s="50" t="s">
        <v>559</v>
      </c>
      <c r="H1169" s="50">
        <v>2</v>
      </c>
      <c r="I1169" s="100">
        <v>6.7391919697301583</v>
      </c>
      <c r="J1169" s="52">
        <v>3834.68</v>
      </c>
      <c r="K1169" s="67">
        <f t="shared" si="76"/>
        <v>107893.04146587422</v>
      </c>
      <c r="L1169" s="95">
        <f>+VLOOKUP(E1169,MARGEN!A:B,2,FALSE)</f>
        <v>0.1</v>
      </c>
      <c r="M1169" s="112">
        <f t="shared" si="73"/>
        <v>10789.304146587423</v>
      </c>
      <c r="N1169" s="113">
        <f t="shared" si="74"/>
        <v>431.57216586349688</v>
      </c>
      <c r="O1169" s="113">
        <f t="shared" si="75"/>
        <v>96672.165153423295</v>
      </c>
    </row>
    <row r="1170" spans="1:15" x14ac:dyDescent="0.25">
      <c r="A1170" s="13">
        <v>44455</v>
      </c>
      <c r="B1170" s="97">
        <v>4127</v>
      </c>
      <c r="C1170" t="s">
        <v>235</v>
      </c>
      <c r="D1170" s="94" t="s">
        <v>339</v>
      </c>
      <c r="E1170" t="s">
        <v>45</v>
      </c>
      <c r="F1170" t="s">
        <v>566</v>
      </c>
      <c r="G1170" s="50" t="s">
        <v>559</v>
      </c>
      <c r="H1170" s="50">
        <v>2</v>
      </c>
      <c r="I1170" s="100">
        <v>6.7391919697301583</v>
      </c>
      <c r="J1170" s="52">
        <v>3834.68</v>
      </c>
      <c r="K1170" s="67">
        <f t="shared" si="76"/>
        <v>106652.59452207494</v>
      </c>
      <c r="L1170" s="95">
        <f>+VLOOKUP(E1170,MARGEN!A:B,2,FALSE)</f>
        <v>0.1</v>
      </c>
      <c r="M1170" s="112">
        <f t="shared" si="73"/>
        <v>10665.259452207494</v>
      </c>
      <c r="N1170" s="113">
        <f t="shared" si="74"/>
        <v>426.61037808829974</v>
      </c>
      <c r="O1170" s="113">
        <f t="shared" si="75"/>
        <v>95560.724691779149</v>
      </c>
    </row>
    <row r="1171" spans="1:15" x14ac:dyDescent="0.25">
      <c r="A1171" s="13">
        <v>44455</v>
      </c>
      <c r="B1171" s="97">
        <v>4127</v>
      </c>
      <c r="C1171" t="s">
        <v>234</v>
      </c>
      <c r="D1171" s="94" t="s">
        <v>331</v>
      </c>
      <c r="E1171" t="s">
        <v>45</v>
      </c>
      <c r="F1171" t="s">
        <v>566</v>
      </c>
      <c r="G1171" s="50" t="s">
        <v>559</v>
      </c>
      <c r="H1171" s="50">
        <v>2</v>
      </c>
      <c r="I1171" s="100">
        <v>6.7391919697301583</v>
      </c>
      <c r="J1171" s="52">
        <v>3834.68</v>
      </c>
      <c r="K1171" s="67">
        <f t="shared" si="76"/>
        <v>106652.59452207494</v>
      </c>
      <c r="L1171" s="95">
        <f>+VLOOKUP(E1171,MARGEN!A:B,2,FALSE)</f>
        <v>0.1</v>
      </c>
      <c r="M1171" s="112">
        <f t="shared" si="73"/>
        <v>10665.259452207494</v>
      </c>
      <c r="N1171" s="113">
        <f t="shared" si="74"/>
        <v>426.61037808829974</v>
      </c>
      <c r="O1171" s="113">
        <f t="shared" si="75"/>
        <v>95560.724691779149</v>
      </c>
    </row>
    <row r="1172" spans="1:15" x14ac:dyDescent="0.25">
      <c r="A1172" s="13">
        <v>44455</v>
      </c>
      <c r="B1172" s="97">
        <v>3911</v>
      </c>
      <c r="C1172" t="s">
        <v>71</v>
      </c>
      <c r="D1172" t="s">
        <v>337</v>
      </c>
      <c r="E1172" t="s">
        <v>45</v>
      </c>
      <c r="F1172" t="s">
        <v>562</v>
      </c>
      <c r="G1172" s="50" t="s">
        <v>559</v>
      </c>
      <c r="H1172" s="50">
        <v>2</v>
      </c>
      <c r="I1172" s="100">
        <v>6.7391919697301583</v>
      </c>
      <c r="J1172" s="52">
        <v>3834.68</v>
      </c>
      <c r="K1172" s="67">
        <f t="shared" si="76"/>
        <v>101070.58327497823</v>
      </c>
      <c r="L1172" s="95">
        <f>+VLOOKUP(E1172,MARGEN!A:B,2,FALSE)</f>
        <v>0.1</v>
      </c>
      <c r="M1172" s="112">
        <f t="shared" si="73"/>
        <v>10107.058327497823</v>
      </c>
      <c r="N1172" s="113">
        <f t="shared" si="74"/>
        <v>404.28233309991293</v>
      </c>
      <c r="O1172" s="113">
        <f t="shared" si="75"/>
        <v>90559.242614380491</v>
      </c>
    </row>
    <row r="1173" spans="1:15" x14ac:dyDescent="0.25">
      <c r="A1173" s="13">
        <v>44455</v>
      </c>
      <c r="B1173" s="97">
        <v>3815</v>
      </c>
      <c r="C1173" t="s">
        <v>249</v>
      </c>
      <c r="D1173" s="94" t="s">
        <v>334</v>
      </c>
      <c r="E1173" t="s">
        <v>45</v>
      </c>
      <c r="F1173" t="s">
        <v>551</v>
      </c>
      <c r="G1173" s="50" t="s">
        <v>205</v>
      </c>
      <c r="H1173" s="50">
        <v>2</v>
      </c>
      <c r="I1173" s="100">
        <v>6.7391919697301583</v>
      </c>
      <c r="J1173" s="52">
        <v>3834.68</v>
      </c>
      <c r="K1173" s="67">
        <f t="shared" si="76"/>
        <v>98589.68938737968</v>
      </c>
      <c r="L1173" s="95">
        <f>+VLOOKUP(E1173,MARGEN!A:B,2,FALSE)</f>
        <v>0.1</v>
      </c>
      <c r="M1173" s="112">
        <f t="shared" si="73"/>
        <v>9858.9689387379694</v>
      </c>
      <c r="N1173" s="113">
        <f t="shared" si="74"/>
        <v>394.35875754951871</v>
      </c>
      <c r="O1173" s="113">
        <f t="shared" si="75"/>
        <v>88336.361691092199</v>
      </c>
    </row>
    <row r="1174" spans="1:15" x14ac:dyDescent="0.25">
      <c r="A1174" s="13">
        <v>44455</v>
      </c>
      <c r="B1174" s="97">
        <v>3695</v>
      </c>
      <c r="C1174" t="s">
        <v>177</v>
      </c>
      <c r="D1174" s="94" t="s">
        <v>355</v>
      </c>
      <c r="E1174" t="s">
        <v>45</v>
      </c>
      <c r="F1174" t="s">
        <v>558</v>
      </c>
      <c r="G1174" s="50" t="s">
        <v>559</v>
      </c>
      <c r="H1174" s="50">
        <v>2</v>
      </c>
      <c r="I1174" s="100">
        <v>6.7391919697301583</v>
      </c>
      <c r="J1174" s="52">
        <v>3834.68</v>
      </c>
      <c r="K1174" s="67">
        <f t="shared" si="76"/>
        <v>95488.572027881484</v>
      </c>
      <c r="L1174" s="95">
        <f>+VLOOKUP(E1174,MARGEN!A:B,2,FALSE)</f>
        <v>0.1</v>
      </c>
      <c r="M1174" s="112">
        <f t="shared" si="73"/>
        <v>9548.8572027881492</v>
      </c>
      <c r="N1174" s="113">
        <f t="shared" si="74"/>
        <v>381.95428811152595</v>
      </c>
      <c r="O1174" s="113">
        <f t="shared" si="75"/>
        <v>85557.760536981819</v>
      </c>
    </row>
    <row r="1175" spans="1:15" x14ac:dyDescent="0.25">
      <c r="A1175" s="13">
        <v>44455</v>
      </c>
      <c r="B1175" s="97">
        <v>3479</v>
      </c>
      <c r="C1175" t="s">
        <v>269</v>
      </c>
      <c r="D1175" s="94" t="s">
        <v>520</v>
      </c>
      <c r="E1175" t="s">
        <v>45</v>
      </c>
      <c r="F1175" t="s">
        <v>562</v>
      </c>
      <c r="G1175" s="50" t="s">
        <v>559</v>
      </c>
      <c r="H1175" s="50">
        <v>2</v>
      </c>
      <c r="I1175" s="100">
        <v>6.7391919697301583</v>
      </c>
      <c r="J1175" s="52">
        <v>3834.68</v>
      </c>
      <c r="K1175" s="67">
        <f t="shared" si="76"/>
        <v>89906.56078078477</v>
      </c>
      <c r="L1175" s="95">
        <f>+VLOOKUP(E1175,MARGEN!A:B,2,FALSE)</f>
        <v>0.1</v>
      </c>
      <c r="M1175" s="112">
        <f t="shared" si="73"/>
        <v>8990.6560780784766</v>
      </c>
      <c r="N1175" s="113">
        <f t="shared" si="74"/>
        <v>359.62624312313909</v>
      </c>
      <c r="O1175" s="113">
        <f t="shared" si="75"/>
        <v>80556.278459583147</v>
      </c>
    </row>
    <row r="1176" spans="1:15" x14ac:dyDescent="0.25">
      <c r="A1176" s="13">
        <v>44455</v>
      </c>
      <c r="B1176" s="97">
        <v>3143</v>
      </c>
      <c r="C1176" t="s">
        <v>277</v>
      </c>
      <c r="D1176" s="94" t="s">
        <v>513</v>
      </c>
      <c r="E1176" t="s">
        <v>45</v>
      </c>
      <c r="F1176" t="s">
        <v>566</v>
      </c>
      <c r="G1176" s="50" t="s">
        <v>559</v>
      </c>
      <c r="H1176" s="50">
        <v>2</v>
      </c>
      <c r="I1176" s="100">
        <v>6.7391919697301583</v>
      </c>
      <c r="J1176" s="52">
        <v>3834.68</v>
      </c>
      <c r="K1176" s="67">
        <f t="shared" si="76"/>
        <v>81223.43217418986</v>
      </c>
      <c r="L1176" s="95">
        <f>+VLOOKUP(E1176,MARGEN!A:B,2,FALSE)</f>
        <v>0.1</v>
      </c>
      <c r="M1176" s="112">
        <f t="shared" si="73"/>
        <v>8122.3432174189866</v>
      </c>
      <c r="N1176" s="113">
        <f t="shared" si="74"/>
        <v>324.89372869675947</v>
      </c>
      <c r="O1176" s="113">
        <f t="shared" si="75"/>
        <v>72776.195228074124</v>
      </c>
    </row>
    <row r="1177" spans="1:15" x14ac:dyDescent="0.25">
      <c r="A1177" s="13">
        <v>44455</v>
      </c>
      <c r="B1177" s="97">
        <v>2879</v>
      </c>
      <c r="C1177" t="s">
        <v>139</v>
      </c>
      <c r="D1177" s="94" t="s">
        <v>327</v>
      </c>
      <c r="E1177" t="s">
        <v>45</v>
      </c>
      <c r="F1177" t="s">
        <v>566</v>
      </c>
      <c r="G1177" s="50" t="s">
        <v>559</v>
      </c>
      <c r="H1177" s="50">
        <v>2</v>
      </c>
      <c r="I1177" s="100">
        <v>6.7391919697301583</v>
      </c>
      <c r="J1177" s="52">
        <v>3834.68</v>
      </c>
      <c r="K1177" s="67">
        <f t="shared" si="76"/>
        <v>74400.973983293865</v>
      </c>
      <c r="L1177" s="95">
        <f>+VLOOKUP(E1177,MARGEN!A:B,2,FALSE)</f>
        <v>0.1</v>
      </c>
      <c r="M1177" s="112">
        <f t="shared" si="73"/>
        <v>7440.097398329387</v>
      </c>
      <c r="N1177" s="113">
        <f t="shared" si="74"/>
        <v>297.60389593317547</v>
      </c>
      <c r="O1177" s="113">
        <f t="shared" si="75"/>
        <v>66663.272689031306</v>
      </c>
    </row>
    <row r="1178" spans="1:15" x14ac:dyDescent="0.25">
      <c r="A1178" s="13">
        <v>44455</v>
      </c>
      <c r="B1178" s="97">
        <v>2855</v>
      </c>
      <c r="C1178" t="s">
        <v>99</v>
      </c>
      <c r="D1178" s="94" t="s">
        <v>366</v>
      </c>
      <c r="E1178" t="s">
        <v>45</v>
      </c>
      <c r="F1178" t="s">
        <v>562</v>
      </c>
      <c r="G1178" s="50" t="s">
        <v>559</v>
      </c>
      <c r="H1178" s="50">
        <v>2</v>
      </c>
      <c r="I1178" s="100">
        <v>6.7391919697301583</v>
      </c>
      <c r="J1178" s="52">
        <v>3834.68</v>
      </c>
      <c r="K1178" s="67">
        <f t="shared" si="76"/>
        <v>73780.750511394232</v>
      </c>
      <c r="L1178" s="95">
        <f>+VLOOKUP(E1178,MARGEN!A:B,2,FALSE)</f>
        <v>0.1</v>
      </c>
      <c r="M1178" s="112">
        <f t="shared" si="73"/>
        <v>7378.0750511394235</v>
      </c>
      <c r="N1178" s="113">
        <f t="shared" si="74"/>
        <v>295.12300204557692</v>
      </c>
      <c r="O1178" s="113">
        <f t="shared" si="75"/>
        <v>66107.552458209218</v>
      </c>
    </row>
    <row r="1179" spans="1:15" x14ac:dyDescent="0.25">
      <c r="A1179" s="13">
        <v>44455</v>
      </c>
      <c r="B1179" s="97">
        <v>2855</v>
      </c>
      <c r="C1179" t="s">
        <v>268</v>
      </c>
      <c r="D1179" s="94" t="s">
        <v>514</v>
      </c>
      <c r="E1179" t="s">
        <v>45</v>
      </c>
      <c r="F1179" t="s">
        <v>562</v>
      </c>
      <c r="G1179" s="50" t="s">
        <v>559</v>
      </c>
      <c r="H1179" s="50">
        <v>2</v>
      </c>
      <c r="I1179" s="100">
        <v>6.7391919697301583</v>
      </c>
      <c r="J1179" s="52">
        <v>3834.68</v>
      </c>
      <c r="K1179" s="67">
        <f t="shared" si="76"/>
        <v>73780.750511394232</v>
      </c>
      <c r="L1179" s="95">
        <f>+VLOOKUP(E1179,MARGEN!A:B,2,FALSE)</f>
        <v>0.1</v>
      </c>
      <c r="M1179" s="112">
        <f t="shared" si="73"/>
        <v>7378.0750511394235</v>
      </c>
      <c r="N1179" s="113">
        <f t="shared" si="74"/>
        <v>295.12300204557692</v>
      </c>
      <c r="O1179" s="113">
        <f t="shared" si="75"/>
        <v>66107.552458209218</v>
      </c>
    </row>
    <row r="1180" spans="1:15" x14ac:dyDescent="0.25">
      <c r="A1180" s="13">
        <v>44455</v>
      </c>
      <c r="B1180" s="97">
        <v>2807</v>
      </c>
      <c r="C1180" t="s">
        <v>178</v>
      </c>
      <c r="D1180" s="94" t="s">
        <v>370</v>
      </c>
      <c r="E1180" t="s">
        <v>45</v>
      </c>
      <c r="F1180" t="s">
        <v>566</v>
      </c>
      <c r="G1180" s="50" t="s">
        <v>559</v>
      </c>
      <c r="H1180" s="50">
        <v>2</v>
      </c>
      <c r="I1180" s="100">
        <v>6.7391919697301583</v>
      </c>
      <c r="J1180" s="52">
        <v>3834.68</v>
      </c>
      <c r="K1180" s="67">
        <f t="shared" si="76"/>
        <v>72540.303567594965</v>
      </c>
      <c r="L1180" s="95">
        <f>+VLOOKUP(E1180,MARGEN!A:B,2,FALSE)</f>
        <v>0.1</v>
      </c>
      <c r="M1180" s="112">
        <f t="shared" si="73"/>
        <v>7254.0303567594965</v>
      </c>
      <c r="N1180" s="113">
        <f t="shared" si="74"/>
        <v>290.16121427037984</v>
      </c>
      <c r="O1180" s="113">
        <f t="shared" si="75"/>
        <v>64996.111996565087</v>
      </c>
    </row>
    <row r="1181" spans="1:15" x14ac:dyDescent="0.25">
      <c r="A1181" s="13">
        <v>44455</v>
      </c>
      <c r="B1181" s="97">
        <v>2663</v>
      </c>
      <c r="C1181" t="s">
        <v>138</v>
      </c>
      <c r="D1181" s="94" t="s">
        <v>321</v>
      </c>
      <c r="E1181" t="s">
        <v>45</v>
      </c>
      <c r="F1181" t="s">
        <v>566</v>
      </c>
      <c r="G1181" s="50" t="s">
        <v>559</v>
      </c>
      <c r="H1181" s="50">
        <v>2</v>
      </c>
      <c r="I1181" s="100">
        <v>6.7391919697301583</v>
      </c>
      <c r="J1181" s="52">
        <v>3834.68</v>
      </c>
      <c r="K1181" s="67">
        <f t="shared" si="76"/>
        <v>68818.962736197136</v>
      </c>
      <c r="L1181" s="95">
        <f>+VLOOKUP(E1181,MARGEN!A:B,2,FALSE)</f>
        <v>0.1</v>
      </c>
      <c r="M1181" s="112">
        <f t="shared" si="73"/>
        <v>6881.8962736197136</v>
      </c>
      <c r="N1181" s="113">
        <f t="shared" si="74"/>
        <v>275.27585094478854</v>
      </c>
      <c r="O1181" s="113">
        <f t="shared" si="75"/>
        <v>61661.790611632634</v>
      </c>
    </row>
    <row r="1182" spans="1:15" x14ac:dyDescent="0.25">
      <c r="A1182" s="13">
        <v>44455</v>
      </c>
      <c r="B1182" s="97">
        <v>2183</v>
      </c>
      <c r="C1182" t="s">
        <v>560</v>
      </c>
      <c r="D1182" s="94" t="s">
        <v>561</v>
      </c>
      <c r="E1182" t="s">
        <v>45</v>
      </c>
      <c r="F1182" t="s">
        <v>562</v>
      </c>
      <c r="G1182" s="50" t="s">
        <v>559</v>
      </c>
      <c r="H1182" s="50">
        <v>2</v>
      </c>
      <c r="I1182" s="100">
        <v>6.7391919697301583</v>
      </c>
      <c r="J1182" s="52">
        <v>3834.68</v>
      </c>
      <c r="K1182" s="67">
        <f t="shared" si="76"/>
        <v>56414.493298204405</v>
      </c>
      <c r="L1182" s="95">
        <f>+VLOOKUP(E1182,MARGEN!A:B,2,FALSE)</f>
        <v>0.1</v>
      </c>
      <c r="M1182" s="112">
        <f t="shared" si="73"/>
        <v>5641.4493298204407</v>
      </c>
      <c r="N1182" s="113">
        <f t="shared" si="74"/>
        <v>225.65797319281762</v>
      </c>
      <c r="O1182" s="113">
        <f t="shared" si="75"/>
        <v>50547.385995191151</v>
      </c>
    </row>
    <row r="1183" spans="1:15" x14ac:dyDescent="0.25">
      <c r="A1183" s="13">
        <v>44455</v>
      </c>
      <c r="B1183" s="97">
        <v>2087</v>
      </c>
      <c r="C1183" t="s">
        <v>103</v>
      </c>
      <c r="D1183" s="94" t="s">
        <v>342</v>
      </c>
      <c r="E1183" t="s">
        <v>45</v>
      </c>
      <c r="F1183" t="s">
        <v>566</v>
      </c>
      <c r="G1183" s="50" t="s">
        <v>559</v>
      </c>
      <c r="H1183" s="50">
        <v>2</v>
      </c>
      <c r="I1183" s="100">
        <v>6.7391919697301583</v>
      </c>
      <c r="J1183" s="52">
        <v>3834.68</v>
      </c>
      <c r="K1183" s="67">
        <f t="shared" si="76"/>
        <v>53933.599410605872</v>
      </c>
      <c r="L1183" s="95">
        <f>+VLOOKUP(E1183,MARGEN!A:B,2,FALSE)</f>
        <v>0.1</v>
      </c>
      <c r="M1183" s="112">
        <f t="shared" si="73"/>
        <v>5393.3599410605875</v>
      </c>
      <c r="N1183" s="113">
        <f t="shared" si="74"/>
        <v>215.73439764242349</v>
      </c>
      <c r="O1183" s="113">
        <f t="shared" si="75"/>
        <v>48324.505071902859</v>
      </c>
    </row>
    <row r="1184" spans="1:15" x14ac:dyDescent="0.25">
      <c r="A1184" s="13">
        <v>44455</v>
      </c>
      <c r="B1184" s="97">
        <v>2087</v>
      </c>
      <c r="C1184" t="s">
        <v>92</v>
      </c>
      <c r="D1184" t="s">
        <v>490</v>
      </c>
      <c r="E1184" t="s">
        <v>45</v>
      </c>
      <c r="F1184" t="s">
        <v>566</v>
      </c>
      <c r="G1184" s="50" t="s">
        <v>559</v>
      </c>
      <c r="H1184" s="50">
        <v>2</v>
      </c>
      <c r="I1184" s="100">
        <v>6.7391919697301583</v>
      </c>
      <c r="J1184" s="52">
        <v>3834.68</v>
      </c>
      <c r="K1184" s="67">
        <f t="shared" si="76"/>
        <v>53933.599410605872</v>
      </c>
      <c r="L1184" s="95">
        <f>+VLOOKUP(E1184,MARGEN!A:B,2,FALSE)</f>
        <v>0.1</v>
      </c>
      <c r="M1184" s="112">
        <f t="shared" si="73"/>
        <v>5393.3599410605875</v>
      </c>
      <c r="N1184" s="113">
        <f t="shared" si="74"/>
        <v>215.73439764242349</v>
      </c>
      <c r="O1184" s="113">
        <f t="shared" si="75"/>
        <v>48324.505071902859</v>
      </c>
    </row>
    <row r="1185" spans="1:15" x14ac:dyDescent="0.25">
      <c r="A1185" s="13">
        <v>44455</v>
      </c>
      <c r="B1185" s="97">
        <v>1871</v>
      </c>
      <c r="C1185" t="s">
        <v>198</v>
      </c>
      <c r="D1185" s="94" t="s">
        <v>326</v>
      </c>
      <c r="E1185" t="s">
        <v>45</v>
      </c>
      <c r="F1185" t="s">
        <v>566</v>
      </c>
      <c r="G1185" s="50" t="s">
        <v>559</v>
      </c>
      <c r="H1185" s="50">
        <v>2</v>
      </c>
      <c r="I1185" s="100">
        <v>6.7391919697301583</v>
      </c>
      <c r="J1185" s="52">
        <v>3834.68</v>
      </c>
      <c r="K1185" s="67">
        <f t="shared" si="76"/>
        <v>48351.588163509143</v>
      </c>
      <c r="L1185" s="95">
        <f>+VLOOKUP(E1185,MARGEN!A:B,2,FALSE)</f>
        <v>0.1</v>
      </c>
      <c r="M1185" s="112">
        <f t="shared" si="73"/>
        <v>4835.1588163509141</v>
      </c>
      <c r="N1185" s="113">
        <f t="shared" si="74"/>
        <v>193.40635265403657</v>
      </c>
      <c r="O1185" s="113">
        <f t="shared" si="75"/>
        <v>43323.022994504194</v>
      </c>
    </row>
    <row r="1186" spans="1:15" x14ac:dyDescent="0.25">
      <c r="A1186" s="13">
        <v>44455</v>
      </c>
      <c r="B1186" s="97">
        <v>1847</v>
      </c>
      <c r="C1186" t="s">
        <v>270</v>
      </c>
      <c r="D1186" s="94" t="s">
        <v>491</v>
      </c>
      <c r="E1186" t="s">
        <v>45</v>
      </c>
      <c r="F1186" t="s">
        <v>566</v>
      </c>
      <c r="G1186" s="50" t="s">
        <v>559</v>
      </c>
      <c r="H1186" s="50">
        <v>2</v>
      </c>
      <c r="I1186" s="100">
        <v>6.7391919697301583</v>
      </c>
      <c r="J1186" s="52">
        <v>3834.68</v>
      </c>
      <c r="K1186" s="67">
        <f t="shared" si="76"/>
        <v>47731.364691609502</v>
      </c>
      <c r="L1186" s="95">
        <f>+VLOOKUP(E1186,MARGEN!A:B,2,FALSE)</f>
        <v>0.1</v>
      </c>
      <c r="M1186" s="112">
        <f t="shared" si="73"/>
        <v>4773.1364691609506</v>
      </c>
      <c r="N1186" s="113">
        <f t="shared" si="74"/>
        <v>190.925458766438</v>
      </c>
      <c r="O1186" s="113">
        <f t="shared" si="75"/>
        <v>42767.302763682113</v>
      </c>
    </row>
    <row r="1187" spans="1:15" x14ac:dyDescent="0.25">
      <c r="A1187" s="13">
        <v>44455</v>
      </c>
      <c r="B1187" s="97">
        <v>1727</v>
      </c>
      <c r="C1187" t="s">
        <v>190</v>
      </c>
      <c r="D1187" s="94" t="s">
        <v>356</v>
      </c>
      <c r="E1187" t="s">
        <v>45</v>
      </c>
      <c r="F1187" t="s">
        <v>562</v>
      </c>
      <c r="G1187" s="50" t="s">
        <v>559</v>
      </c>
      <c r="H1187" s="50">
        <v>2</v>
      </c>
      <c r="I1187" s="100">
        <v>6.7391919697301583</v>
      </c>
      <c r="J1187" s="52">
        <v>3834.68</v>
      </c>
      <c r="K1187" s="67">
        <f t="shared" si="76"/>
        <v>44630.247332111321</v>
      </c>
      <c r="L1187" s="95">
        <f>+VLOOKUP(E1187,MARGEN!A:B,2,FALSE)</f>
        <v>0.1</v>
      </c>
      <c r="M1187" s="112">
        <f t="shared" si="73"/>
        <v>4463.0247332111321</v>
      </c>
      <c r="N1187" s="113">
        <f t="shared" si="74"/>
        <v>178.5209893284453</v>
      </c>
      <c r="O1187" s="113">
        <f t="shared" si="75"/>
        <v>39988.701609571741</v>
      </c>
    </row>
    <row r="1188" spans="1:15" x14ac:dyDescent="0.25">
      <c r="A1188" s="13">
        <v>44455</v>
      </c>
      <c r="B1188" s="97">
        <v>1535</v>
      </c>
      <c r="C1188" t="s">
        <v>273</v>
      </c>
      <c r="D1188" s="94" t="s">
        <v>515</v>
      </c>
      <c r="E1188" t="s">
        <v>45</v>
      </c>
      <c r="F1188" t="s">
        <v>566</v>
      </c>
      <c r="G1188" s="50" t="s">
        <v>559</v>
      </c>
      <c r="H1188" s="50">
        <v>2</v>
      </c>
      <c r="I1188" s="100">
        <v>6.7391919697301583</v>
      </c>
      <c r="J1188" s="52">
        <v>3834.68</v>
      </c>
      <c r="K1188" s="67">
        <f t="shared" si="76"/>
        <v>39668.459556914233</v>
      </c>
      <c r="L1188" s="95">
        <f>+VLOOKUP(E1188,MARGEN!A:B,2,FALSE)</f>
        <v>0.1</v>
      </c>
      <c r="M1188" s="112">
        <f t="shared" si="73"/>
        <v>3966.8459556914236</v>
      </c>
      <c r="N1188" s="113">
        <f t="shared" si="74"/>
        <v>158.67383822765694</v>
      </c>
      <c r="O1188" s="113">
        <f t="shared" si="75"/>
        <v>35542.939762995149</v>
      </c>
    </row>
    <row r="1189" spans="1:15" x14ac:dyDescent="0.25">
      <c r="A1189" s="13">
        <v>44455</v>
      </c>
      <c r="B1189" s="97">
        <v>1391</v>
      </c>
      <c r="C1189" t="s">
        <v>107</v>
      </c>
      <c r="D1189" s="94" t="s">
        <v>346</v>
      </c>
      <c r="E1189" t="s">
        <v>45</v>
      </c>
      <c r="F1189" t="s">
        <v>566</v>
      </c>
      <c r="G1189" s="50" t="s">
        <v>559</v>
      </c>
      <c r="H1189" s="50">
        <v>2</v>
      </c>
      <c r="I1189" s="100">
        <v>6.7391919697301583</v>
      </c>
      <c r="J1189" s="52">
        <v>3834.68</v>
      </c>
      <c r="K1189" s="67">
        <f t="shared" si="76"/>
        <v>35947.118725516419</v>
      </c>
      <c r="L1189" s="95">
        <f>+VLOOKUP(E1189,MARGEN!A:B,2,FALSE)</f>
        <v>0.1</v>
      </c>
      <c r="M1189" s="112">
        <f t="shared" si="73"/>
        <v>3594.711872551642</v>
      </c>
      <c r="N1189" s="113">
        <f t="shared" si="74"/>
        <v>143.78847490206567</v>
      </c>
      <c r="O1189" s="113">
        <f t="shared" si="75"/>
        <v>32208.618378062711</v>
      </c>
    </row>
    <row r="1190" spans="1:15" x14ac:dyDescent="0.25">
      <c r="A1190" s="13">
        <v>44456</v>
      </c>
      <c r="B1190" s="51">
        <v>16340</v>
      </c>
      <c r="C1190" s="66" t="s">
        <v>78</v>
      </c>
      <c r="D1190" s="66" t="s">
        <v>412</v>
      </c>
      <c r="E1190" t="s">
        <v>45</v>
      </c>
      <c r="F1190" s="50" t="s">
        <v>551</v>
      </c>
      <c r="G1190" s="50" t="s">
        <v>205</v>
      </c>
      <c r="H1190" s="50">
        <v>2</v>
      </c>
      <c r="I1190" s="100">
        <v>6.7391919697301583</v>
      </c>
      <c r="J1190" s="52">
        <v>3834.68</v>
      </c>
      <c r="K1190" s="67">
        <f t="shared" si="76"/>
        <v>422268.81378500228</v>
      </c>
      <c r="L1190" s="95">
        <f>+VLOOKUP(E1190,MARGEN!A:B,2,FALSE)</f>
        <v>0.1</v>
      </c>
      <c r="M1190" s="112">
        <f t="shared" si="73"/>
        <v>42226.881378500228</v>
      </c>
      <c r="N1190" s="113">
        <f t="shared" si="74"/>
        <v>1689.0752551400092</v>
      </c>
      <c r="O1190" s="113">
        <f t="shared" si="75"/>
        <v>378352.85715136206</v>
      </c>
    </row>
    <row r="1191" spans="1:15" x14ac:dyDescent="0.25">
      <c r="A1191" s="13">
        <v>44456</v>
      </c>
      <c r="B1191" s="97">
        <v>12814</v>
      </c>
      <c r="C1191" t="s">
        <v>73</v>
      </c>
      <c r="D1191" s="94" t="s">
        <v>338</v>
      </c>
      <c r="E1191" t="s">
        <v>45</v>
      </c>
      <c r="F1191" t="s">
        <v>566</v>
      </c>
      <c r="G1191" s="50" t="s">
        <v>559</v>
      </c>
      <c r="H1191" s="50">
        <v>2</v>
      </c>
      <c r="I1191" s="100">
        <v>6.7391919697301583</v>
      </c>
      <c r="J1191" s="52">
        <v>3834.68</v>
      </c>
      <c r="K1191" s="67">
        <f t="shared" si="76"/>
        <v>331147.64870508079</v>
      </c>
      <c r="L1191" s="95">
        <f>+VLOOKUP(E1191,MARGEN!A:B,2,FALSE)</f>
        <v>0.1</v>
      </c>
      <c r="M1191" s="112">
        <f t="shared" si="73"/>
        <v>33114.764870508079</v>
      </c>
      <c r="N1191" s="113">
        <f t="shared" si="74"/>
        <v>1324.5905948203231</v>
      </c>
      <c r="O1191" s="113">
        <f t="shared" si="75"/>
        <v>296708.29323975241</v>
      </c>
    </row>
    <row r="1192" spans="1:15" x14ac:dyDescent="0.25">
      <c r="A1192" s="13">
        <v>44456</v>
      </c>
      <c r="B1192" s="97">
        <v>9934</v>
      </c>
      <c r="C1192" t="s">
        <v>95</v>
      </c>
      <c r="D1192" s="94" t="s">
        <v>510</v>
      </c>
      <c r="E1192" t="s">
        <v>45</v>
      </c>
      <c r="F1192" t="s">
        <v>566</v>
      </c>
      <c r="G1192" s="50" t="s">
        <v>559</v>
      </c>
      <c r="H1192" s="50">
        <v>2</v>
      </c>
      <c r="I1192" s="100">
        <v>6.7391919697301583</v>
      </c>
      <c r="J1192" s="52">
        <v>3834.68</v>
      </c>
      <c r="K1192" s="67">
        <f t="shared" si="76"/>
        <v>256720.83207712442</v>
      </c>
      <c r="L1192" s="95">
        <f>+VLOOKUP(E1192,MARGEN!A:B,2,FALSE)</f>
        <v>0.1</v>
      </c>
      <c r="M1192" s="112">
        <f t="shared" si="73"/>
        <v>25672.083207712443</v>
      </c>
      <c r="N1192" s="113">
        <f t="shared" si="74"/>
        <v>1026.8833283084978</v>
      </c>
      <c r="O1192" s="113">
        <f t="shared" si="75"/>
        <v>230021.86554110347</v>
      </c>
    </row>
    <row r="1193" spans="1:15" x14ac:dyDescent="0.25">
      <c r="A1193" s="13">
        <v>44456</v>
      </c>
      <c r="B1193" s="97">
        <v>8254</v>
      </c>
      <c r="C1193" t="s">
        <v>191</v>
      </c>
      <c r="D1193" s="94" t="s">
        <v>354</v>
      </c>
      <c r="E1193" t="s">
        <v>45</v>
      </c>
      <c r="F1193" t="s">
        <v>566</v>
      </c>
      <c r="G1193" s="50" t="s">
        <v>559</v>
      </c>
      <c r="H1193" s="50">
        <v>2</v>
      </c>
      <c r="I1193" s="100">
        <v>6.7391919697301583</v>
      </c>
      <c r="J1193" s="52">
        <v>3834.68</v>
      </c>
      <c r="K1193" s="67">
        <f t="shared" si="76"/>
        <v>213305.18904414988</v>
      </c>
      <c r="L1193" s="95">
        <f>+VLOOKUP(E1193,MARGEN!A:B,2,FALSE)</f>
        <v>0.1</v>
      </c>
      <c r="M1193" s="112">
        <f t="shared" si="73"/>
        <v>21330.518904414988</v>
      </c>
      <c r="N1193" s="113">
        <f t="shared" si="74"/>
        <v>853.22075617659948</v>
      </c>
      <c r="O1193" s="113">
        <f t="shared" si="75"/>
        <v>191121.4493835583</v>
      </c>
    </row>
    <row r="1194" spans="1:15" x14ac:dyDescent="0.25">
      <c r="A1194" s="13">
        <v>44456</v>
      </c>
      <c r="B1194" s="97">
        <v>8230</v>
      </c>
      <c r="C1194" t="s">
        <v>90</v>
      </c>
      <c r="D1194" s="94" t="s">
        <v>350</v>
      </c>
      <c r="E1194" t="s">
        <v>45</v>
      </c>
      <c r="F1194" t="s">
        <v>562</v>
      </c>
      <c r="G1194" s="50" t="s">
        <v>559</v>
      </c>
      <c r="H1194" s="50">
        <v>2</v>
      </c>
      <c r="I1194" s="100">
        <v>6.7391919697301583</v>
      </c>
      <c r="J1194" s="52">
        <v>3834.68</v>
      </c>
      <c r="K1194" s="67">
        <f t="shared" si="76"/>
        <v>212684.96557225028</v>
      </c>
      <c r="L1194" s="95">
        <f>+VLOOKUP(E1194,MARGEN!A:B,2,FALSE)</f>
        <v>0.1</v>
      </c>
      <c r="M1194" s="112">
        <f t="shared" si="73"/>
        <v>21268.496557225029</v>
      </c>
      <c r="N1194" s="113">
        <f t="shared" si="74"/>
        <v>850.73986228900117</v>
      </c>
      <c r="O1194" s="113">
        <f t="shared" si="75"/>
        <v>190565.72915273625</v>
      </c>
    </row>
    <row r="1195" spans="1:15" x14ac:dyDescent="0.25">
      <c r="A1195" s="13">
        <v>44456</v>
      </c>
      <c r="B1195" s="97">
        <v>7606</v>
      </c>
      <c r="C1195" t="s">
        <v>248</v>
      </c>
      <c r="D1195" s="94" t="s">
        <v>385</v>
      </c>
      <c r="E1195" t="s">
        <v>45</v>
      </c>
      <c r="F1195" t="s">
        <v>566</v>
      </c>
      <c r="G1195" s="50" t="s">
        <v>559</v>
      </c>
      <c r="H1195" s="50">
        <v>2</v>
      </c>
      <c r="I1195" s="100">
        <v>6.7391919697301583</v>
      </c>
      <c r="J1195" s="52">
        <v>3834.68</v>
      </c>
      <c r="K1195" s="67">
        <f t="shared" si="76"/>
        <v>196559.1553028597</v>
      </c>
      <c r="L1195" s="95">
        <f>+VLOOKUP(E1195,MARGEN!A:B,2,FALSE)</f>
        <v>0.1</v>
      </c>
      <c r="M1195" s="112">
        <f t="shared" si="73"/>
        <v>19655.915530285973</v>
      </c>
      <c r="N1195" s="113">
        <f t="shared" si="74"/>
        <v>786.23662121143877</v>
      </c>
      <c r="O1195" s="113">
        <f t="shared" si="75"/>
        <v>176117.0031513623</v>
      </c>
    </row>
    <row r="1196" spans="1:15" x14ac:dyDescent="0.25">
      <c r="A1196" s="13">
        <v>44456</v>
      </c>
      <c r="B1196" s="97">
        <v>7534</v>
      </c>
      <c r="C1196" t="s">
        <v>179</v>
      </c>
      <c r="D1196" s="94" t="s">
        <v>361</v>
      </c>
      <c r="E1196" t="s">
        <v>45</v>
      </c>
      <c r="F1196" t="s">
        <v>566</v>
      </c>
      <c r="G1196" s="50" t="s">
        <v>559</v>
      </c>
      <c r="H1196" s="50">
        <v>2</v>
      </c>
      <c r="I1196" s="100">
        <v>6.7391919697301583</v>
      </c>
      <c r="J1196" s="52">
        <v>3834.68</v>
      </c>
      <c r="K1196" s="67">
        <f t="shared" si="76"/>
        <v>194698.4848871608</v>
      </c>
      <c r="L1196" s="95">
        <f>+VLOOKUP(E1196,MARGEN!A:B,2,FALSE)</f>
        <v>0.1</v>
      </c>
      <c r="M1196" s="112">
        <f t="shared" si="73"/>
        <v>19469.848488716081</v>
      </c>
      <c r="N1196" s="113">
        <f t="shared" si="74"/>
        <v>778.79393954864315</v>
      </c>
      <c r="O1196" s="113">
        <f t="shared" si="75"/>
        <v>174449.84245889608</v>
      </c>
    </row>
    <row r="1197" spans="1:15" x14ac:dyDescent="0.25">
      <c r="A1197" s="13">
        <v>44456</v>
      </c>
      <c r="B1197" s="97">
        <v>7414</v>
      </c>
      <c r="C1197" t="s">
        <v>143</v>
      </c>
      <c r="D1197" s="94" t="s">
        <v>489</v>
      </c>
      <c r="E1197" t="s">
        <v>45</v>
      </c>
      <c r="F1197" t="s">
        <v>566</v>
      </c>
      <c r="G1197" s="50" t="s">
        <v>559</v>
      </c>
      <c r="H1197" s="50">
        <v>2</v>
      </c>
      <c r="I1197" s="100">
        <v>6.7391919697301583</v>
      </c>
      <c r="J1197" s="52">
        <v>3834.68</v>
      </c>
      <c r="K1197" s="67">
        <f t="shared" si="76"/>
        <v>191597.3675276626</v>
      </c>
      <c r="L1197" s="95">
        <f>+VLOOKUP(E1197,MARGEN!A:B,2,FALSE)</f>
        <v>0.1</v>
      </c>
      <c r="M1197" s="112">
        <f t="shared" si="73"/>
        <v>19159.736752766261</v>
      </c>
      <c r="N1197" s="113">
        <f t="shared" si="74"/>
        <v>766.38947011065045</v>
      </c>
      <c r="O1197" s="113">
        <f t="shared" si="75"/>
        <v>171671.24130478568</v>
      </c>
    </row>
    <row r="1198" spans="1:15" x14ac:dyDescent="0.25">
      <c r="A1198" s="13">
        <v>44456</v>
      </c>
      <c r="B1198" s="97">
        <v>5639</v>
      </c>
      <c r="C1198" t="s">
        <v>275</v>
      </c>
      <c r="D1198" s="94" t="s">
        <v>519</v>
      </c>
      <c r="E1198" t="s">
        <v>45</v>
      </c>
      <c r="F1198" t="s">
        <v>558</v>
      </c>
      <c r="G1198" s="50" t="s">
        <v>559</v>
      </c>
      <c r="H1198" s="50">
        <v>2</v>
      </c>
      <c r="I1198" s="100">
        <v>6.7391919697301583</v>
      </c>
      <c r="J1198" s="52">
        <v>3834.68</v>
      </c>
      <c r="K1198" s="67">
        <f t="shared" si="76"/>
        <v>145726.67325175201</v>
      </c>
      <c r="L1198" s="95">
        <f>+VLOOKUP(E1198,MARGEN!A:B,2,FALSE)</f>
        <v>0.1</v>
      </c>
      <c r="M1198" s="112">
        <f t="shared" si="73"/>
        <v>14572.667325175202</v>
      </c>
      <c r="N1198" s="113">
        <f t="shared" si="74"/>
        <v>582.90669300700802</v>
      </c>
      <c r="O1198" s="113">
        <f t="shared" si="75"/>
        <v>130571.09923356981</v>
      </c>
    </row>
    <row r="1199" spans="1:15" x14ac:dyDescent="0.25">
      <c r="A1199" s="13">
        <v>44456</v>
      </c>
      <c r="B1199" s="97">
        <v>4535</v>
      </c>
      <c r="C1199" t="s">
        <v>76</v>
      </c>
      <c r="D1199" s="94" t="s">
        <v>332</v>
      </c>
      <c r="E1199" t="s">
        <v>45</v>
      </c>
      <c r="F1199" t="s">
        <v>566</v>
      </c>
      <c r="G1199" s="50" t="s">
        <v>559</v>
      </c>
      <c r="H1199" s="50">
        <v>2</v>
      </c>
      <c r="I1199" s="100">
        <v>6.7391919697301583</v>
      </c>
      <c r="J1199" s="52">
        <v>3834.68</v>
      </c>
      <c r="K1199" s="67">
        <f t="shared" si="76"/>
        <v>117196.39354436877</v>
      </c>
      <c r="L1199" s="95">
        <f>+VLOOKUP(E1199,MARGEN!A:B,2,FALSE)</f>
        <v>0.1</v>
      </c>
      <c r="M1199" s="112">
        <f t="shared" si="73"/>
        <v>11719.639354436877</v>
      </c>
      <c r="N1199" s="113">
        <f t="shared" si="74"/>
        <v>468.78557417747504</v>
      </c>
      <c r="O1199" s="113">
        <f t="shared" si="75"/>
        <v>105007.96861575442</v>
      </c>
    </row>
    <row r="1200" spans="1:15" x14ac:dyDescent="0.25">
      <c r="A1200" s="13">
        <v>44456</v>
      </c>
      <c r="B1200" s="97">
        <v>4319</v>
      </c>
      <c r="C1200" t="s">
        <v>197</v>
      </c>
      <c r="D1200" s="94" t="s">
        <v>358</v>
      </c>
      <c r="E1200" t="s">
        <v>45</v>
      </c>
      <c r="F1200" t="s">
        <v>562</v>
      </c>
      <c r="G1200" s="50" t="s">
        <v>559</v>
      </c>
      <c r="H1200" s="50">
        <v>2</v>
      </c>
      <c r="I1200" s="100">
        <v>6.7391919697301583</v>
      </c>
      <c r="J1200" s="52">
        <v>3834.68</v>
      </c>
      <c r="K1200" s="67">
        <f t="shared" si="76"/>
        <v>111614.38229727202</v>
      </c>
      <c r="L1200" s="95">
        <f>+VLOOKUP(E1200,MARGEN!A:B,2,FALSE)</f>
        <v>0.1</v>
      </c>
      <c r="M1200" s="112">
        <f t="shared" si="73"/>
        <v>11161.438229727202</v>
      </c>
      <c r="N1200" s="113">
        <f t="shared" si="74"/>
        <v>446.45752918908806</v>
      </c>
      <c r="O1200" s="113">
        <f t="shared" si="75"/>
        <v>100006.48653835573</v>
      </c>
    </row>
    <row r="1201" spans="1:15" x14ac:dyDescent="0.25">
      <c r="A1201" s="13">
        <v>44456</v>
      </c>
      <c r="B1201" s="97">
        <v>4319</v>
      </c>
      <c r="C1201" t="s">
        <v>91</v>
      </c>
      <c r="D1201" s="94" t="s">
        <v>340</v>
      </c>
      <c r="E1201" t="s">
        <v>45</v>
      </c>
      <c r="F1201" t="s">
        <v>566</v>
      </c>
      <c r="G1201" s="50" t="s">
        <v>559</v>
      </c>
      <c r="H1201" s="50">
        <v>2</v>
      </c>
      <c r="I1201" s="100">
        <v>6.7391919697301583</v>
      </c>
      <c r="J1201" s="52">
        <v>3834.68</v>
      </c>
      <c r="K1201" s="67">
        <f t="shared" si="76"/>
        <v>111614.38229727202</v>
      </c>
      <c r="L1201" s="95">
        <f>+VLOOKUP(E1201,MARGEN!A:B,2,FALSE)</f>
        <v>0.1</v>
      </c>
      <c r="M1201" s="112">
        <f t="shared" si="73"/>
        <v>11161.438229727202</v>
      </c>
      <c r="N1201" s="113">
        <f t="shared" si="74"/>
        <v>446.45752918908806</v>
      </c>
      <c r="O1201" s="113">
        <f t="shared" si="75"/>
        <v>100006.48653835573</v>
      </c>
    </row>
    <row r="1202" spans="1:15" x14ac:dyDescent="0.25">
      <c r="A1202" s="13">
        <v>44456</v>
      </c>
      <c r="B1202" s="97">
        <v>4151</v>
      </c>
      <c r="C1202" t="s">
        <v>234</v>
      </c>
      <c r="D1202" s="94" t="s">
        <v>331</v>
      </c>
      <c r="E1202" t="s">
        <v>45</v>
      </c>
      <c r="F1202" t="s">
        <v>566</v>
      </c>
      <c r="G1202" s="50" t="s">
        <v>559</v>
      </c>
      <c r="H1202" s="50">
        <v>2</v>
      </c>
      <c r="I1202" s="100">
        <v>6.7391919697301583</v>
      </c>
      <c r="J1202" s="52">
        <v>3834.68</v>
      </c>
      <c r="K1202" s="67">
        <f t="shared" si="76"/>
        <v>107272.81799397458</v>
      </c>
      <c r="L1202" s="95">
        <f>+VLOOKUP(E1202,MARGEN!A:B,2,FALSE)</f>
        <v>0.1</v>
      </c>
      <c r="M1202" s="112">
        <f t="shared" si="73"/>
        <v>10727.281799397459</v>
      </c>
      <c r="N1202" s="113">
        <f t="shared" si="74"/>
        <v>429.09127197589828</v>
      </c>
      <c r="O1202" s="113">
        <f t="shared" si="75"/>
        <v>96116.444922601222</v>
      </c>
    </row>
    <row r="1203" spans="1:15" x14ac:dyDescent="0.25">
      <c r="A1203" s="13">
        <v>44456</v>
      </c>
      <c r="B1203" s="97">
        <v>4127</v>
      </c>
      <c r="C1203" t="s">
        <v>235</v>
      </c>
      <c r="D1203" s="94" t="s">
        <v>339</v>
      </c>
      <c r="E1203" t="s">
        <v>45</v>
      </c>
      <c r="F1203" t="s">
        <v>566</v>
      </c>
      <c r="G1203" s="50" t="s">
        <v>559</v>
      </c>
      <c r="H1203" s="50">
        <v>2</v>
      </c>
      <c r="I1203" s="100">
        <v>6.7391919697301583</v>
      </c>
      <c r="J1203" s="52">
        <v>3834.68</v>
      </c>
      <c r="K1203" s="67">
        <f t="shared" si="76"/>
        <v>106652.59452207494</v>
      </c>
      <c r="L1203" s="95">
        <f>+VLOOKUP(E1203,MARGEN!A:B,2,FALSE)</f>
        <v>0.1</v>
      </c>
      <c r="M1203" s="112">
        <f t="shared" si="73"/>
        <v>10665.259452207494</v>
      </c>
      <c r="N1203" s="113">
        <f t="shared" si="74"/>
        <v>426.61037808829974</v>
      </c>
      <c r="O1203" s="113">
        <f t="shared" si="75"/>
        <v>95560.724691779149</v>
      </c>
    </row>
    <row r="1204" spans="1:15" x14ac:dyDescent="0.25">
      <c r="A1204" s="13">
        <v>44456</v>
      </c>
      <c r="B1204" s="97">
        <v>3911</v>
      </c>
      <c r="C1204" t="s">
        <v>71</v>
      </c>
      <c r="D1204" s="94" t="s">
        <v>337</v>
      </c>
      <c r="E1204" t="s">
        <v>45</v>
      </c>
      <c r="F1204" t="s">
        <v>558</v>
      </c>
      <c r="G1204" s="50" t="s">
        <v>559</v>
      </c>
      <c r="H1204" s="50">
        <v>2</v>
      </c>
      <c r="I1204" s="100">
        <v>6.7391919697301583</v>
      </c>
      <c r="J1204" s="52">
        <v>3834.68</v>
      </c>
      <c r="K1204" s="67">
        <f t="shared" si="76"/>
        <v>101070.58327497823</v>
      </c>
      <c r="L1204" s="95">
        <f>+VLOOKUP(E1204,MARGEN!A:B,2,FALSE)</f>
        <v>0.1</v>
      </c>
      <c r="M1204" s="112">
        <f t="shared" si="73"/>
        <v>10107.058327497823</v>
      </c>
      <c r="N1204" s="113">
        <f t="shared" si="74"/>
        <v>404.28233309991293</v>
      </c>
      <c r="O1204" s="113">
        <f t="shared" si="75"/>
        <v>90559.242614380491</v>
      </c>
    </row>
    <row r="1205" spans="1:15" x14ac:dyDescent="0.25">
      <c r="A1205" s="13">
        <v>44456</v>
      </c>
      <c r="B1205" s="97">
        <v>3815</v>
      </c>
      <c r="C1205" t="s">
        <v>249</v>
      </c>
      <c r="D1205" s="94" t="s">
        <v>334</v>
      </c>
      <c r="E1205" t="s">
        <v>45</v>
      </c>
      <c r="F1205" t="s">
        <v>551</v>
      </c>
      <c r="G1205" s="50" t="s">
        <v>205</v>
      </c>
      <c r="H1205" s="50">
        <v>2</v>
      </c>
      <c r="I1205" s="100">
        <v>6.7391919697301583</v>
      </c>
      <c r="J1205" s="52">
        <v>3834.68</v>
      </c>
      <c r="K1205" s="67">
        <f t="shared" si="76"/>
        <v>98589.68938737968</v>
      </c>
      <c r="L1205" s="95">
        <f>+VLOOKUP(E1205,MARGEN!A:B,2,FALSE)</f>
        <v>0.1</v>
      </c>
      <c r="M1205" s="112">
        <f t="shared" si="73"/>
        <v>9858.9689387379694</v>
      </c>
      <c r="N1205" s="113">
        <f t="shared" si="74"/>
        <v>394.35875754951871</v>
      </c>
      <c r="O1205" s="113">
        <f t="shared" si="75"/>
        <v>88336.361691092199</v>
      </c>
    </row>
    <row r="1206" spans="1:15" x14ac:dyDescent="0.25">
      <c r="A1206" s="13">
        <v>44456</v>
      </c>
      <c r="B1206" s="97">
        <v>3695</v>
      </c>
      <c r="C1206" t="s">
        <v>177</v>
      </c>
      <c r="D1206" s="94" t="s">
        <v>355</v>
      </c>
      <c r="E1206" t="s">
        <v>45</v>
      </c>
      <c r="F1206" t="s">
        <v>558</v>
      </c>
      <c r="G1206" s="50" t="s">
        <v>559</v>
      </c>
      <c r="H1206" s="50">
        <v>2</v>
      </c>
      <c r="I1206" s="100">
        <v>6.7391919697301583</v>
      </c>
      <c r="J1206" s="52">
        <v>3834.68</v>
      </c>
      <c r="K1206" s="67">
        <f t="shared" si="76"/>
        <v>95488.572027881484</v>
      </c>
      <c r="L1206" s="95">
        <f>+VLOOKUP(E1206,MARGEN!A:B,2,FALSE)</f>
        <v>0.1</v>
      </c>
      <c r="M1206" s="112">
        <f t="shared" si="73"/>
        <v>9548.8572027881492</v>
      </c>
      <c r="N1206" s="113">
        <f t="shared" si="74"/>
        <v>381.95428811152595</v>
      </c>
      <c r="O1206" s="113">
        <f t="shared" si="75"/>
        <v>85557.760536981819</v>
      </c>
    </row>
    <row r="1207" spans="1:15" x14ac:dyDescent="0.25">
      <c r="A1207" s="13">
        <v>44456</v>
      </c>
      <c r="B1207" s="97">
        <v>3359</v>
      </c>
      <c r="C1207" t="s">
        <v>269</v>
      </c>
      <c r="D1207" s="94" t="s">
        <v>520</v>
      </c>
      <c r="E1207" t="s">
        <v>45</v>
      </c>
      <c r="F1207" t="s">
        <v>562</v>
      </c>
      <c r="G1207" s="50" t="s">
        <v>559</v>
      </c>
      <c r="H1207" s="50">
        <v>2</v>
      </c>
      <c r="I1207" s="100">
        <v>6.7391919697301583</v>
      </c>
      <c r="J1207" s="52">
        <v>3834.68</v>
      </c>
      <c r="K1207" s="67">
        <f t="shared" si="76"/>
        <v>86805.443421286589</v>
      </c>
      <c r="L1207" s="95">
        <f>+VLOOKUP(E1207,MARGEN!A:B,2,FALSE)</f>
        <v>0.1</v>
      </c>
      <c r="M1207" s="112">
        <f t="shared" si="73"/>
        <v>8680.54434212866</v>
      </c>
      <c r="N1207" s="113">
        <f t="shared" si="74"/>
        <v>347.22177368514633</v>
      </c>
      <c r="O1207" s="113">
        <f t="shared" si="75"/>
        <v>77777.677305472782</v>
      </c>
    </row>
    <row r="1208" spans="1:15" x14ac:dyDescent="0.25">
      <c r="A1208" s="13">
        <v>44456</v>
      </c>
      <c r="B1208" s="97">
        <v>3143</v>
      </c>
      <c r="C1208" t="s">
        <v>277</v>
      </c>
      <c r="D1208" t="s">
        <v>513</v>
      </c>
      <c r="E1208" t="s">
        <v>45</v>
      </c>
      <c r="F1208" t="s">
        <v>566</v>
      </c>
      <c r="G1208" s="50" t="s">
        <v>559</v>
      </c>
      <c r="H1208" s="50">
        <v>2</v>
      </c>
      <c r="I1208" s="100">
        <v>6.7391919697301583</v>
      </c>
      <c r="J1208" s="52">
        <v>3834.68</v>
      </c>
      <c r="K1208" s="67">
        <f t="shared" si="76"/>
        <v>81223.43217418986</v>
      </c>
      <c r="L1208" s="95">
        <f>+VLOOKUP(E1208,MARGEN!A:B,2,FALSE)</f>
        <v>0.1</v>
      </c>
      <c r="M1208" s="112">
        <f t="shared" si="73"/>
        <v>8122.3432174189866</v>
      </c>
      <c r="N1208" s="113">
        <f t="shared" si="74"/>
        <v>324.89372869675947</v>
      </c>
      <c r="O1208" s="113">
        <f t="shared" si="75"/>
        <v>72776.195228074124</v>
      </c>
    </row>
    <row r="1209" spans="1:15" x14ac:dyDescent="0.25">
      <c r="A1209" s="13">
        <v>44456</v>
      </c>
      <c r="B1209" s="97">
        <v>2879</v>
      </c>
      <c r="C1209" t="s">
        <v>139</v>
      </c>
      <c r="D1209" s="94" t="s">
        <v>327</v>
      </c>
      <c r="E1209" t="s">
        <v>45</v>
      </c>
      <c r="F1209" t="s">
        <v>566</v>
      </c>
      <c r="G1209" s="50" t="s">
        <v>559</v>
      </c>
      <c r="H1209" s="50">
        <v>2</v>
      </c>
      <c r="I1209" s="100">
        <v>6.7391919697301583</v>
      </c>
      <c r="J1209" s="52">
        <v>3834.68</v>
      </c>
      <c r="K1209" s="67">
        <f t="shared" si="76"/>
        <v>74400.973983293865</v>
      </c>
      <c r="L1209" s="95">
        <f>+VLOOKUP(E1209,MARGEN!A:B,2,FALSE)</f>
        <v>0.1</v>
      </c>
      <c r="M1209" s="112">
        <f t="shared" si="73"/>
        <v>7440.097398329387</v>
      </c>
      <c r="N1209" s="113">
        <f t="shared" si="74"/>
        <v>297.60389593317547</v>
      </c>
      <c r="O1209" s="113">
        <f t="shared" si="75"/>
        <v>66663.272689031306</v>
      </c>
    </row>
    <row r="1210" spans="1:15" x14ac:dyDescent="0.25">
      <c r="A1210" s="13">
        <v>44456</v>
      </c>
      <c r="B1210" s="97">
        <v>2855</v>
      </c>
      <c r="C1210" t="s">
        <v>99</v>
      </c>
      <c r="D1210" s="94" t="s">
        <v>366</v>
      </c>
      <c r="E1210" t="s">
        <v>45</v>
      </c>
      <c r="F1210" t="s">
        <v>562</v>
      </c>
      <c r="G1210" s="50" t="s">
        <v>559</v>
      </c>
      <c r="H1210" s="50">
        <v>2</v>
      </c>
      <c r="I1210" s="100">
        <v>6.7391919697301583</v>
      </c>
      <c r="J1210" s="52">
        <v>3834.68</v>
      </c>
      <c r="K1210" s="67">
        <f t="shared" si="76"/>
        <v>73780.750511394232</v>
      </c>
      <c r="L1210" s="95">
        <f>+VLOOKUP(E1210,MARGEN!A:B,2,FALSE)</f>
        <v>0.1</v>
      </c>
      <c r="M1210" s="112">
        <f t="shared" si="73"/>
        <v>7378.0750511394235</v>
      </c>
      <c r="N1210" s="113">
        <f t="shared" si="74"/>
        <v>295.12300204557692</v>
      </c>
      <c r="O1210" s="113">
        <f t="shared" si="75"/>
        <v>66107.552458209218</v>
      </c>
    </row>
    <row r="1211" spans="1:15" x14ac:dyDescent="0.25">
      <c r="A1211" s="13">
        <v>44456</v>
      </c>
      <c r="B1211" s="97">
        <v>2663</v>
      </c>
      <c r="C1211" t="s">
        <v>138</v>
      </c>
      <c r="D1211" s="94" t="s">
        <v>321</v>
      </c>
      <c r="E1211" t="s">
        <v>45</v>
      </c>
      <c r="F1211" t="s">
        <v>566</v>
      </c>
      <c r="G1211" s="50" t="s">
        <v>559</v>
      </c>
      <c r="H1211" s="50">
        <v>2</v>
      </c>
      <c r="I1211" s="100">
        <v>6.7391919697301583</v>
      </c>
      <c r="J1211" s="52">
        <v>3834.68</v>
      </c>
      <c r="K1211" s="67">
        <f t="shared" si="76"/>
        <v>68818.962736197136</v>
      </c>
      <c r="L1211" s="95">
        <f>+VLOOKUP(E1211,MARGEN!A:B,2,FALSE)</f>
        <v>0.1</v>
      </c>
      <c r="M1211" s="112">
        <f t="shared" si="73"/>
        <v>6881.8962736197136</v>
      </c>
      <c r="N1211" s="113">
        <f t="shared" si="74"/>
        <v>275.27585094478854</v>
      </c>
      <c r="O1211" s="113">
        <f t="shared" si="75"/>
        <v>61661.790611632634</v>
      </c>
    </row>
    <row r="1212" spans="1:15" x14ac:dyDescent="0.25">
      <c r="A1212" s="13">
        <v>44456</v>
      </c>
      <c r="B1212" s="97">
        <v>2183</v>
      </c>
      <c r="C1212" t="s">
        <v>560</v>
      </c>
      <c r="D1212" s="94" t="s">
        <v>561</v>
      </c>
      <c r="E1212" t="s">
        <v>45</v>
      </c>
      <c r="F1212" t="s">
        <v>562</v>
      </c>
      <c r="G1212" s="50" t="s">
        <v>559</v>
      </c>
      <c r="H1212" s="50">
        <v>2</v>
      </c>
      <c r="I1212" s="100">
        <v>6.7391919697301583</v>
      </c>
      <c r="J1212" s="52">
        <v>3834.68</v>
      </c>
      <c r="K1212" s="67">
        <f t="shared" si="76"/>
        <v>56414.493298204405</v>
      </c>
      <c r="L1212" s="95">
        <f>+VLOOKUP(E1212,MARGEN!A:B,2,FALSE)</f>
        <v>0.1</v>
      </c>
      <c r="M1212" s="112">
        <f t="shared" si="73"/>
        <v>5641.4493298204407</v>
      </c>
      <c r="N1212" s="113">
        <f t="shared" si="74"/>
        <v>225.65797319281762</v>
      </c>
      <c r="O1212" s="113">
        <f t="shared" si="75"/>
        <v>50547.385995191151</v>
      </c>
    </row>
    <row r="1213" spans="1:15" x14ac:dyDescent="0.25">
      <c r="A1213" s="13">
        <v>44456</v>
      </c>
      <c r="B1213" s="97">
        <v>2087</v>
      </c>
      <c r="C1213" t="s">
        <v>92</v>
      </c>
      <c r="D1213" s="94" t="s">
        <v>490</v>
      </c>
      <c r="E1213" t="s">
        <v>45</v>
      </c>
      <c r="F1213" t="s">
        <v>566</v>
      </c>
      <c r="G1213" s="50" t="s">
        <v>559</v>
      </c>
      <c r="H1213" s="50">
        <v>2</v>
      </c>
      <c r="I1213" s="100">
        <v>6.7391919697301583</v>
      </c>
      <c r="J1213" s="52">
        <v>3834.68</v>
      </c>
      <c r="K1213" s="67">
        <f t="shared" si="76"/>
        <v>53933.599410605872</v>
      </c>
      <c r="L1213" s="95">
        <f>+VLOOKUP(E1213,MARGEN!A:B,2,FALSE)</f>
        <v>0.1</v>
      </c>
      <c r="M1213" s="112">
        <f t="shared" si="73"/>
        <v>5393.3599410605875</v>
      </c>
      <c r="N1213" s="113">
        <f t="shared" si="74"/>
        <v>215.73439764242349</v>
      </c>
      <c r="O1213" s="113">
        <f t="shared" si="75"/>
        <v>48324.505071902859</v>
      </c>
    </row>
    <row r="1214" spans="1:15" x14ac:dyDescent="0.25">
      <c r="A1214" s="13">
        <v>44456</v>
      </c>
      <c r="B1214" s="51">
        <v>2087</v>
      </c>
      <c r="C1214" s="66" t="s">
        <v>103</v>
      </c>
      <c r="D1214" s="66" t="s">
        <v>342</v>
      </c>
      <c r="E1214" t="s">
        <v>45</v>
      </c>
      <c r="F1214" s="50" t="s">
        <v>566</v>
      </c>
      <c r="G1214" s="50" t="s">
        <v>559</v>
      </c>
      <c r="H1214" s="50">
        <v>2</v>
      </c>
      <c r="I1214" s="100">
        <v>6.7391919697301583</v>
      </c>
      <c r="J1214" s="52">
        <v>3834.68</v>
      </c>
      <c r="K1214" s="67">
        <f t="shared" si="76"/>
        <v>53933.599410605872</v>
      </c>
      <c r="L1214" s="95">
        <f>+VLOOKUP(E1214,MARGEN!A:B,2,FALSE)</f>
        <v>0.1</v>
      </c>
      <c r="M1214" s="112">
        <f t="shared" si="73"/>
        <v>5393.3599410605875</v>
      </c>
      <c r="N1214" s="113">
        <f t="shared" si="74"/>
        <v>215.73439764242349</v>
      </c>
      <c r="O1214" s="113">
        <f t="shared" si="75"/>
        <v>48324.505071902859</v>
      </c>
    </row>
    <row r="1215" spans="1:15" x14ac:dyDescent="0.25">
      <c r="A1215" s="13">
        <v>44456</v>
      </c>
      <c r="B1215" s="97">
        <v>1871</v>
      </c>
      <c r="C1215" t="s">
        <v>198</v>
      </c>
      <c r="D1215" s="94" t="s">
        <v>326</v>
      </c>
      <c r="E1215" t="s">
        <v>45</v>
      </c>
      <c r="F1215" t="s">
        <v>566</v>
      </c>
      <c r="G1215" s="50" t="s">
        <v>559</v>
      </c>
      <c r="H1215" s="50">
        <v>2</v>
      </c>
      <c r="I1215" s="100">
        <v>6.7391919697301583</v>
      </c>
      <c r="J1215" s="52">
        <v>3834.68</v>
      </c>
      <c r="K1215" s="67">
        <f t="shared" si="76"/>
        <v>48351.588163509143</v>
      </c>
      <c r="L1215" s="95">
        <f>+VLOOKUP(E1215,MARGEN!A:B,2,FALSE)</f>
        <v>0.1</v>
      </c>
      <c r="M1215" s="112">
        <f t="shared" si="73"/>
        <v>4835.1588163509141</v>
      </c>
      <c r="N1215" s="113">
        <f t="shared" si="74"/>
        <v>193.40635265403657</v>
      </c>
      <c r="O1215" s="113">
        <f t="shared" si="75"/>
        <v>43323.022994504194</v>
      </c>
    </row>
    <row r="1216" spans="1:15" x14ac:dyDescent="0.25">
      <c r="A1216" s="13">
        <v>44456</v>
      </c>
      <c r="B1216" s="97">
        <v>1847</v>
      </c>
      <c r="C1216" t="s">
        <v>270</v>
      </c>
      <c r="D1216" s="94" t="s">
        <v>491</v>
      </c>
      <c r="E1216" t="s">
        <v>45</v>
      </c>
      <c r="F1216" t="s">
        <v>566</v>
      </c>
      <c r="G1216" s="50" t="s">
        <v>559</v>
      </c>
      <c r="H1216" s="50">
        <v>2</v>
      </c>
      <c r="I1216" s="100">
        <v>6.7391919697301583</v>
      </c>
      <c r="J1216" s="52">
        <v>3834.68</v>
      </c>
      <c r="K1216" s="67">
        <f t="shared" si="76"/>
        <v>47731.364691609502</v>
      </c>
      <c r="L1216" s="95">
        <f>+VLOOKUP(E1216,MARGEN!A:B,2,FALSE)</f>
        <v>0.1</v>
      </c>
      <c r="M1216" s="112">
        <f t="shared" si="73"/>
        <v>4773.1364691609506</v>
      </c>
      <c r="N1216" s="113">
        <f t="shared" si="74"/>
        <v>190.925458766438</v>
      </c>
      <c r="O1216" s="113">
        <f t="shared" si="75"/>
        <v>42767.302763682113</v>
      </c>
    </row>
    <row r="1217" spans="1:15" x14ac:dyDescent="0.25">
      <c r="A1217" s="13">
        <v>44456</v>
      </c>
      <c r="B1217" s="97">
        <v>1535</v>
      </c>
      <c r="C1217" t="s">
        <v>273</v>
      </c>
      <c r="D1217" t="s">
        <v>515</v>
      </c>
      <c r="E1217" t="s">
        <v>45</v>
      </c>
      <c r="F1217" t="s">
        <v>566</v>
      </c>
      <c r="G1217" s="50" t="s">
        <v>559</v>
      </c>
      <c r="H1217" s="50">
        <v>2</v>
      </c>
      <c r="I1217" s="100">
        <v>6.7391919697301583</v>
      </c>
      <c r="J1217" s="52">
        <v>3834.68</v>
      </c>
      <c r="K1217" s="67">
        <f t="shared" si="76"/>
        <v>39668.459556914233</v>
      </c>
      <c r="L1217" s="95">
        <f>+VLOOKUP(E1217,MARGEN!A:B,2,FALSE)</f>
        <v>0.1</v>
      </c>
      <c r="M1217" s="112">
        <f t="shared" si="73"/>
        <v>3966.8459556914236</v>
      </c>
      <c r="N1217" s="113">
        <f t="shared" si="74"/>
        <v>158.67383822765694</v>
      </c>
      <c r="O1217" s="113">
        <f t="shared" si="75"/>
        <v>35542.939762995149</v>
      </c>
    </row>
    <row r="1218" spans="1:15" x14ac:dyDescent="0.25">
      <c r="A1218" s="13">
        <v>44457</v>
      </c>
      <c r="B1218" s="97">
        <v>16340</v>
      </c>
      <c r="C1218" s="88" t="s">
        <v>78</v>
      </c>
      <c r="D1218" t="s">
        <v>412</v>
      </c>
      <c r="E1218" t="s">
        <v>45</v>
      </c>
      <c r="F1218" t="s">
        <v>551</v>
      </c>
      <c r="G1218" s="50" t="s">
        <v>205</v>
      </c>
      <c r="H1218" s="50">
        <v>2</v>
      </c>
      <c r="I1218" s="100">
        <v>6.7391919697301583</v>
      </c>
      <c r="J1218" s="52">
        <v>3834.68</v>
      </c>
      <c r="K1218" s="67">
        <f t="shared" si="76"/>
        <v>422268.81378500228</v>
      </c>
      <c r="L1218" s="95">
        <f>+VLOOKUP(E1218,MARGEN!A:B,2,FALSE)</f>
        <v>0.1</v>
      </c>
      <c r="M1218" s="112">
        <f t="shared" si="73"/>
        <v>42226.881378500228</v>
      </c>
      <c r="N1218" s="113">
        <f t="shared" si="74"/>
        <v>1689.0752551400092</v>
      </c>
      <c r="O1218" s="113">
        <f t="shared" si="75"/>
        <v>378352.85715136206</v>
      </c>
    </row>
    <row r="1219" spans="1:15" x14ac:dyDescent="0.25">
      <c r="A1219" s="13">
        <v>44457</v>
      </c>
      <c r="B1219" s="97">
        <v>12813</v>
      </c>
      <c r="C1219" t="s">
        <v>73</v>
      </c>
      <c r="D1219" s="94" t="s">
        <v>338</v>
      </c>
      <c r="E1219" t="s">
        <v>45</v>
      </c>
      <c r="F1219" t="s">
        <v>551</v>
      </c>
      <c r="G1219" s="50" t="s">
        <v>205</v>
      </c>
      <c r="H1219" s="50">
        <v>2</v>
      </c>
      <c r="I1219" s="100">
        <v>6.7391919697301583</v>
      </c>
      <c r="J1219" s="52">
        <v>3834.68</v>
      </c>
      <c r="K1219" s="67">
        <f t="shared" si="76"/>
        <v>331121.80606041825</v>
      </c>
      <c r="L1219" s="95">
        <f>+VLOOKUP(E1219,MARGEN!A:B,2,FALSE)</f>
        <v>0.1</v>
      </c>
      <c r="M1219" s="112">
        <f t="shared" ref="M1219:M1282" si="77">+K1219*L1219</f>
        <v>33112.180606041824</v>
      </c>
      <c r="N1219" s="113">
        <f t="shared" ref="N1219:N1282" si="78">+K1219*4/1000</f>
        <v>1324.4872242416729</v>
      </c>
      <c r="O1219" s="113">
        <f t="shared" ref="O1219:O1282" si="79">+K1219-M1219-N1219</f>
        <v>296685.13823013479</v>
      </c>
    </row>
    <row r="1220" spans="1:15" x14ac:dyDescent="0.25">
      <c r="A1220" s="13">
        <v>44457</v>
      </c>
      <c r="B1220" s="97">
        <v>9934</v>
      </c>
      <c r="C1220" t="s">
        <v>95</v>
      </c>
      <c r="D1220" s="94" t="s">
        <v>510</v>
      </c>
      <c r="E1220" t="s">
        <v>45</v>
      </c>
      <c r="F1220" t="s">
        <v>551</v>
      </c>
      <c r="G1220" s="50" t="s">
        <v>205</v>
      </c>
      <c r="H1220" s="50">
        <v>2</v>
      </c>
      <c r="I1220" s="100">
        <v>6.7391919697301583</v>
      </c>
      <c r="J1220" s="52">
        <v>3834.68</v>
      </c>
      <c r="K1220" s="67">
        <f t="shared" si="76"/>
        <v>256720.83207712442</v>
      </c>
      <c r="L1220" s="95">
        <f>+VLOOKUP(E1220,MARGEN!A:B,2,FALSE)</f>
        <v>0.1</v>
      </c>
      <c r="M1220" s="112">
        <f t="shared" si="77"/>
        <v>25672.083207712443</v>
      </c>
      <c r="N1220" s="113">
        <f t="shared" si="78"/>
        <v>1026.8833283084978</v>
      </c>
      <c r="O1220" s="113">
        <f t="shared" si="79"/>
        <v>230021.86554110347</v>
      </c>
    </row>
    <row r="1221" spans="1:15" x14ac:dyDescent="0.25">
      <c r="A1221" s="13">
        <v>44457</v>
      </c>
      <c r="B1221" s="97">
        <v>8254</v>
      </c>
      <c r="C1221" t="s">
        <v>191</v>
      </c>
      <c r="D1221" s="94" t="s">
        <v>354</v>
      </c>
      <c r="E1221" t="s">
        <v>45</v>
      </c>
      <c r="F1221" t="s">
        <v>551</v>
      </c>
      <c r="G1221" s="50" t="s">
        <v>205</v>
      </c>
      <c r="H1221" s="50">
        <v>2</v>
      </c>
      <c r="I1221" s="100">
        <v>6.7391919697301583</v>
      </c>
      <c r="J1221" s="52">
        <v>3834.68</v>
      </c>
      <c r="K1221" s="67">
        <f t="shared" si="76"/>
        <v>213305.18904414988</v>
      </c>
      <c r="L1221" s="95">
        <f>+VLOOKUP(E1221,MARGEN!A:B,2,FALSE)</f>
        <v>0.1</v>
      </c>
      <c r="M1221" s="112">
        <f t="shared" si="77"/>
        <v>21330.518904414988</v>
      </c>
      <c r="N1221" s="113">
        <f t="shared" si="78"/>
        <v>853.22075617659948</v>
      </c>
      <c r="O1221" s="113">
        <f t="shared" si="79"/>
        <v>191121.4493835583</v>
      </c>
    </row>
    <row r="1222" spans="1:15" x14ac:dyDescent="0.25">
      <c r="A1222" s="13">
        <v>44457</v>
      </c>
      <c r="B1222" s="97">
        <v>7606</v>
      </c>
      <c r="C1222" t="s">
        <v>248</v>
      </c>
      <c r="D1222" s="94" t="s">
        <v>385</v>
      </c>
      <c r="E1222" t="s">
        <v>45</v>
      </c>
      <c r="F1222" t="s">
        <v>551</v>
      </c>
      <c r="G1222" s="50" t="s">
        <v>205</v>
      </c>
      <c r="H1222" s="50">
        <v>2</v>
      </c>
      <c r="I1222" s="100">
        <v>6.7391919697301583</v>
      </c>
      <c r="J1222" s="52">
        <v>3834.68</v>
      </c>
      <c r="K1222" s="67">
        <f t="shared" si="76"/>
        <v>196559.1553028597</v>
      </c>
      <c r="L1222" s="95">
        <f>+VLOOKUP(E1222,MARGEN!A:B,2,FALSE)</f>
        <v>0.1</v>
      </c>
      <c r="M1222" s="112">
        <f t="shared" si="77"/>
        <v>19655.915530285973</v>
      </c>
      <c r="N1222" s="113">
        <f t="shared" si="78"/>
        <v>786.23662121143877</v>
      </c>
      <c r="O1222" s="113">
        <f t="shared" si="79"/>
        <v>176117.0031513623</v>
      </c>
    </row>
    <row r="1223" spans="1:15" x14ac:dyDescent="0.25">
      <c r="A1223" s="13">
        <v>44457</v>
      </c>
      <c r="B1223" s="97">
        <v>7534</v>
      </c>
      <c r="C1223" t="s">
        <v>179</v>
      </c>
      <c r="D1223" s="94" t="s">
        <v>361</v>
      </c>
      <c r="E1223" t="s">
        <v>45</v>
      </c>
      <c r="F1223" t="s">
        <v>551</v>
      </c>
      <c r="G1223" s="50" t="s">
        <v>205</v>
      </c>
      <c r="H1223" s="50">
        <v>2</v>
      </c>
      <c r="I1223" s="100">
        <v>6.7391919697301583</v>
      </c>
      <c r="J1223" s="52">
        <v>3834.68</v>
      </c>
      <c r="K1223" s="67">
        <f t="shared" si="76"/>
        <v>194698.4848871608</v>
      </c>
      <c r="L1223" s="95">
        <f>+VLOOKUP(E1223,MARGEN!A:B,2,FALSE)</f>
        <v>0.1</v>
      </c>
      <c r="M1223" s="112">
        <f t="shared" si="77"/>
        <v>19469.848488716081</v>
      </c>
      <c r="N1223" s="113">
        <f t="shared" si="78"/>
        <v>778.79393954864315</v>
      </c>
      <c r="O1223" s="113">
        <f t="shared" si="79"/>
        <v>174449.84245889608</v>
      </c>
    </row>
    <row r="1224" spans="1:15" x14ac:dyDescent="0.25">
      <c r="A1224" s="13">
        <v>44457</v>
      </c>
      <c r="B1224" s="51">
        <v>7414</v>
      </c>
      <c r="C1224" s="66" t="s">
        <v>143</v>
      </c>
      <c r="D1224" s="66" t="s">
        <v>489</v>
      </c>
      <c r="E1224" t="s">
        <v>45</v>
      </c>
      <c r="F1224" s="50" t="s">
        <v>551</v>
      </c>
      <c r="G1224" s="50" t="s">
        <v>205</v>
      </c>
      <c r="H1224" s="50">
        <v>2</v>
      </c>
      <c r="I1224" s="100">
        <v>6.7391919697301583</v>
      </c>
      <c r="J1224" s="52">
        <v>3834.68</v>
      </c>
      <c r="K1224" s="67">
        <f t="shared" si="76"/>
        <v>191597.3675276626</v>
      </c>
      <c r="L1224" s="95">
        <f>+VLOOKUP(E1224,MARGEN!A:B,2,FALSE)</f>
        <v>0.1</v>
      </c>
      <c r="M1224" s="112">
        <f t="shared" si="77"/>
        <v>19159.736752766261</v>
      </c>
      <c r="N1224" s="113">
        <f t="shared" si="78"/>
        <v>766.38947011065045</v>
      </c>
      <c r="O1224" s="113">
        <f t="shared" si="79"/>
        <v>171671.24130478568</v>
      </c>
    </row>
    <row r="1225" spans="1:15" x14ac:dyDescent="0.25">
      <c r="A1225" s="13">
        <v>44457</v>
      </c>
      <c r="B1225" s="51">
        <v>5638</v>
      </c>
      <c r="C1225" s="66" t="s">
        <v>275</v>
      </c>
      <c r="D1225" s="66" t="s">
        <v>519</v>
      </c>
      <c r="E1225" t="s">
        <v>45</v>
      </c>
      <c r="F1225" s="50" t="s">
        <v>551</v>
      </c>
      <c r="G1225" s="50" t="s">
        <v>205</v>
      </c>
      <c r="H1225" s="50">
        <v>2</v>
      </c>
      <c r="I1225" s="100">
        <v>6.7391919697301583</v>
      </c>
      <c r="J1225" s="52">
        <v>3834.68</v>
      </c>
      <c r="K1225" s="67">
        <f t="shared" ref="K1225:K1288" si="80">+B1225*I1225*J1225/1000</f>
        <v>145700.83060708951</v>
      </c>
      <c r="L1225" s="95">
        <f>+VLOOKUP(E1225,MARGEN!A:B,2,FALSE)</f>
        <v>0.1</v>
      </c>
      <c r="M1225" s="112">
        <f t="shared" si="77"/>
        <v>14570.083060708952</v>
      </c>
      <c r="N1225" s="113">
        <f t="shared" si="78"/>
        <v>582.803322428358</v>
      </c>
      <c r="O1225" s="113">
        <f t="shared" si="79"/>
        <v>130547.9442239522</v>
      </c>
    </row>
    <row r="1226" spans="1:15" x14ac:dyDescent="0.25">
      <c r="A1226" s="13">
        <v>44457</v>
      </c>
      <c r="B1226" s="97">
        <v>5542</v>
      </c>
      <c r="C1226" t="s">
        <v>116</v>
      </c>
      <c r="D1226" s="94" t="s">
        <v>330</v>
      </c>
      <c r="E1226" t="s">
        <v>45</v>
      </c>
      <c r="F1226" t="s">
        <v>551</v>
      </c>
      <c r="G1226" s="50" t="s">
        <v>205</v>
      </c>
      <c r="H1226" s="50">
        <v>2</v>
      </c>
      <c r="I1226" s="100">
        <v>6.7391919697301583</v>
      </c>
      <c r="J1226" s="52">
        <v>3834.68</v>
      </c>
      <c r="K1226" s="67">
        <f t="shared" si="80"/>
        <v>143219.936719491</v>
      </c>
      <c r="L1226" s="95">
        <f>+VLOOKUP(E1226,MARGEN!A:B,2,FALSE)</f>
        <v>0.1</v>
      </c>
      <c r="M1226" s="112">
        <f t="shared" si="77"/>
        <v>14321.993671949102</v>
      </c>
      <c r="N1226" s="113">
        <f t="shared" si="78"/>
        <v>572.87974687796395</v>
      </c>
      <c r="O1226" s="113">
        <f t="shared" si="79"/>
        <v>128325.06330066393</v>
      </c>
    </row>
    <row r="1227" spans="1:15" x14ac:dyDescent="0.25">
      <c r="A1227" s="13">
        <v>44457</v>
      </c>
      <c r="B1227" s="97">
        <v>4535</v>
      </c>
      <c r="C1227" t="s">
        <v>76</v>
      </c>
      <c r="D1227" s="94" t="s">
        <v>332</v>
      </c>
      <c r="E1227" t="s">
        <v>45</v>
      </c>
      <c r="F1227" t="s">
        <v>551</v>
      </c>
      <c r="G1227" s="50" t="s">
        <v>205</v>
      </c>
      <c r="H1227" s="50">
        <v>2</v>
      </c>
      <c r="I1227" s="100">
        <v>6.7391919697301583</v>
      </c>
      <c r="J1227" s="52">
        <v>3834.68</v>
      </c>
      <c r="K1227" s="67">
        <f t="shared" si="80"/>
        <v>117196.39354436877</v>
      </c>
      <c r="L1227" s="95">
        <f>+VLOOKUP(E1227,MARGEN!A:B,2,FALSE)</f>
        <v>0.1</v>
      </c>
      <c r="M1227" s="112">
        <f t="shared" si="77"/>
        <v>11719.639354436877</v>
      </c>
      <c r="N1227" s="113">
        <f t="shared" si="78"/>
        <v>468.78557417747504</v>
      </c>
      <c r="O1227" s="113">
        <f t="shared" si="79"/>
        <v>105007.96861575442</v>
      </c>
    </row>
    <row r="1228" spans="1:15" x14ac:dyDescent="0.25">
      <c r="A1228" s="13">
        <v>44457</v>
      </c>
      <c r="B1228" s="97">
        <v>4319</v>
      </c>
      <c r="C1228" t="s">
        <v>91</v>
      </c>
      <c r="D1228" s="94" t="s">
        <v>340</v>
      </c>
      <c r="E1228" t="s">
        <v>45</v>
      </c>
      <c r="F1228" t="s">
        <v>551</v>
      </c>
      <c r="G1228" s="50" t="s">
        <v>205</v>
      </c>
      <c r="H1228" s="50">
        <v>2</v>
      </c>
      <c r="I1228" s="100">
        <v>6.7391919697301583</v>
      </c>
      <c r="J1228" s="52">
        <v>3834.68</v>
      </c>
      <c r="K1228" s="67">
        <f t="shared" si="80"/>
        <v>111614.38229727202</v>
      </c>
      <c r="L1228" s="95">
        <f>+VLOOKUP(E1228,MARGEN!A:B,2,FALSE)</f>
        <v>0.1</v>
      </c>
      <c r="M1228" s="112">
        <f t="shared" si="77"/>
        <v>11161.438229727202</v>
      </c>
      <c r="N1228" s="113">
        <f t="shared" si="78"/>
        <v>446.45752918908806</v>
      </c>
      <c r="O1228" s="113">
        <f t="shared" si="79"/>
        <v>100006.48653835573</v>
      </c>
    </row>
    <row r="1229" spans="1:15" x14ac:dyDescent="0.25">
      <c r="A1229" s="13">
        <v>44457</v>
      </c>
      <c r="B1229" s="97">
        <v>4175</v>
      </c>
      <c r="C1229" t="s">
        <v>276</v>
      </c>
      <c r="D1229" s="94" t="s">
        <v>512</v>
      </c>
      <c r="E1229" t="s">
        <v>45</v>
      </c>
      <c r="F1229" t="s">
        <v>551</v>
      </c>
      <c r="G1229" s="50" t="s">
        <v>205</v>
      </c>
      <c r="H1229" s="50">
        <v>2</v>
      </c>
      <c r="I1229" s="100">
        <v>6.7391919697301583</v>
      </c>
      <c r="J1229" s="52">
        <v>3834.68</v>
      </c>
      <c r="K1229" s="67">
        <f t="shared" si="80"/>
        <v>107893.04146587422</v>
      </c>
      <c r="L1229" s="95">
        <f>+VLOOKUP(E1229,MARGEN!A:B,2,FALSE)</f>
        <v>0.1</v>
      </c>
      <c r="M1229" s="112">
        <f t="shared" si="77"/>
        <v>10789.304146587423</v>
      </c>
      <c r="N1229" s="113">
        <f t="shared" si="78"/>
        <v>431.57216586349688</v>
      </c>
      <c r="O1229" s="113">
        <f t="shared" si="79"/>
        <v>96672.165153423295</v>
      </c>
    </row>
    <row r="1230" spans="1:15" x14ac:dyDescent="0.25">
      <c r="A1230" s="13">
        <v>44457</v>
      </c>
      <c r="B1230" s="97">
        <v>4127</v>
      </c>
      <c r="C1230" t="s">
        <v>235</v>
      </c>
      <c r="D1230" s="94" t="s">
        <v>339</v>
      </c>
      <c r="E1230" t="s">
        <v>45</v>
      </c>
      <c r="F1230" t="s">
        <v>551</v>
      </c>
      <c r="G1230" s="50" t="s">
        <v>205</v>
      </c>
      <c r="H1230" s="50">
        <v>2</v>
      </c>
      <c r="I1230" s="100">
        <v>6.7391919697301583</v>
      </c>
      <c r="J1230" s="52">
        <v>3834.68</v>
      </c>
      <c r="K1230" s="67">
        <f t="shared" si="80"/>
        <v>106652.59452207494</v>
      </c>
      <c r="L1230" s="95">
        <f>+VLOOKUP(E1230,MARGEN!A:B,2,FALSE)</f>
        <v>0.1</v>
      </c>
      <c r="M1230" s="112">
        <f t="shared" si="77"/>
        <v>10665.259452207494</v>
      </c>
      <c r="N1230" s="113">
        <f t="shared" si="78"/>
        <v>426.61037808829974</v>
      </c>
      <c r="O1230" s="113">
        <f t="shared" si="79"/>
        <v>95560.724691779149</v>
      </c>
    </row>
    <row r="1231" spans="1:15" x14ac:dyDescent="0.25">
      <c r="A1231" s="13">
        <v>44457</v>
      </c>
      <c r="B1231" s="97">
        <v>4103</v>
      </c>
      <c r="C1231" t="s">
        <v>234</v>
      </c>
      <c r="D1231" s="94" t="s">
        <v>331</v>
      </c>
      <c r="E1231" t="s">
        <v>45</v>
      </c>
      <c r="F1231" t="s">
        <v>551</v>
      </c>
      <c r="G1231" s="50" t="s">
        <v>205</v>
      </c>
      <c r="H1231" s="50">
        <v>2</v>
      </c>
      <c r="I1231" s="100">
        <v>6.7391919697301583</v>
      </c>
      <c r="J1231" s="52">
        <v>3834.68</v>
      </c>
      <c r="K1231" s="67">
        <f t="shared" si="80"/>
        <v>106032.37105017531</v>
      </c>
      <c r="L1231" s="95">
        <f>+VLOOKUP(E1231,MARGEN!A:B,2,FALSE)</f>
        <v>0.1</v>
      </c>
      <c r="M1231" s="112">
        <f t="shared" si="77"/>
        <v>10603.237105017532</v>
      </c>
      <c r="N1231" s="113">
        <f t="shared" si="78"/>
        <v>424.12948420070126</v>
      </c>
      <c r="O1231" s="113">
        <f t="shared" si="79"/>
        <v>95005.004460957076</v>
      </c>
    </row>
    <row r="1232" spans="1:15" x14ac:dyDescent="0.25">
      <c r="A1232" s="13">
        <v>44457</v>
      </c>
      <c r="B1232" s="97">
        <v>3911</v>
      </c>
      <c r="C1232" t="s">
        <v>71</v>
      </c>
      <c r="D1232" s="94" t="s">
        <v>337</v>
      </c>
      <c r="E1232" t="s">
        <v>45</v>
      </c>
      <c r="F1232" t="s">
        <v>551</v>
      </c>
      <c r="G1232" s="50" t="s">
        <v>205</v>
      </c>
      <c r="H1232" s="50">
        <v>2</v>
      </c>
      <c r="I1232" s="100">
        <v>6.7391919697301583</v>
      </c>
      <c r="J1232" s="52">
        <v>3834.68</v>
      </c>
      <c r="K1232" s="67">
        <f t="shared" si="80"/>
        <v>101070.58327497823</v>
      </c>
      <c r="L1232" s="95">
        <f>+VLOOKUP(E1232,MARGEN!A:B,2,FALSE)</f>
        <v>0.1</v>
      </c>
      <c r="M1232" s="112">
        <f t="shared" si="77"/>
        <v>10107.058327497823</v>
      </c>
      <c r="N1232" s="113">
        <f t="shared" si="78"/>
        <v>404.28233309991293</v>
      </c>
      <c r="O1232" s="113">
        <f t="shared" si="79"/>
        <v>90559.242614380491</v>
      </c>
    </row>
    <row r="1233" spans="1:15" x14ac:dyDescent="0.25">
      <c r="A1233" s="13">
        <v>44457</v>
      </c>
      <c r="B1233" s="97">
        <v>3671</v>
      </c>
      <c r="C1233" t="s">
        <v>177</v>
      </c>
      <c r="D1233" s="94" t="s">
        <v>355</v>
      </c>
      <c r="E1233" t="s">
        <v>45</v>
      </c>
      <c r="F1233" t="s">
        <v>551</v>
      </c>
      <c r="G1233" s="50" t="s">
        <v>205</v>
      </c>
      <c r="H1233" s="50">
        <v>2</v>
      </c>
      <c r="I1233" s="100">
        <v>6.7391919697301583</v>
      </c>
      <c r="J1233" s="52">
        <v>3834.68</v>
      </c>
      <c r="K1233" s="67">
        <f t="shared" si="80"/>
        <v>94868.348555981866</v>
      </c>
      <c r="L1233" s="95">
        <f>+VLOOKUP(E1233,MARGEN!A:B,2,FALSE)</f>
        <v>0.1</v>
      </c>
      <c r="M1233" s="112">
        <f t="shared" si="77"/>
        <v>9486.8348555981866</v>
      </c>
      <c r="N1233" s="113">
        <f t="shared" si="78"/>
        <v>379.47339422392747</v>
      </c>
      <c r="O1233" s="113">
        <f t="shared" si="79"/>
        <v>85002.040306159761</v>
      </c>
    </row>
    <row r="1234" spans="1:15" x14ac:dyDescent="0.25">
      <c r="A1234" s="13">
        <v>44457</v>
      </c>
      <c r="B1234" s="97">
        <v>3143</v>
      </c>
      <c r="C1234" t="s">
        <v>277</v>
      </c>
      <c r="D1234" s="94" t="s">
        <v>513</v>
      </c>
      <c r="E1234" t="s">
        <v>45</v>
      </c>
      <c r="F1234" t="s">
        <v>566</v>
      </c>
      <c r="G1234" s="50" t="s">
        <v>559</v>
      </c>
      <c r="H1234" s="50">
        <v>2</v>
      </c>
      <c r="I1234" s="100">
        <v>6.7391919697301583</v>
      </c>
      <c r="J1234" s="52">
        <v>3834.68</v>
      </c>
      <c r="K1234" s="67">
        <f t="shared" si="80"/>
        <v>81223.43217418986</v>
      </c>
      <c r="L1234" s="95">
        <f>+VLOOKUP(E1234,MARGEN!A:B,2,FALSE)</f>
        <v>0.1</v>
      </c>
      <c r="M1234" s="112">
        <f t="shared" si="77"/>
        <v>8122.3432174189866</v>
      </c>
      <c r="N1234" s="113">
        <f t="shared" si="78"/>
        <v>324.89372869675947</v>
      </c>
      <c r="O1234" s="113">
        <f t="shared" si="79"/>
        <v>72776.195228074124</v>
      </c>
    </row>
    <row r="1235" spans="1:15" x14ac:dyDescent="0.25">
      <c r="A1235" s="13">
        <v>44457</v>
      </c>
      <c r="B1235" s="97">
        <v>2879</v>
      </c>
      <c r="C1235" t="s">
        <v>139</v>
      </c>
      <c r="D1235" s="94" t="s">
        <v>327</v>
      </c>
      <c r="E1235" t="s">
        <v>45</v>
      </c>
      <c r="F1235" t="s">
        <v>551</v>
      </c>
      <c r="G1235" s="50" t="s">
        <v>205</v>
      </c>
      <c r="H1235" s="50">
        <v>2</v>
      </c>
      <c r="I1235" s="100">
        <v>6.7391919697301583</v>
      </c>
      <c r="J1235" s="52">
        <v>3834.68</v>
      </c>
      <c r="K1235" s="67">
        <f t="shared" si="80"/>
        <v>74400.973983293865</v>
      </c>
      <c r="L1235" s="95">
        <f>+VLOOKUP(E1235,MARGEN!A:B,2,FALSE)</f>
        <v>0.1</v>
      </c>
      <c r="M1235" s="112">
        <f t="shared" si="77"/>
        <v>7440.097398329387</v>
      </c>
      <c r="N1235" s="113">
        <f t="shared" si="78"/>
        <v>297.60389593317547</v>
      </c>
      <c r="O1235" s="113">
        <f t="shared" si="79"/>
        <v>66663.272689031306</v>
      </c>
    </row>
    <row r="1236" spans="1:15" x14ac:dyDescent="0.25">
      <c r="A1236" s="13">
        <v>44457</v>
      </c>
      <c r="B1236" s="97">
        <v>2855</v>
      </c>
      <c r="C1236" t="s">
        <v>268</v>
      </c>
      <c r="D1236" s="94" t="s">
        <v>514</v>
      </c>
      <c r="E1236" t="s">
        <v>45</v>
      </c>
      <c r="F1236" t="s">
        <v>562</v>
      </c>
      <c r="G1236" s="50" t="s">
        <v>559</v>
      </c>
      <c r="H1236" s="50">
        <v>2</v>
      </c>
      <c r="I1236" s="100">
        <v>6.7391919697301583</v>
      </c>
      <c r="J1236" s="52">
        <v>3834.68</v>
      </c>
      <c r="K1236" s="67">
        <f t="shared" si="80"/>
        <v>73780.750511394232</v>
      </c>
      <c r="L1236" s="95">
        <f>+VLOOKUP(E1236,MARGEN!A:B,2,FALSE)</f>
        <v>0.1</v>
      </c>
      <c r="M1236" s="112">
        <f t="shared" si="77"/>
        <v>7378.0750511394235</v>
      </c>
      <c r="N1236" s="113">
        <f t="shared" si="78"/>
        <v>295.12300204557692</v>
      </c>
      <c r="O1236" s="113">
        <f t="shared" si="79"/>
        <v>66107.552458209218</v>
      </c>
    </row>
    <row r="1237" spans="1:15" x14ac:dyDescent="0.25">
      <c r="A1237" s="13">
        <v>44457</v>
      </c>
      <c r="B1237" s="97">
        <v>2807</v>
      </c>
      <c r="C1237" t="s">
        <v>178</v>
      </c>
      <c r="D1237" s="94" t="s">
        <v>370</v>
      </c>
      <c r="E1237" t="s">
        <v>45</v>
      </c>
      <c r="F1237" t="s">
        <v>562</v>
      </c>
      <c r="G1237" s="50" t="s">
        <v>559</v>
      </c>
      <c r="H1237" s="50">
        <v>2</v>
      </c>
      <c r="I1237" s="100">
        <v>6.7391919697301583</v>
      </c>
      <c r="J1237" s="52">
        <v>3834.68</v>
      </c>
      <c r="K1237" s="67">
        <f t="shared" si="80"/>
        <v>72540.303567594965</v>
      </c>
      <c r="L1237" s="95">
        <f>+VLOOKUP(E1237,MARGEN!A:B,2,FALSE)</f>
        <v>0.1</v>
      </c>
      <c r="M1237" s="112">
        <f t="shared" si="77"/>
        <v>7254.0303567594965</v>
      </c>
      <c r="N1237" s="113">
        <f t="shared" si="78"/>
        <v>290.16121427037984</v>
      </c>
      <c r="O1237" s="113">
        <f t="shared" si="79"/>
        <v>64996.111996565087</v>
      </c>
    </row>
    <row r="1238" spans="1:15" x14ac:dyDescent="0.25">
      <c r="A1238" s="13">
        <v>44457</v>
      </c>
      <c r="B1238" s="51">
        <v>2663</v>
      </c>
      <c r="C1238" s="66" t="s">
        <v>138</v>
      </c>
      <c r="D1238" s="66" t="s">
        <v>321</v>
      </c>
      <c r="E1238" t="s">
        <v>45</v>
      </c>
      <c r="F1238" s="50" t="s">
        <v>551</v>
      </c>
      <c r="G1238" s="50" t="s">
        <v>205</v>
      </c>
      <c r="H1238" s="50">
        <v>2</v>
      </c>
      <c r="I1238" s="100">
        <v>6.7391919697301583</v>
      </c>
      <c r="J1238" s="52">
        <v>3834.68</v>
      </c>
      <c r="K1238" s="67">
        <f t="shared" si="80"/>
        <v>68818.962736197136</v>
      </c>
      <c r="L1238" s="95">
        <f>+VLOOKUP(E1238,MARGEN!A:B,2,FALSE)</f>
        <v>0.1</v>
      </c>
      <c r="M1238" s="112">
        <f t="shared" si="77"/>
        <v>6881.8962736197136</v>
      </c>
      <c r="N1238" s="113">
        <f t="shared" si="78"/>
        <v>275.27585094478854</v>
      </c>
      <c r="O1238" s="113">
        <f t="shared" si="79"/>
        <v>61661.790611632634</v>
      </c>
    </row>
    <row r="1239" spans="1:15" x14ac:dyDescent="0.25">
      <c r="A1239" s="13">
        <v>44457</v>
      </c>
      <c r="B1239" s="97">
        <v>2183</v>
      </c>
      <c r="C1239" t="s">
        <v>560</v>
      </c>
      <c r="D1239" s="94" t="s">
        <v>561</v>
      </c>
      <c r="E1239" t="s">
        <v>45</v>
      </c>
      <c r="F1239" t="s">
        <v>562</v>
      </c>
      <c r="G1239" s="50" t="s">
        <v>559</v>
      </c>
      <c r="H1239" s="50">
        <v>2</v>
      </c>
      <c r="I1239" s="100">
        <v>6.7391919697301583</v>
      </c>
      <c r="J1239" s="52">
        <v>3834.68</v>
      </c>
      <c r="K1239" s="67">
        <f t="shared" si="80"/>
        <v>56414.493298204405</v>
      </c>
      <c r="L1239" s="95">
        <f>+VLOOKUP(E1239,MARGEN!A:B,2,FALSE)</f>
        <v>0.1</v>
      </c>
      <c r="M1239" s="112">
        <f t="shared" si="77"/>
        <v>5641.4493298204407</v>
      </c>
      <c r="N1239" s="113">
        <f t="shared" si="78"/>
        <v>225.65797319281762</v>
      </c>
      <c r="O1239" s="113">
        <f t="shared" si="79"/>
        <v>50547.385995191151</v>
      </c>
    </row>
    <row r="1240" spans="1:15" x14ac:dyDescent="0.25">
      <c r="A1240" s="13">
        <v>44457</v>
      </c>
      <c r="B1240" s="97">
        <v>2087</v>
      </c>
      <c r="C1240" t="s">
        <v>103</v>
      </c>
      <c r="D1240" s="94" t="s">
        <v>342</v>
      </c>
      <c r="E1240" t="s">
        <v>45</v>
      </c>
      <c r="F1240" t="s">
        <v>551</v>
      </c>
      <c r="G1240" s="50" t="s">
        <v>205</v>
      </c>
      <c r="H1240" s="50">
        <v>2</v>
      </c>
      <c r="I1240" s="100">
        <v>6.7391919697301583</v>
      </c>
      <c r="J1240" s="52">
        <v>3834.68</v>
      </c>
      <c r="K1240" s="67">
        <f t="shared" si="80"/>
        <v>53933.599410605872</v>
      </c>
      <c r="L1240" s="95">
        <f>+VLOOKUP(E1240,MARGEN!A:B,2,FALSE)</f>
        <v>0.1</v>
      </c>
      <c r="M1240" s="112">
        <f t="shared" si="77"/>
        <v>5393.3599410605875</v>
      </c>
      <c r="N1240" s="113">
        <f t="shared" si="78"/>
        <v>215.73439764242349</v>
      </c>
      <c r="O1240" s="113">
        <f t="shared" si="79"/>
        <v>48324.505071902859</v>
      </c>
    </row>
    <row r="1241" spans="1:15" x14ac:dyDescent="0.25">
      <c r="A1241" s="13">
        <v>44457</v>
      </c>
      <c r="B1241" s="97">
        <v>2063</v>
      </c>
      <c r="C1241" t="s">
        <v>92</v>
      </c>
      <c r="D1241" s="94" t="s">
        <v>490</v>
      </c>
      <c r="E1241" t="s">
        <v>45</v>
      </c>
      <c r="F1241" t="s">
        <v>562</v>
      </c>
      <c r="G1241" s="50" t="s">
        <v>559</v>
      </c>
      <c r="H1241" s="50">
        <v>2</v>
      </c>
      <c r="I1241" s="100">
        <v>6.7391919697301583</v>
      </c>
      <c r="J1241" s="52">
        <v>3834.68</v>
      </c>
      <c r="K1241" s="67">
        <f t="shared" si="80"/>
        <v>53313.375938706224</v>
      </c>
      <c r="L1241" s="95">
        <f>+VLOOKUP(E1241,MARGEN!A:B,2,FALSE)</f>
        <v>0.1</v>
      </c>
      <c r="M1241" s="112">
        <f t="shared" si="77"/>
        <v>5331.3375938706231</v>
      </c>
      <c r="N1241" s="113">
        <f t="shared" si="78"/>
        <v>213.25350375482489</v>
      </c>
      <c r="O1241" s="113">
        <f t="shared" si="79"/>
        <v>47768.784841080778</v>
      </c>
    </row>
    <row r="1242" spans="1:15" x14ac:dyDescent="0.25">
      <c r="A1242" s="13">
        <v>44457</v>
      </c>
      <c r="B1242" s="97">
        <v>1871</v>
      </c>
      <c r="C1242" t="s">
        <v>198</v>
      </c>
      <c r="D1242" s="94" t="s">
        <v>326</v>
      </c>
      <c r="E1242" t="s">
        <v>45</v>
      </c>
      <c r="F1242" t="s">
        <v>562</v>
      </c>
      <c r="G1242" s="50" t="s">
        <v>559</v>
      </c>
      <c r="H1242" s="50">
        <v>2</v>
      </c>
      <c r="I1242" s="100">
        <v>6.7391919697301583</v>
      </c>
      <c r="J1242" s="52">
        <v>3834.68</v>
      </c>
      <c r="K1242" s="67">
        <f t="shared" si="80"/>
        <v>48351.588163509143</v>
      </c>
      <c r="L1242" s="95">
        <f>+VLOOKUP(E1242,MARGEN!A:B,2,FALSE)</f>
        <v>0.1</v>
      </c>
      <c r="M1242" s="112">
        <f t="shared" si="77"/>
        <v>4835.1588163509141</v>
      </c>
      <c r="N1242" s="113">
        <f t="shared" si="78"/>
        <v>193.40635265403657</v>
      </c>
      <c r="O1242" s="113">
        <f t="shared" si="79"/>
        <v>43323.022994504194</v>
      </c>
    </row>
    <row r="1243" spans="1:15" x14ac:dyDescent="0.25">
      <c r="A1243" s="13">
        <v>44457</v>
      </c>
      <c r="B1243" s="97">
        <v>1847</v>
      </c>
      <c r="C1243" t="s">
        <v>270</v>
      </c>
      <c r="D1243" s="94" t="s">
        <v>491</v>
      </c>
      <c r="E1243" t="s">
        <v>45</v>
      </c>
      <c r="F1243" t="s">
        <v>551</v>
      </c>
      <c r="G1243" s="50" t="s">
        <v>205</v>
      </c>
      <c r="H1243" s="50">
        <v>2</v>
      </c>
      <c r="I1243" s="100">
        <v>6.7391919697301583</v>
      </c>
      <c r="J1243" s="52">
        <v>3834.68</v>
      </c>
      <c r="K1243" s="67">
        <f t="shared" si="80"/>
        <v>47731.364691609502</v>
      </c>
      <c r="L1243" s="95">
        <f>+VLOOKUP(E1243,MARGEN!A:B,2,FALSE)</f>
        <v>0.1</v>
      </c>
      <c r="M1243" s="112">
        <f t="shared" si="77"/>
        <v>4773.1364691609506</v>
      </c>
      <c r="N1243" s="113">
        <f t="shared" si="78"/>
        <v>190.925458766438</v>
      </c>
      <c r="O1243" s="113">
        <f t="shared" si="79"/>
        <v>42767.302763682113</v>
      </c>
    </row>
    <row r="1244" spans="1:15" x14ac:dyDescent="0.25">
      <c r="A1244" s="13">
        <v>44457</v>
      </c>
      <c r="B1244" s="97">
        <v>1727</v>
      </c>
      <c r="C1244" t="s">
        <v>190</v>
      </c>
      <c r="D1244" s="94" t="s">
        <v>356</v>
      </c>
      <c r="E1244" t="s">
        <v>45</v>
      </c>
      <c r="F1244" t="s">
        <v>562</v>
      </c>
      <c r="G1244" s="50" t="s">
        <v>559</v>
      </c>
      <c r="H1244" s="50">
        <v>2</v>
      </c>
      <c r="I1244" s="100">
        <v>6.7391919697301583</v>
      </c>
      <c r="J1244" s="52">
        <v>3834.68</v>
      </c>
      <c r="K1244" s="67">
        <f t="shared" si="80"/>
        <v>44630.247332111321</v>
      </c>
      <c r="L1244" s="95">
        <f>+VLOOKUP(E1244,MARGEN!A:B,2,FALSE)</f>
        <v>0.1</v>
      </c>
      <c r="M1244" s="112">
        <f t="shared" si="77"/>
        <v>4463.0247332111321</v>
      </c>
      <c r="N1244" s="113">
        <f t="shared" si="78"/>
        <v>178.5209893284453</v>
      </c>
      <c r="O1244" s="113">
        <f t="shared" si="79"/>
        <v>39988.701609571741</v>
      </c>
    </row>
    <row r="1245" spans="1:15" x14ac:dyDescent="0.25">
      <c r="A1245" s="13">
        <v>44457</v>
      </c>
      <c r="B1245" s="97">
        <v>1535</v>
      </c>
      <c r="C1245" t="s">
        <v>273</v>
      </c>
      <c r="D1245" s="94" t="s">
        <v>515</v>
      </c>
      <c r="E1245" t="s">
        <v>45</v>
      </c>
      <c r="F1245" t="s">
        <v>566</v>
      </c>
      <c r="G1245" s="50" t="s">
        <v>559</v>
      </c>
      <c r="H1245" s="50">
        <v>2</v>
      </c>
      <c r="I1245" s="100">
        <v>6.7391919697301583</v>
      </c>
      <c r="J1245" s="52">
        <v>3834.68</v>
      </c>
      <c r="K1245" s="67">
        <f t="shared" si="80"/>
        <v>39668.459556914233</v>
      </c>
      <c r="L1245" s="95">
        <f>+VLOOKUP(E1245,MARGEN!A:B,2,FALSE)</f>
        <v>0.1</v>
      </c>
      <c r="M1245" s="112">
        <f t="shared" si="77"/>
        <v>3966.8459556914236</v>
      </c>
      <c r="N1245" s="113">
        <f t="shared" si="78"/>
        <v>158.67383822765694</v>
      </c>
      <c r="O1245" s="113">
        <f t="shared" si="79"/>
        <v>35542.939762995149</v>
      </c>
    </row>
    <row r="1246" spans="1:15" x14ac:dyDescent="0.25">
      <c r="A1246" s="13">
        <v>44457</v>
      </c>
      <c r="B1246" s="97">
        <v>1391</v>
      </c>
      <c r="C1246" t="s">
        <v>107</v>
      </c>
      <c r="D1246" s="94" t="s">
        <v>346</v>
      </c>
      <c r="E1246" t="s">
        <v>45</v>
      </c>
      <c r="F1246" t="s">
        <v>562</v>
      </c>
      <c r="G1246" s="50" t="s">
        <v>559</v>
      </c>
      <c r="H1246" s="50">
        <v>2</v>
      </c>
      <c r="I1246" s="100">
        <v>6.7391919697301583</v>
      </c>
      <c r="J1246" s="52">
        <v>3834.68</v>
      </c>
      <c r="K1246" s="67">
        <f t="shared" si="80"/>
        <v>35947.118725516419</v>
      </c>
      <c r="L1246" s="95">
        <f>+VLOOKUP(E1246,MARGEN!A:B,2,FALSE)</f>
        <v>0.1</v>
      </c>
      <c r="M1246" s="112">
        <f t="shared" si="77"/>
        <v>3594.711872551642</v>
      </c>
      <c r="N1246" s="113">
        <f t="shared" si="78"/>
        <v>143.78847490206567</v>
      </c>
      <c r="O1246" s="113">
        <f t="shared" si="79"/>
        <v>32208.618378062711</v>
      </c>
    </row>
    <row r="1247" spans="1:15" x14ac:dyDescent="0.25">
      <c r="A1247" s="13">
        <v>44458</v>
      </c>
      <c r="B1247" s="51">
        <v>16341</v>
      </c>
      <c r="C1247" s="66" t="s">
        <v>78</v>
      </c>
      <c r="D1247" s="66" t="s">
        <v>412</v>
      </c>
      <c r="E1247" t="s">
        <v>45</v>
      </c>
      <c r="F1247" s="50" t="s">
        <v>558</v>
      </c>
      <c r="G1247" s="50" t="s">
        <v>559</v>
      </c>
      <c r="H1247" s="50">
        <v>2</v>
      </c>
      <c r="I1247" s="100">
        <v>6.7391919697301583</v>
      </c>
      <c r="J1247" s="52">
        <v>3834.68</v>
      </c>
      <c r="K1247" s="67">
        <f t="shared" si="80"/>
        <v>422294.65642966487</v>
      </c>
      <c r="L1247" s="95">
        <f>+VLOOKUP(E1247,MARGEN!A:B,2,FALSE)</f>
        <v>0.1</v>
      </c>
      <c r="M1247" s="112">
        <f t="shared" si="77"/>
        <v>42229.46564296649</v>
      </c>
      <c r="N1247" s="113">
        <f t="shared" si="78"/>
        <v>1689.1786257186595</v>
      </c>
      <c r="O1247" s="113">
        <f t="shared" si="79"/>
        <v>378376.01216097974</v>
      </c>
    </row>
    <row r="1248" spans="1:15" x14ac:dyDescent="0.25">
      <c r="A1248" s="13">
        <v>44458</v>
      </c>
      <c r="B1248" s="51">
        <v>12814</v>
      </c>
      <c r="C1248" s="66" t="s">
        <v>73</v>
      </c>
      <c r="D1248" s="66" t="s">
        <v>338</v>
      </c>
      <c r="E1248" t="s">
        <v>45</v>
      </c>
      <c r="F1248" s="50" t="s">
        <v>557</v>
      </c>
      <c r="G1248" s="50" t="s">
        <v>205</v>
      </c>
      <c r="H1248" s="50">
        <v>2</v>
      </c>
      <c r="I1248" s="100">
        <v>6.7391919697301583</v>
      </c>
      <c r="J1248" s="52">
        <v>3834.68</v>
      </c>
      <c r="K1248" s="67">
        <f t="shared" si="80"/>
        <v>331147.64870508079</v>
      </c>
      <c r="L1248" s="95">
        <f>+VLOOKUP(E1248,MARGEN!A:B,2,FALSE)</f>
        <v>0.1</v>
      </c>
      <c r="M1248" s="112">
        <f t="shared" si="77"/>
        <v>33114.764870508079</v>
      </c>
      <c r="N1248" s="113">
        <f t="shared" si="78"/>
        <v>1324.5905948203231</v>
      </c>
      <c r="O1248" s="113">
        <f t="shared" si="79"/>
        <v>296708.29323975241</v>
      </c>
    </row>
    <row r="1249" spans="1:15" x14ac:dyDescent="0.25">
      <c r="A1249" s="13">
        <v>44458</v>
      </c>
      <c r="B1249" s="97">
        <v>9933</v>
      </c>
      <c r="C1249" t="s">
        <v>95</v>
      </c>
      <c r="D1249" s="94" t="s">
        <v>510</v>
      </c>
      <c r="E1249" t="s">
        <v>45</v>
      </c>
      <c r="F1249" t="s">
        <v>562</v>
      </c>
      <c r="G1249" s="50" t="s">
        <v>559</v>
      </c>
      <c r="H1249" s="50">
        <v>2</v>
      </c>
      <c r="I1249" s="100">
        <v>6.7391919697301583</v>
      </c>
      <c r="J1249" s="52">
        <v>3834.68</v>
      </c>
      <c r="K1249" s="67">
        <f t="shared" si="80"/>
        <v>256694.98943246197</v>
      </c>
      <c r="L1249" s="95">
        <f>+VLOOKUP(E1249,MARGEN!A:B,2,FALSE)</f>
        <v>0.1</v>
      </c>
      <c r="M1249" s="112">
        <f t="shared" si="77"/>
        <v>25669.498943246199</v>
      </c>
      <c r="N1249" s="113">
        <f t="shared" si="78"/>
        <v>1026.7799577298479</v>
      </c>
      <c r="O1249" s="113">
        <f t="shared" si="79"/>
        <v>229998.71053148591</v>
      </c>
    </row>
    <row r="1250" spans="1:15" x14ac:dyDescent="0.25">
      <c r="A1250" s="13">
        <v>44458</v>
      </c>
      <c r="B1250" s="97">
        <v>8254</v>
      </c>
      <c r="C1250" t="s">
        <v>191</v>
      </c>
      <c r="D1250" s="94" t="s">
        <v>354</v>
      </c>
      <c r="E1250" t="s">
        <v>45</v>
      </c>
      <c r="F1250" t="s">
        <v>557</v>
      </c>
      <c r="G1250" s="50" t="s">
        <v>205</v>
      </c>
      <c r="H1250" s="50">
        <v>2</v>
      </c>
      <c r="I1250" s="100">
        <v>6.7391919697301583</v>
      </c>
      <c r="J1250" s="52">
        <v>3834.68</v>
      </c>
      <c r="K1250" s="67">
        <f t="shared" si="80"/>
        <v>213305.18904414988</v>
      </c>
      <c r="L1250" s="95">
        <f>+VLOOKUP(E1250,MARGEN!A:B,2,FALSE)</f>
        <v>0.1</v>
      </c>
      <c r="M1250" s="112">
        <f t="shared" si="77"/>
        <v>21330.518904414988</v>
      </c>
      <c r="N1250" s="113">
        <f t="shared" si="78"/>
        <v>853.22075617659948</v>
      </c>
      <c r="O1250" s="113">
        <f t="shared" si="79"/>
        <v>191121.4493835583</v>
      </c>
    </row>
    <row r="1251" spans="1:15" x14ac:dyDescent="0.25">
      <c r="A1251" s="13">
        <v>44458</v>
      </c>
      <c r="B1251" s="97">
        <v>7606</v>
      </c>
      <c r="C1251" t="s">
        <v>248</v>
      </c>
      <c r="D1251" s="94" t="s">
        <v>385</v>
      </c>
      <c r="E1251" t="s">
        <v>45</v>
      </c>
      <c r="F1251" t="s">
        <v>557</v>
      </c>
      <c r="G1251" s="50" t="s">
        <v>205</v>
      </c>
      <c r="H1251" s="50">
        <v>2</v>
      </c>
      <c r="I1251" s="100">
        <v>6.7391919697301583</v>
      </c>
      <c r="J1251" s="52">
        <v>3834.68</v>
      </c>
      <c r="K1251" s="67">
        <f t="shared" si="80"/>
        <v>196559.1553028597</v>
      </c>
      <c r="L1251" s="95">
        <f>+VLOOKUP(E1251,MARGEN!A:B,2,FALSE)</f>
        <v>0.1</v>
      </c>
      <c r="M1251" s="112">
        <f t="shared" si="77"/>
        <v>19655.915530285973</v>
      </c>
      <c r="N1251" s="113">
        <f t="shared" si="78"/>
        <v>786.23662121143877</v>
      </c>
      <c r="O1251" s="113">
        <f t="shared" si="79"/>
        <v>176117.0031513623</v>
      </c>
    </row>
    <row r="1252" spans="1:15" x14ac:dyDescent="0.25">
      <c r="A1252" s="13">
        <v>44458</v>
      </c>
      <c r="B1252" s="97">
        <v>7534</v>
      </c>
      <c r="C1252" t="s">
        <v>179</v>
      </c>
      <c r="D1252" s="94" t="s">
        <v>361</v>
      </c>
      <c r="E1252" t="s">
        <v>45</v>
      </c>
      <c r="F1252" t="s">
        <v>562</v>
      </c>
      <c r="G1252" s="50" t="s">
        <v>559</v>
      </c>
      <c r="H1252" s="50">
        <v>2</v>
      </c>
      <c r="I1252" s="100">
        <v>6.7391919697301583</v>
      </c>
      <c r="J1252" s="52">
        <v>3834.68</v>
      </c>
      <c r="K1252" s="67">
        <f t="shared" si="80"/>
        <v>194698.4848871608</v>
      </c>
      <c r="L1252" s="95">
        <f>+VLOOKUP(E1252,MARGEN!A:B,2,FALSE)</f>
        <v>0.1</v>
      </c>
      <c r="M1252" s="112">
        <f t="shared" si="77"/>
        <v>19469.848488716081</v>
      </c>
      <c r="N1252" s="113">
        <f t="shared" si="78"/>
        <v>778.79393954864315</v>
      </c>
      <c r="O1252" s="113">
        <f t="shared" si="79"/>
        <v>174449.84245889608</v>
      </c>
    </row>
    <row r="1253" spans="1:15" x14ac:dyDescent="0.25">
      <c r="A1253" s="13">
        <v>44458</v>
      </c>
      <c r="B1253" s="97">
        <v>7414</v>
      </c>
      <c r="C1253" t="s">
        <v>143</v>
      </c>
      <c r="D1253" s="94" t="s">
        <v>489</v>
      </c>
      <c r="E1253" t="s">
        <v>45</v>
      </c>
      <c r="F1253" t="s">
        <v>557</v>
      </c>
      <c r="G1253" s="50" t="s">
        <v>205</v>
      </c>
      <c r="H1253" s="50">
        <v>2</v>
      </c>
      <c r="I1253" s="100">
        <v>6.7391919697301583</v>
      </c>
      <c r="J1253" s="52">
        <v>3834.68</v>
      </c>
      <c r="K1253" s="67">
        <f t="shared" si="80"/>
        <v>191597.3675276626</v>
      </c>
      <c r="L1253" s="95">
        <f>+VLOOKUP(E1253,MARGEN!A:B,2,FALSE)</f>
        <v>0.1</v>
      </c>
      <c r="M1253" s="112">
        <f t="shared" si="77"/>
        <v>19159.736752766261</v>
      </c>
      <c r="N1253" s="113">
        <f t="shared" si="78"/>
        <v>766.38947011065045</v>
      </c>
      <c r="O1253" s="113">
        <f t="shared" si="79"/>
        <v>171671.24130478568</v>
      </c>
    </row>
    <row r="1254" spans="1:15" x14ac:dyDescent="0.25">
      <c r="A1254" s="13">
        <v>44458</v>
      </c>
      <c r="B1254" s="97">
        <v>5543</v>
      </c>
      <c r="C1254" t="s">
        <v>116</v>
      </c>
      <c r="D1254" s="94" t="s">
        <v>330</v>
      </c>
      <c r="E1254" t="s">
        <v>45</v>
      </c>
      <c r="F1254" t="s">
        <v>566</v>
      </c>
      <c r="G1254" s="50" t="s">
        <v>559</v>
      </c>
      <c r="H1254" s="50">
        <v>2</v>
      </c>
      <c r="I1254" s="100">
        <v>6.7391919697301583</v>
      </c>
      <c r="J1254" s="52">
        <v>3834.68</v>
      </c>
      <c r="K1254" s="67">
        <f t="shared" si="80"/>
        <v>143245.77936415351</v>
      </c>
      <c r="L1254" s="95">
        <f>+VLOOKUP(E1254,MARGEN!A:B,2,FALSE)</f>
        <v>0.1</v>
      </c>
      <c r="M1254" s="112">
        <f t="shared" si="77"/>
        <v>14324.577936415351</v>
      </c>
      <c r="N1254" s="113">
        <f t="shared" si="78"/>
        <v>572.98311745661408</v>
      </c>
      <c r="O1254" s="113">
        <f t="shared" si="79"/>
        <v>128348.21831028153</v>
      </c>
    </row>
    <row r="1255" spans="1:15" x14ac:dyDescent="0.25">
      <c r="A1255" s="13">
        <v>44458</v>
      </c>
      <c r="B1255" s="97">
        <v>4319</v>
      </c>
      <c r="C1255" t="s">
        <v>91</v>
      </c>
      <c r="D1255" s="94" t="s">
        <v>340</v>
      </c>
      <c r="E1255" t="s">
        <v>45</v>
      </c>
      <c r="F1255" t="s">
        <v>557</v>
      </c>
      <c r="G1255" s="50" t="s">
        <v>205</v>
      </c>
      <c r="H1255" s="50">
        <v>2</v>
      </c>
      <c r="I1255" s="100">
        <v>6.7391919697301583</v>
      </c>
      <c r="J1255" s="52">
        <v>3834.68</v>
      </c>
      <c r="K1255" s="67">
        <f t="shared" si="80"/>
        <v>111614.38229727202</v>
      </c>
      <c r="L1255" s="95">
        <f>+VLOOKUP(E1255,MARGEN!A:B,2,FALSE)</f>
        <v>0.1</v>
      </c>
      <c r="M1255" s="112">
        <f t="shared" si="77"/>
        <v>11161.438229727202</v>
      </c>
      <c r="N1255" s="113">
        <f t="shared" si="78"/>
        <v>446.45752918908806</v>
      </c>
      <c r="O1255" s="113">
        <f t="shared" si="79"/>
        <v>100006.48653835573</v>
      </c>
    </row>
    <row r="1256" spans="1:15" x14ac:dyDescent="0.25">
      <c r="A1256" s="13">
        <v>44458</v>
      </c>
      <c r="B1256" s="97">
        <v>4175</v>
      </c>
      <c r="C1256" t="s">
        <v>276</v>
      </c>
      <c r="D1256" s="94" t="s">
        <v>512</v>
      </c>
      <c r="E1256" t="s">
        <v>45</v>
      </c>
      <c r="F1256" t="s">
        <v>558</v>
      </c>
      <c r="G1256" s="50" t="s">
        <v>559</v>
      </c>
      <c r="H1256" s="50">
        <v>2</v>
      </c>
      <c r="I1256" s="100">
        <v>6.7391919697301583</v>
      </c>
      <c r="J1256" s="52">
        <v>3834.68</v>
      </c>
      <c r="K1256" s="67">
        <f t="shared" si="80"/>
        <v>107893.04146587422</v>
      </c>
      <c r="L1256" s="95">
        <f>+VLOOKUP(E1256,MARGEN!A:B,2,FALSE)</f>
        <v>0.1</v>
      </c>
      <c r="M1256" s="112">
        <f t="shared" si="77"/>
        <v>10789.304146587423</v>
      </c>
      <c r="N1256" s="113">
        <f t="shared" si="78"/>
        <v>431.57216586349688</v>
      </c>
      <c r="O1256" s="113">
        <f t="shared" si="79"/>
        <v>96672.165153423295</v>
      </c>
    </row>
    <row r="1257" spans="1:15" x14ac:dyDescent="0.25">
      <c r="A1257" s="13">
        <v>44458</v>
      </c>
      <c r="B1257" s="97">
        <v>4151</v>
      </c>
      <c r="C1257" t="s">
        <v>234</v>
      </c>
      <c r="D1257" s="94" t="s">
        <v>331</v>
      </c>
      <c r="E1257" t="s">
        <v>45</v>
      </c>
      <c r="F1257" t="s">
        <v>557</v>
      </c>
      <c r="G1257" s="50" t="s">
        <v>205</v>
      </c>
      <c r="H1257" s="50">
        <v>2</v>
      </c>
      <c r="I1257" s="100">
        <v>6.7391919697301583</v>
      </c>
      <c r="J1257" s="52">
        <v>3834.68</v>
      </c>
      <c r="K1257" s="67">
        <f t="shared" si="80"/>
        <v>107272.81799397458</v>
      </c>
      <c r="L1257" s="95">
        <f>+VLOOKUP(E1257,MARGEN!A:B,2,FALSE)</f>
        <v>0.1</v>
      </c>
      <c r="M1257" s="112">
        <f t="shared" si="77"/>
        <v>10727.281799397459</v>
      </c>
      <c r="N1257" s="113">
        <f t="shared" si="78"/>
        <v>429.09127197589828</v>
      </c>
      <c r="O1257" s="113">
        <f t="shared" si="79"/>
        <v>96116.444922601222</v>
      </c>
    </row>
    <row r="1258" spans="1:15" x14ac:dyDescent="0.25">
      <c r="A1258" s="13">
        <v>44458</v>
      </c>
      <c r="B1258" s="97">
        <v>4127</v>
      </c>
      <c r="C1258" t="s">
        <v>235</v>
      </c>
      <c r="D1258" s="94" t="s">
        <v>339</v>
      </c>
      <c r="E1258" t="s">
        <v>45</v>
      </c>
      <c r="F1258" t="s">
        <v>558</v>
      </c>
      <c r="G1258" s="50" t="s">
        <v>559</v>
      </c>
      <c r="H1258" s="50">
        <v>2</v>
      </c>
      <c r="I1258" s="100">
        <v>6.7391919697301583</v>
      </c>
      <c r="J1258" s="52">
        <v>3834.68</v>
      </c>
      <c r="K1258" s="67">
        <f t="shared" si="80"/>
        <v>106652.59452207494</v>
      </c>
      <c r="L1258" s="95">
        <f>+VLOOKUP(E1258,MARGEN!A:B,2,FALSE)</f>
        <v>0.1</v>
      </c>
      <c r="M1258" s="112">
        <f t="shared" si="77"/>
        <v>10665.259452207494</v>
      </c>
      <c r="N1258" s="113">
        <f t="shared" si="78"/>
        <v>426.61037808829974</v>
      </c>
      <c r="O1258" s="113">
        <f t="shared" si="79"/>
        <v>95560.724691779149</v>
      </c>
    </row>
    <row r="1259" spans="1:15" x14ac:dyDescent="0.25">
      <c r="A1259" s="13">
        <v>44458</v>
      </c>
      <c r="B1259" s="97">
        <v>3911</v>
      </c>
      <c r="C1259" t="s">
        <v>71</v>
      </c>
      <c r="D1259" s="94" t="s">
        <v>337</v>
      </c>
      <c r="E1259" t="s">
        <v>45</v>
      </c>
      <c r="F1259" t="s">
        <v>562</v>
      </c>
      <c r="G1259" s="50" t="s">
        <v>559</v>
      </c>
      <c r="H1259" s="50">
        <v>2</v>
      </c>
      <c r="I1259" s="100">
        <v>6.7391919697301583</v>
      </c>
      <c r="J1259" s="52">
        <v>3834.68</v>
      </c>
      <c r="K1259" s="67">
        <f t="shared" si="80"/>
        <v>101070.58327497823</v>
      </c>
      <c r="L1259" s="95">
        <f>+VLOOKUP(E1259,MARGEN!A:B,2,FALSE)</f>
        <v>0.1</v>
      </c>
      <c r="M1259" s="112">
        <f t="shared" si="77"/>
        <v>10107.058327497823</v>
      </c>
      <c r="N1259" s="113">
        <f t="shared" si="78"/>
        <v>404.28233309991293</v>
      </c>
      <c r="O1259" s="113">
        <f t="shared" si="79"/>
        <v>90559.242614380491</v>
      </c>
    </row>
    <row r="1260" spans="1:15" x14ac:dyDescent="0.25">
      <c r="A1260" s="13">
        <v>44458</v>
      </c>
      <c r="B1260" s="97">
        <v>3695</v>
      </c>
      <c r="C1260" t="s">
        <v>177</v>
      </c>
      <c r="D1260" s="94" t="s">
        <v>355</v>
      </c>
      <c r="E1260" t="s">
        <v>45</v>
      </c>
      <c r="F1260" t="s">
        <v>557</v>
      </c>
      <c r="G1260" s="50" t="s">
        <v>205</v>
      </c>
      <c r="H1260" s="50">
        <v>2</v>
      </c>
      <c r="I1260" s="100">
        <v>6.7391919697301583</v>
      </c>
      <c r="J1260" s="52">
        <v>3834.68</v>
      </c>
      <c r="K1260" s="67">
        <f t="shared" si="80"/>
        <v>95488.572027881484</v>
      </c>
      <c r="L1260" s="95">
        <f>+VLOOKUP(E1260,MARGEN!A:B,2,FALSE)</f>
        <v>0.1</v>
      </c>
      <c r="M1260" s="112">
        <f t="shared" si="77"/>
        <v>9548.8572027881492</v>
      </c>
      <c r="N1260" s="113">
        <f t="shared" si="78"/>
        <v>381.95428811152595</v>
      </c>
      <c r="O1260" s="113">
        <f t="shared" si="79"/>
        <v>85557.760536981819</v>
      </c>
    </row>
    <row r="1261" spans="1:15" x14ac:dyDescent="0.25">
      <c r="A1261" s="13">
        <v>44458</v>
      </c>
      <c r="B1261" s="97">
        <v>3143</v>
      </c>
      <c r="C1261" t="s">
        <v>277</v>
      </c>
      <c r="D1261" s="94" t="s">
        <v>513</v>
      </c>
      <c r="E1261" t="s">
        <v>45</v>
      </c>
      <c r="F1261" t="s">
        <v>558</v>
      </c>
      <c r="G1261" s="50" t="s">
        <v>559</v>
      </c>
      <c r="H1261" s="50">
        <v>2</v>
      </c>
      <c r="I1261" s="100">
        <v>6.7391919697301583</v>
      </c>
      <c r="J1261" s="52">
        <v>3834.68</v>
      </c>
      <c r="K1261" s="67">
        <f t="shared" si="80"/>
        <v>81223.43217418986</v>
      </c>
      <c r="L1261" s="95">
        <f>+VLOOKUP(E1261,MARGEN!A:B,2,FALSE)</f>
        <v>0.1</v>
      </c>
      <c r="M1261" s="112">
        <f t="shared" si="77"/>
        <v>8122.3432174189866</v>
      </c>
      <c r="N1261" s="113">
        <f t="shared" si="78"/>
        <v>324.89372869675947</v>
      </c>
      <c r="O1261" s="113">
        <f t="shared" si="79"/>
        <v>72776.195228074124</v>
      </c>
    </row>
    <row r="1262" spans="1:15" x14ac:dyDescent="0.25">
      <c r="A1262" s="13">
        <v>44458</v>
      </c>
      <c r="B1262" s="97">
        <v>2879</v>
      </c>
      <c r="C1262" t="s">
        <v>139</v>
      </c>
      <c r="D1262" s="94" t="s">
        <v>327</v>
      </c>
      <c r="E1262" t="s">
        <v>45</v>
      </c>
      <c r="F1262" t="s">
        <v>557</v>
      </c>
      <c r="G1262" s="50" t="s">
        <v>205</v>
      </c>
      <c r="H1262" s="50">
        <v>2</v>
      </c>
      <c r="I1262" s="100">
        <v>6.7391919697301583</v>
      </c>
      <c r="J1262" s="52">
        <v>3834.68</v>
      </c>
      <c r="K1262" s="67">
        <f t="shared" si="80"/>
        <v>74400.973983293865</v>
      </c>
      <c r="L1262" s="95">
        <f>+VLOOKUP(E1262,MARGEN!A:B,2,FALSE)</f>
        <v>0.1</v>
      </c>
      <c r="M1262" s="112">
        <f t="shared" si="77"/>
        <v>7440.097398329387</v>
      </c>
      <c r="N1262" s="113">
        <f t="shared" si="78"/>
        <v>297.60389593317547</v>
      </c>
      <c r="O1262" s="113">
        <f t="shared" si="79"/>
        <v>66663.272689031306</v>
      </c>
    </row>
    <row r="1263" spans="1:15" x14ac:dyDescent="0.25">
      <c r="A1263" s="13">
        <v>44458</v>
      </c>
      <c r="B1263" s="97">
        <v>2855</v>
      </c>
      <c r="C1263" t="s">
        <v>268</v>
      </c>
      <c r="D1263" s="94" t="s">
        <v>514</v>
      </c>
      <c r="E1263" t="s">
        <v>45</v>
      </c>
      <c r="F1263" t="s">
        <v>562</v>
      </c>
      <c r="G1263" s="50" t="s">
        <v>559</v>
      </c>
      <c r="H1263" s="50">
        <v>2</v>
      </c>
      <c r="I1263" s="100">
        <v>6.7391919697301583</v>
      </c>
      <c r="J1263" s="52">
        <v>3834.68</v>
      </c>
      <c r="K1263" s="67">
        <f t="shared" si="80"/>
        <v>73780.750511394232</v>
      </c>
      <c r="L1263" s="95">
        <f>+VLOOKUP(E1263,MARGEN!A:B,2,FALSE)</f>
        <v>0.1</v>
      </c>
      <c r="M1263" s="112">
        <f t="shared" si="77"/>
        <v>7378.0750511394235</v>
      </c>
      <c r="N1263" s="113">
        <f t="shared" si="78"/>
        <v>295.12300204557692</v>
      </c>
      <c r="O1263" s="113">
        <f t="shared" si="79"/>
        <v>66107.552458209218</v>
      </c>
    </row>
    <row r="1264" spans="1:15" x14ac:dyDescent="0.25">
      <c r="A1264" s="13">
        <v>44458</v>
      </c>
      <c r="B1264" s="97">
        <v>2807</v>
      </c>
      <c r="C1264" t="s">
        <v>178</v>
      </c>
      <c r="D1264" s="94" t="s">
        <v>370</v>
      </c>
      <c r="E1264" t="s">
        <v>45</v>
      </c>
      <c r="F1264" t="s">
        <v>562</v>
      </c>
      <c r="G1264" s="50" t="s">
        <v>559</v>
      </c>
      <c r="H1264" s="50">
        <v>2</v>
      </c>
      <c r="I1264" s="100">
        <v>6.7391919697301583</v>
      </c>
      <c r="J1264" s="52">
        <v>3834.68</v>
      </c>
      <c r="K1264" s="67">
        <f t="shared" si="80"/>
        <v>72540.303567594965</v>
      </c>
      <c r="L1264" s="95">
        <f>+VLOOKUP(E1264,MARGEN!A:B,2,FALSE)</f>
        <v>0.1</v>
      </c>
      <c r="M1264" s="112">
        <f t="shared" si="77"/>
        <v>7254.0303567594965</v>
      </c>
      <c r="N1264" s="113">
        <f t="shared" si="78"/>
        <v>290.16121427037984</v>
      </c>
      <c r="O1264" s="113">
        <f t="shared" si="79"/>
        <v>64996.111996565087</v>
      </c>
    </row>
    <row r="1265" spans="1:15" x14ac:dyDescent="0.25">
      <c r="A1265" s="13">
        <v>44458</v>
      </c>
      <c r="B1265" s="97">
        <v>2663</v>
      </c>
      <c r="C1265" t="s">
        <v>138</v>
      </c>
      <c r="D1265" s="94" t="s">
        <v>321</v>
      </c>
      <c r="E1265" t="s">
        <v>45</v>
      </c>
      <c r="F1265" t="s">
        <v>558</v>
      </c>
      <c r="G1265" s="50" t="s">
        <v>559</v>
      </c>
      <c r="H1265" s="50">
        <v>2</v>
      </c>
      <c r="I1265" s="100">
        <v>6.7391919697301583</v>
      </c>
      <c r="J1265" s="52">
        <v>3834.68</v>
      </c>
      <c r="K1265" s="67">
        <f t="shared" si="80"/>
        <v>68818.962736197136</v>
      </c>
      <c r="L1265" s="95">
        <f>+VLOOKUP(E1265,MARGEN!A:B,2,FALSE)</f>
        <v>0.1</v>
      </c>
      <c r="M1265" s="112">
        <f t="shared" si="77"/>
        <v>6881.8962736197136</v>
      </c>
      <c r="N1265" s="113">
        <f t="shared" si="78"/>
        <v>275.27585094478854</v>
      </c>
      <c r="O1265" s="113">
        <f t="shared" si="79"/>
        <v>61661.790611632634</v>
      </c>
    </row>
    <row r="1266" spans="1:15" x14ac:dyDescent="0.25">
      <c r="A1266" s="13">
        <v>44458</v>
      </c>
      <c r="B1266" s="97">
        <v>2183</v>
      </c>
      <c r="C1266" t="s">
        <v>560</v>
      </c>
      <c r="D1266" s="94" t="s">
        <v>561</v>
      </c>
      <c r="E1266" t="s">
        <v>45</v>
      </c>
      <c r="F1266" t="s">
        <v>562</v>
      </c>
      <c r="G1266" s="50" t="s">
        <v>559</v>
      </c>
      <c r="H1266" s="50">
        <v>2</v>
      </c>
      <c r="I1266" s="100">
        <v>6.7391919697301583</v>
      </c>
      <c r="J1266" s="52">
        <v>3834.68</v>
      </c>
      <c r="K1266" s="67">
        <f t="shared" si="80"/>
        <v>56414.493298204405</v>
      </c>
      <c r="L1266" s="95">
        <f>+VLOOKUP(E1266,MARGEN!A:B,2,FALSE)</f>
        <v>0.1</v>
      </c>
      <c r="M1266" s="112">
        <f t="shared" si="77"/>
        <v>5641.4493298204407</v>
      </c>
      <c r="N1266" s="113">
        <f t="shared" si="78"/>
        <v>225.65797319281762</v>
      </c>
      <c r="O1266" s="113">
        <f t="shared" si="79"/>
        <v>50547.385995191151</v>
      </c>
    </row>
    <row r="1267" spans="1:15" x14ac:dyDescent="0.25">
      <c r="A1267" s="13">
        <v>44458</v>
      </c>
      <c r="B1267" s="97">
        <v>2087</v>
      </c>
      <c r="C1267" t="s">
        <v>92</v>
      </c>
      <c r="D1267" s="94" t="s">
        <v>490</v>
      </c>
      <c r="E1267" t="s">
        <v>45</v>
      </c>
      <c r="F1267" t="s">
        <v>557</v>
      </c>
      <c r="G1267" s="50" t="s">
        <v>205</v>
      </c>
      <c r="H1267" s="50">
        <v>2</v>
      </c>
      <c r="I1267" s="100">
        <v>6.7391919697301583</v>
      </c>
      <c r="J1267" s="52">
        <v>3834.68</v>
      </c>
      <c r="K1267" s="67">
        <f t="shared" si="80"/>
        <v>53933.599410605872</v>
      </c>
      <c r="L1267" s="95">
        <f>+VLOOKUP(E1267,MARGEN!A:B,2,FALSE)</f>
        <v>0.1</v>
      </c>
      <c r="M1267" s="112">
        <f t="shared" si="77"/>
        <v>5393.3599410605875</v>
      </c>
      <c r="N1267" s="113">
        <f t="shared" si="78"/>
        <v>215.73439764242349</v>
      </c>
      <c r="O1267" s="113">
        <f t="shared" si="79"/>
        <v>48324.505071902859</v>
      </c>
    </row>
    <row r="1268" spans="1:15" x14ac:dyDescent="0.25">
      <c r="A1268" s="13">
        <v>44458</v>
      </c>
      <c r="B1268" s="97">
        <v>2087</v>
      </c>
      <c r="C1268" t="s">
        <v>103</v>
      </c>
      <c r="D1268" s="94" t="s">
        <v>342</v>
      </c>
      <c r="E1268" t="s">
        <v>45</v>
      </c>
      <c r="F1268" t="s">
        <v>557</v>
      </c>
      <c r="G1268" s="50" t="s">
        <v>205</v>
      </c>
      <c r="H1268" s="50">
        <v>2</v>
      </c>
      <c r="I1268" s="100">
        <v>6.7391919697301583</v>
      </c>
      <c r="J1268" s="52">
        <v>3834.68</v>
      </c>
      <c r="K1268" s="67">
        <f t="shared" si="80"/>
        <v>53933.599410605872</v>
      </c>
      <c r="L1268" s="95">
        <f>+VLOOKUP(E1268,MARGEN!A:B,2,FALSE)</f>
        <v>0.1</v>
      </c>
      <c r="M1268" s="112">
        <f t="shared" si="77"/>
        <v>5393.3599410605875</v>
      </c>
      <c r="N1268" s="113">
        <f t="shared" si="78"/>
        <v>215.73439764242349</v>
      </c>
      <c r="O1268" s="113">
        <f t="shared" si="79"/>
        <v>48324.505071902859</v>
      </c>
    </row>
    <row r="1269" spans="1:15" x14ac:dyDescent="0.25">
      <c r="A1269" s="13">
        <v>44458</v>
      </c>
      <c r="B1269" s="97">
        <v>1871</v>
      </c>
      <c r="C1269" t="s">
        <v>198</v>
      </c>
      <c r="D1269" s="94" t="s">
        <v>326</v>
      </c>
      <c r="E1269" t="s">
        <v>45</v>
      </c>
      <c r="F1269" t="s">
        <v>557</v>
      </c>
      <c r="G1269" s="50" t="s">
        <v>205</v>
      </c>
      <c r="H1269" s="50">
        <v>2</v>
      </c>
      <c r="I1269" s="100">
        <v>6.7391919697301583</v>
      </c>
      <c r="J1269" s="52">
        <v>3834.68</v>
      </c>
      <c r="K1269" s="67">
        <f t="shared" si="80"/>
        <v>48351.588163509143</v>
      </c>
      <c r="L1269" s="95">
        <f>+VLOOKUP(E1269,MARGEN!A:B,2,FALSE)</f>
        <v>0.1</v>
      </c>
      <c r="M1269" s="112">
        <f t="shared" si="77"/>
        <v>4835.1588163509141</v>
      </c>
      <c r="N1269" s="113">
        <f t="shared" si="78"/>
        <v>193.40635265403657</v>
      </c>
      <c r="O1269" s="113">
        <f t="shared" si="79"/>
        <v>43323.022994504194</v>
      </c>
    </row>
    <row r="1270" spans="1:15" x14ac:dyDescent="0.25">
      <c r="A1270" s="13">
        <v>44458</v>
      </c>
      <c r="B1270" s="97">
        <v>1847</v>
      </c>
      <c r="C1270" t="s">
        <v>270</v>
      </c>
      <c r="D1270" s="94" t="s">
        <v>491</v>
      </c>
      <c r="E1270" t="s">
        <v>45</v>
      </c>
      <c r="F1270" t="s">
        <v>557</v>
      </c>
      <c r="G1270" s="50" t="s">
        <v>205</v>
      </c>
      <c r="H1270" s="50">
        <v>2</v>
      </c>
      <c r="I1270" s="100">
        <v>6.7391919697301583</v>
      </c>
      <c r="J1270" s="52">
        <v>3834.68</v>
      </c>
      <c r="K1270" s="67">
        <f t="shared" si="80"/>
        <v>47731.364691609502</v>
      </c>
      <c r="L1270" s="95">
        <f>+VLOOKUP(E1270,MARGEN!A:B,2,FALSE)</f>
        <v>0.1</v>
      </c>
      <c r="M1270" s="112">
        <f t="shared" si="77"/>
        <v>4773.1364691609506</v>
      </c>
      <c r="N1270" s="113">
        <f t="shared" si="78"/>
        <v>190.925458766438</v>
      </c>
      <c r="O1270" s="113">
        <f t="shared" si="79"/>
        <v>42767.302763682113</v>
      </c>
    </row>
    <row r="1271" spans="1:15" x14ac:dyDescent="0.25">
      <c r="A1271" s="13">
        <v>44458</v>
      </c>
      <c r="B1271" s="97">
        <v>1727</v>
      </c>
      <c r="C1271" t="s">
        <v>190</v>
      </c>
      <c r="D1271" s="94" t="s">
        <v>356</v>
      </c>
      <c r="E1271" t="s">
        <v>45</v>
      </c>
      <c r="F1271" t="s">
        <v>566</v>
      </c>
      <c r="G1271" s="50" t="s">
        <v>559</v>
      </c>
      <c r="H1271" s="50">
        <v>2</v>
      </c>
      <c r="I1271" s="100">
        <v>6.7391919697301583</v>
      </c>
      <c r="J1271" s="52">
        <v>3834.68</v>
      </c>
      <c r="K1271" s="67">
        <f t="shared" si="80"/>
        <v>44630.247332111321</v>
      </c>
      <c r="L1271" s="95">
        <f>+VLOOKUP(E1271,MARGEN!A:B,2,FALSE)</f>
        <v>0.1</v>
      </c>
      <c r="M1271" s="112">
        <f t="shared" si="77"/>
        <v>4463.0247332111321</v>
      </c>
      <c r="N1271" s="113">
        <f t="shared" si="78"/>
        <v>178.5209893284453</v>
      </c>
      <c r="O1271" s="113">
        <f t="shared" si="79"/>
        <v>39988.701609571741</v>
      </c>
    </row>
    <row r="1272" spans="1:15" x14ac:dyDescent="0.25">
      <c r="A1272" s="13">
        <v>44458</v>
      </c>
      <c r="B1272" s="51">
        <v>1535</v>
      </c>
      <c r="C1272" s="66" t="s">
        <v>273</v>
      </c>
      <c r="D1272" s="66" t="s">
        <v>515</v>
      </c>
      <c r="E1272" t="s">
        <v>45</v>
      </c>
      <c r="F1272" s="50" t="s">
        <v>557</v>
      </c>
      <c r="G1272" s="50" t="s">
        <v>205</v>
      </c>
      <c r="H1272" s="50">
        <v>2</v>
      </c>
      <c r="I1272" s="100">
        <v>6.7391919697301583</v>
      </c>
      <c r="J1272" s="52">
        <v>3834.68</v>
      </c>
      <c r="K1272" s="67">
        <f t="shared" si="80"/>
        <v>39668.459556914233</v>
      </c>
      <c r="L1272" s="95">
        <f>+VLOOKUP(E1272,MARGEN!A:B,2,FALSE)</f>
        <v>0.1</v>
      </c>
      <c r="M1272" s="112">
        <f t="shared" si="77"/>
        <v>3966.8459556914236</v>
      </c>
      <c r="N1272" s="113">
        <f t="shared" si="78"/>
        <v>158.67383822765694</v>
      </c>
      <c r="O1272" s="113">
        <f t="shared" si="79"/>
        <v>35542.939762995149</v>
      </c>
    </row>
    <row r="1273" spans="1:15" x14ac:dyDescent="0.25">
      <c r="A1273" s="13">
        <v>44458</v>
      </c>
      <c r="B1273" s="97">
        <v>1391</v>
      </c>
      <c r="C1273" t="s">
        <v>107</v>
      </c>
      <c r="D1273" s="94" t="s">
        <v>346</v>
      </c>
      <c r="E1273" t="s">
        <v>45</v>
      </c>
      <c r="F1273" t="s">
        <v>562</v>
      </c>
      <c r="G1273" s="50" t="s">
        <v>559</v>
      </c>
      <c r="H1273" s="50">
        <v>2</v>
      </c>
      <c r="I1273" s="100">
        <v>6.7391919697301583</v>
      </c>
      <c r="J1273" s="52">
        <v>3834.68</v>
      </c>
      <c r="K1273" s="67">
        <f t="shared" si="80"/>
        <v>35947.118725516419</v>
      </c>
      <c r="L1273" s="95">
        <f>+VLOOKUP(E1273,MARGEN!A:B,2,FALSE)</f>
        <v>0.1</v>
      </c>
      <c r="M1273" s="112">
        <f t="shared" si="77"/>
        <v>3594.711872551642</v>
      </c>
      <c r="N1273" s="113">
        <f t="shared" si="78"/>
        <v>143.78847490206567</v>
      </c>
      <c r="O1273" s="113">
        <f t="shared" si="79"/>
        <v>32208.618378062711</v>
      </c>
    </row>
    <row r="1274" spans="1:15" x14ac:dyDescent="0.25">
      <c r="A1274" s="13">
        <v>44459</v>
      </c>
      <c r="B1274" s="97">
        <v>16343</v>
      </c>
      <c r="C1274" t="s">
        <v>78</v>
      </c>
      <c r="D1274" s="94" t="s">
        <v>412</v>
      </c>
      <c r="E1274" t="s">
        <v>45</v>
      </c>
      <c r="F1274" t="s">
        <v>573</v>
      </c>
      <c r="G1274" s="50" t="s">
        <v>574</v>
      </c>
      <c r="H1274" s="50">
        <v>2</v>
      </c>
      <c r="I1274" s="100">
        <v>6.7391919697301583</v>
      </c>
      <c r="J1274" s="52">
        <v>3834.68</v>
      </c>
      <c r="K1274" s="67">
        <f t="shared" si="80"/>
        <v>422346.34171898977</v>
      </c>
      <c r="L1274" s="95">
        <f>+VLOOKUP(E1274,MARGEN!A:B,2,FALSE)</f>
        <v>0.1</v>
      </c>
      <c r="M1274" s="112">
        <f t="shared" si="77"/>
        <v>42234.634171898979</v>
      </c>
      <c r="N1274" s="113">
        <f t="shared" si="78"/>
        <v>1689.3853668759591</v>
      </c>
      <c r="O1274" s="113">
        <f t="shared" si="79"/>
        <v>378422.3221802148</v>
      </c>
    </row>
    <row r="1275" spans="1:15" x14ac:dyDescent="0.25">
      <c r="A1275" s="13">
        <v>44459</v>
      </c>
      <c r="B1275" s="97">
        <v>12815</v>
      </c>
      <c r="C1275" t="s">
        <v>73</v>
      </c>
      <c r="D1275" s="94" t="s">
        <v>338</v>
      </c>
      <c r="E1275" t="s">
        <v>45</v>
      </c>
      <c r="F1275" t="s">
        <v>573</v>
      </c>
      <c r="G1275" s="50" t="s">
        <v>574</v>
      </c>
      <c r="H1275" s="50">
        <v>2</v>
      </c>
      <c r="I1275" s="100">
        <v>6.7391919697301583</v>
      </c>
      <c r="J1275" s="52">
        <v>3834.68</v>
      </c>
      <c r="K1275" s="67">
        <f t="shared" si="80"/>
        <v>331173.49134974327</v>
      </c>
      <c r="L1275" s="95">
        <f>+VLOOKUP(E1275,MARGEN!A:B,2,FALSE)</f>
        <v>0.1</v>
      </c>
      <c r="M1275" s="112">
        <f t="shared" si="77"/>
        <v>33117.349134974327</v>
      </c>
      <c r="N1275" s="113">
        <f t="shared" si="78"/>
        <v>1324.693965398973</v>
      </c>
      <c r="O1275" s="113">
        <f t="shared" si="79"/>
        <v>296731.44824936992</v>
      </c>
    </row>
    <row r="1276" spans="1:15" x14ac:dyDescent="0.25">
      <c r="A1276" s="13">
        <v>44459</v>
      </c>
      <c r="B1276" s="97">
        <v>9935</v>
      </c>
      <c r="C1276" t="s">
        <v>95</v>
      </c>
      <c r="D1276" t="s">
        <v>510</v>
      </c>
      <c r="E1276" t="s">
        <v>45</v>
      </c>
      <c r="F1276" t="s">
        <v>573</v>
      </c>
      <c r="G1276" s="50" t="s">
        <v>574</v>
      </c>
      <c r="H1276" s="50">
        <v>2</v>
      </c>
      <c r="I1276" s="100">
        <v>6.7391919697301583</v>
      </c>
      <c r="J1276" s="52">
        <v>3834.68</v>
      </c>
      <c r="K1276" s="67">
        <f t="shared" si="80"/>
        <v>256746.6747217869</v>
      </c>
      <c r="L1276" s="95">
        <f>+VLOOKUP(E1276,MARGEN!A:B,2,FALSE)</f>
        <v>0.1</v>
      </c>
      <c r="M1276" s="112">
        <f t="shared" si="77"/>
        <v>25674.667472178691</v>
      </c>
      <c r="N1276" s="113">
        <f t="shared" si="78"/>
        <v>1026.9866988871477</v>
      </c>
      <c r="O1276" s="113">
        <f t="shared" si="79"/>
        <v>230045.02055072106</v>
      </c>
    </row>
    <row r="1277" spans="1:15" x14ac:dyDescent="0.25">
      <c r="A1277" s="13">
        <v>44459</v>
      </c>
      <c r="B1277" s="97">
        <v>8230</v>
      </c>
      <c r="C1277" t="s">
        <v>90</v>
      </c>
      <c r="D1277" s="94" t="s">
        <v>350</v>
      </c>
      <c r="E1277" t="s">
        <v>45</v>
      </c>
      <c r="F1277" t="s">
        <v>558</v>
      </c>
      <c r="G1277" s="50" t="s">
        <v>574</v>
      </c>
      <c r="H1277" s="50">
        <v>2</v>
      </c>
      <c r="I1277" s="100">
        <v>6.7391919697301583</v>
      </c>
      <c r="J1277" s="52">
        <v>3834.68</v>
      </c>
      <c r="K1277" s="67">
        <f t="shared" si="80"/>
        <v>212684.96557225028</v>
      </c>
      <c r="L1277" s="95">
        <f>+VLOOKUP(E1277,MARGEN!A:B,2,FALSE)</f>
        <v>0.1</v>
      </c>
      <c r="M1277" s="112">
        <f t="shared" si="77"/>
        <v>21268.496557225029</v>
      </c>
      <c r="N1277" s="113">
        <f t="shared" si="78"/>
        <v>850.73986228900117</v>
      </c>
      <c r="O1277" s="113">
        <f t="shared" si="79"/>
        <v>190565.72915273625</v>
      </c>
    </row>
    <row r="1278" spans="1:15" x14ac:dyDescent="0.25">
      <c r="A1278" s="13">
        <v>44459</v>
      </c>
      <c r="B1278" s="97">
        <v>7607</v>
      </c>
      <c r="C1278" t="s">
        <v>248</v>
      </c>
      <c r="D1278" s="94" t="s">
        <v>385</v>
      </c>
      <c r="E1278" t="s">
        <v>45</v>
      </c>
      <c r="F1278" t="s">
        <v>573</v>
      </c>
      <c r="G1278" s="50" t="s">
        <v>574</v>
      </c>
      <c r="H1278" s="50">
        <v>2</v>
      </c>
      <c r="I1278" s="100">
        <v>6.7391919697301583</v>
      </c>
      <c r="J1278" s="52">
        <v>3834.68</v>
      </c>
      <c r="K1278" s="67">
        <f t="shared" si="80"/>
        <v>196584.99794752221</v>
      </c>
      <c r="L1278" s="95">
        <f>+VLOOKUP(E1278,MARGEN!A:B,2,FALSE)</f>
        <v>0.1</v>
      </c>
      <c r="M1278" s="112">
        <f t="shared" si="77"/>
        <v>19658.499794752221</v>
      </c>
      <c r="N1278" s="113">
        <f t="shared" si="78"/>
        <v>786.33999179008879</v>
      </c>
      <c r="O1278" s="113">
        <f t="shared" si="79"/>
        <v>176140.15816097989</v>
      </c>
    </row>
    <row r="1279" spans="1:15" x14ac:dyDescent="0.25">
      <c r="A1279" s="13">
        <v>44459</v>
      </c>
      <c r="B1279" s="97">
        <v>7535</v>
      </c>
      <c r="C1279" s="88" t="s">
        <v>179</v>
      </c>
      <c r="D1279" t="s">
        <v>361</v>
      </c>
      <c r="E1279" t="s">
        <v>45</v>
      </c>
      <c r="F1279" t="s">
        <v>573</v>
      </c>
      <c r="G1279" s="50" t="s">
        <v>574</v>
      </c>
      <c r="H1279" s="50">
        <v>2</v>
      </c>
      <c r="I1279" s="100">
        <v>6.7391919697301583</v>
      </c>
      <c r="J1279" s="52">
        <v>3834.68</v>
      </c>
      <c r="K1279" s="67">
        <f t="shared" si="80"/>
        <v>194724.32753182328</v>
      </c>
      <c r="L1279" s="95">
        <f>+VLOOKUP(E1279,MARGEN!A:B,2,FALSE)</f>
        <v>0.1</v>
      </c>
      <c r="M1279" s="112">
        <f t="shared" si="77"/>
        <v>19472.432753182329</v>
      </c>
      <c r="N1279" s="113">
        <f t="shared" si="78"/>
        <v>778.89731012729305</v>
      </c>
      <c r="O1279" s="113">
        <f t="shared" si="79"/>
        <v>174472.99746851364</v>
      </c>
    </row>
    <row r="1280" spans="1:15" x14ac:dyDescent="0.25">
      <c r="A1280" s="13">
        <v>44459</v>
      </c>
      <c r="B1280" s="97">
        <v>7415</v>
      </c>
      <c r="C1280" t="s">
        <v>143</v>
      </c>
      <c r="D1280" s="94" t="s">
        <v>489</v>
      </c>
      <c r="E1280" t="s">
        <v>45</v>
      </c>
      <c r="F1280" t="s">
        <v>573</v>
      </c>
      <c r="G1280" s="50" t="s">
        <v>574</v>
      </c>
      <c r="H1280" s="50">
        <v>2</v>
      </c>
      <c r="I1280" s="100">
        <v>6.7391919697301583</v>
      </c>
      <c r="J1280" s="52">
        <v>3834.68</v>
      </c>
      <c r="K1280" s="67">
        <f t="shared" si="80"/>
        <v>191623.21017232511</v>
      </c>
      <c r="L1280" s="95">
        <f>+VLOOKUP(E1280,MARGEN!A:B,2,FALSE)</f>
        <v>0.1</v>
      </c>
      <c r="M1280" s="112">
        <f t="shared" si="77"/>
        <v>19162.321017232513</v>
      </c>
      <c r="N1280" s="113">
        <f t="shared" si="78"/>
        <v>766.49284068930046</v>
      </c>
      <c r="O1280" s="113">
        <f t="shared" si="79"/>
        <v>171694.3963144033</v>
      </c>
    </row>
    <row r="1281" spans="1:15" x14ac:dyDescent="0.25">
      <c r="A1281" s="13">
        <v>44459</v>
      </c>
      <c r="B1281" s="97">
        <v>5639</v>
      </c>
      <c r="C1281" t="s">
        <v>275</v>
      </c>
      <c r="D1281" s="94" t="s">
        <v>519</v>
      </c>
      <c r="E1281" t="s">
        <v>45</v>
      </c>
      <c r="F1281" t="s">
        <v>573</v>
      </c>
      <c r="G1281" s="50" t="s">
        <v>574</v>
      </c>
      <c r="H1281" s="50">
        <v>2</v>
      </c>
      <c r="I1281" s="100">
        <v>6.7391919697301583</v>
      </c>
      <c r="J1281" s="52">
        <v>3834.68</v>
      </c>
      <c r="K1281" s="67">
        <f t="shared" si="80"/>
        <v>145726.67325175201</v>
      </c>
      <c r="L1281" s="95">
        <f>+VLOOKUP(E1281,MARGEN!A:B,2,FALSE)</f>
        <v>0.1</v>
      </c>
      <c r="M1281" s="112">
        <f t="shared" si="77"/>
        <v>14572.667325175202</v>
      </c>
      <c r="N1281" s="113">
        <f t="shared" si="78"/>
        <v>582.90669300700802</v>
      </c>
      <c r="O1281" s="113">
        <f t="shared" si="79"/>
        <v>130571.09923356981</v>
      </c>
    </row>
    <row r="1282" spans="1:15" x14ac:dyDescent="0.25">
      <c r="A1282" s="13">
        <v>44459</v>
      </c>
      <c r="B1282" s="97">
        <v>5543</v>
      </c>
      <c r="C1282" t="s">
        <v>116</v>
      </c>
      <c r="D1282" s="94" t="s">
        <v>330</v>
      </c>
      <c r="E1282" t="s">
        <v>45</v>
      </c>
      <c r="F1282" t="s">
        <v>573</v>
      </c>
      <c r="G1282" s="50" t="s">
        <v>574</v>
      </c>
      <c r="H1282" s="50">
        <v>2</v>
      </c>
      <c r="I1282" s="100">
        <v>6.7391919697301583</v>
      </c>
      <c r="J1282" s="52">
        <v>3834.68</v>
      </c>
      <c r="K1282" s="67">
        <f t="shared" si="80"/>
        <v>143245.77936415351</v>
      </c>
      <c r="L1282" s="95">
        <f>+VLOOKUP(E1282,MARGEN!A:B,2,FALSE)</f>
        <v>0.1</v>
      </c>
      <c r="M1282" s="112">
        <f t="shared" si="77"/>
        <v>14324.577936415351</v>
      </c>
      <c r="N1282" s="113">
        <f t="shared" si="78"/>
        <v>572.98311745661408</v>
      </c>
      <c r="O1282" s="113">
        <f t="shared" si="79"/>
        <v>128348.21831028153</v>
      </c>
    </row>
    <row r="1283" spans="1:15" x14ac:dyDescent="0.25">
      <c r="A1283" s="13">
        <v>44459</v>
      </c>
      <c r="B1283" s="97">
        <v>4535</v>
      </c>
      <c r="C1283" t="s">
        <v>76</v>
      </c>
      <c r="D1283" s="94" t="s">
        <v>332</v>
      </c>
      <c r="E1283" t="s">
        <v>45</v>
      </c>
      <c r="F1283" t="s">
        <v>573</v>
      </c>
      <c r="G1283" s="50" t="s">
        <v>574</v>
      </c>
      <c r="H1283" s="50">
        <v>2</v>
      </c>
      <c r="I1283" s="100">
        <v>6.7391919697301583</v>
      </c>
      <c r="J1283" s="52">
        <v>3834.68</v>
      </c>
      <c r="K1283" s="67">
        <f t="shared" si="80"/>
        <v>117196.39354436877</v>
      </c>
      <c r="L1283" s="95">
        <f>+VLOOKUP(E1283,MARGEN!A:B,2,FALSE)</f>
        <v>0.1</v>
      </c>
      <c r="M1283" s="112">
        <f t="shared" ref="M1283:M1346" si="81">+K1283*L1283</f>
        <v>11719.639354436877</v>
      </c>
      <c r="N1283" s="113">
        <f t="shared" ref="N1283:N1346" si="82">+K1283*4/1000</f>
        <v>468.78557417747504</v>
      </c>
      <c r="O1283" s="113">
        <f t="shared" ref="O1283:O1346" si="83">+K1283-M1283-N1283</f>
        <v>105007.96861575442</v>
      </c>
    </row>
    <row r="1284" spans="1:15" x14ac:dyDescent="0.25">
      <c r="A1284" s="13">
        <v>44459</v>
      </c>
      <c r="B1284" s="97">
        <v>4319</v>
      </c>
      <c r="C1284" t="s">
        <v>197</v>
      </c>
      <c r="D1284" s="94" t="s">
        <v>358</v>
      </c>
      <c r="E1284" t="s">
        <v>45</v>
      </c>
      <c r="F1284" t="s">
        <v>558</v>
      </c>
      <c r="G1284" s="50" t="s">
        <v>574</v>
      </c>
      <c r="H1284" s="50">
        <v>2</v>
      </c>
      <c r="I1284" s="100">
        <v>6.7391919697301583</v>
      </c>
      <c r="J1284" s="52">
        <v>3834.68</v>
      </c>
      <c r="K1284" s="67">
        <f t="shared" si="80"/>
        <v>111614.38229727202</v>
      </c>
      <c r="L1284" s="95">
        <f>+VLOOKUP(E1284,MARGEN!A:B,2,FALSE)</f>
        <v>0.1</v>
      </c>
      <c r="M1284" s="112">
        <f t="shared" si="81"/>
        <v>11161.438229727202</v>
      </c>
      <c r="N1284" s="113">
        <f t="shared" si="82"/>
        <v>446.45752918908806</v>
      </c>
      <c r="O1284" s="113">
        <f t="shared" si="83"/>
        <v>100006.48653835573</v>
      </c>
    </row>
    <row r="1285" spans="1:15" x14ac:dyDescent="0.25">
      <c r="A1285" s="13">
        <v>44459</v>
      </c>
      <c r="B1285" s="97">
        <v>4319</v>
      </c>
      <c r="C1285" t="s">
        <v>91</v>
      </c>
      <c r="D1285" s="94" t="s">
        <v>340</v>
      </c>
      <c r="E1285" t="s">
        <v>45</v>
      </c>
      <c r="F1285" t="s">
        <v>573</v>
      </c>
      <c r="G1285" s="50" t="s">
        <v>574</v>
      </c>
      <c r="H1285" s="50">
        <v>2</v>
      </c>
      <c r="I1285" s="100">
        <v>6.7391919697301583</v>
      </c>
      <c r="J1285" s="52">
        <v>3834.68</v>
      </c>
      <c r="K1285" s="67">
        <f t="shared" si="80"/>
        <v>111614.38229727202</v>
      </c>
      <c r="L1285" s="95">
        <f>+VLOOKUP(E1285,MARGEN!A:B,2,FALSE)</f>
        <v>0.1</v>
      </c>
      <c r="M1285" s="112">
        <f t="shared" si="81"/>
        <v>11161.438229727202</v>
      </c>
      <c r="N1285" s="113">
        <f t="shared" si="82"/>
        <v>446.45752918908806</v>
      </c>
      <c r="O1285" s="113">
        <f t="shared" si="83"/>
        <v>100006.48653835573</v>
      </c>
    </row>
    <row r="1286" spans="1:15" x14ac:dyDescent="0.25">
      <c r="A1286" s="13">
        <v>44459</v>
      </c>
      <c r="B1286" s="97">
        <v>4175</v>
      </c>
      <c r="C1286" t="s">
        <v>276</v>
      </c>
      <c r="D1286" s="94" t="s">
        <v>512</v>
      </c>
      <c r="E1286" t="s">
        <v>45</v>
      </c>
      <c r="F1286" t="s">
        <v>573</v>
      </c>
      <c r="G1286" s="50" t="s">
        <v>574</v>
      </c>
      <c r="H1286" s="50">
        <v>2</v>
      </c>
      <c r="I1286" s="100">
        <v>6.7391919697301583</v>
      </c>
      <c r="J1286" s="52">
        <v>3834.68</v>
      </c>
      <c r="K1286" s="67">
        <f t="shared" si="80"/>
        <v>107893.04146587422</v>
      </c>
      <c r="L1286" s="95">
        <f>+VLOOKUP(E1286,MARGEN!A:B,2,FALSE)</f>
        <v>0.1</v>
      </c>
      <c r="M1286" s="112">
        <f t="shared" si="81"/>
        <v>10789.304146587423</v>
      </c>
      <c r="N1286" s="113">
        <f t="shared" si="82"/>
        <v>431.57216586349688</v>
      </c>
      <c r="O1286" s="113">
        <f t="shared" si="83"/>
        <v>96672.165153423295</v>
      </c>
    </row>
    <row r="1287" spans="1:15" x14ac:dyDescent="0.25">
      <c r="A1287" s="13">
        <v>44459</v>
      </c>
      <c r="B1287" s="97">
        <v>4127</v>
      </c>
      <c r="C1287" t="s">
        <v>235</v>
      </c>
      <c r="D1287" s="94" t="s">
        <v>339</v>
      </c>
      <c r="E1287" t="s">
        <v>45</v>
      </c>
      <c r="F1287" t="s">
        <v>573</v>
      </c>
      <c r="G1287" s="50" t="s">
        <v>574</v>
      </c>
      <c r="H1287" s="50">
        <v>2</v>
      </c>
      <c r="I1287" s="100">
        <v>6.7391919697301583</v>
      </c>
      <c r="J1287" s="52">
        <v>3834.68</v>
      </c>
      <c r="K1287" s="67">
        <f t="shared" si="80"/>
        <v>106652.59452207494</v>
      </c>
      <c r="L1287" s="95">
        <f>+VLOOKUP(E1287,MARGEN!A:B,2,FALSE)</f>
        <v>0.1</v>
      </c>
      <c r="M1287" s="112">
        <f t="shared" si="81"/>
        <v>10665.259452207494</v>
      </c>
      <c r="N1287" s="113">
        <f t="shared" si="82"/>
        <v>426.61037808829974</v>
      </c>
      <c r="O1287" s="113">
        <f t="shared" si="83"/>
        <v>95560.724691779149</v>
      </c>
    </row>
    <row r="1288" spans="1:15" x14ac:dyDescent="0.25">
      <c r="A1288" s="13">
        <v>44459</v>
      </c>
      <c r="B1288" s="97">
        <v>4103</v>
      </c>
      <c r="C1288" t="s">
        <v>234</v>
      </c>
      <c r="D1288" s="94" t="s">
        <v>331</v>
      </c>
      <c r="E1288" t="s">
        <v>45</v>
      </c>
      <c r="F1288" t="s">
        <v>573</v>
      </c>
      <c r="G1288" s="50" t="s">
        <v>574</v>
      </c>
      <c r="H1288" s="50">
        <v>2</v>
      </c>
      <c r="I1288" s="100">
        <v>6.7391919697301583</v>
      </c>
      <c r="J1288" s="52">
        <v>3834.68</v>
      </c>
      <c r="K1288" s="67">
        <f t="shared" si="80"/>
        <v>106032.37105017531</v>
      </c>
      <c r="L1288" s="95">
        <f>+VLOOKUP(E1288,MARGEN!A:B,2,FALSE)</f>
        <v>0.1</v>
      </c>
      <c r="M1288" s="112">
        <f t="shared" si="81"/>
        <v>10603.237105017532</v>
      </c>
      <c r="N1288" s="113">
        <f t="shared" si="82"/>
        <v>424.12948420070126</v>
      </c>
      <c r="O1288" s="113">
        <f t="shared" si="83"/>
        <v>95005.004460957076</v>
      </c>
    </row>
    <row r="1289" spans="1:15" x14ac:dyDescent="0.25">
      <c r="A1289" s="13">
        <v>44459</v>
      </c>
      <c r="B1289" s="97">
        <v>3911</v>
      </c>
      <c r="C1289" t="s">
        <v>71</v>
      </c>
      <c r="D1289" s="94" t="s">
        <v>337</v>
      </c>
      <c r="E1289" t="s">
        <v>45</v>
      </c>
      <c r="F1289" t="s">
        <v>573</v>
      </c>
      <c r="G1289" s="50" t="s">
        <v>574</v>
      </c>
      <c r="H1289" s="50">
        <v>2</v>
      </c>
      <c r="I1289" s="100">
        <v>6.7391919697301583</v>
      </c>
      <c r="J1289" s="52">
        <v>3834.68</v>
      </c>
      <c r="K1289" s="67">
        <f t="shared" ref="K1289:K1352" si="84">+B1289*I1289*J1289/1000</f>
        <v>101070.58327497823</v>
      </c>
      <c r="L1289" s="95">
        <f>+VLOOKUP(E1289,MARGEN!A:B,2,FALSE)</f>
        <v>0.1</v>
      </c>
      <c r="M1289" s="112">
        <f t="shared" si="81"/>
        <v>10107.058327497823</v>
      </c>
      <c r="N1289" s="113">
        <f t="shared" si="82"/>
        <v>404.28233309991293</v>
      </c>
      <c r="O1289" s="113">
        <f t="shared" si="83"/>
        <v>90559.242614380491</v>
      </c>
    </row>
    <row r="1290" spans="1:15" x14ac:dyDescent="0.25">
      <c r="A1290" s="13">
        <v>44459</v>
      </c>
      <c r="B1290" s="51">
        <v>3695</v>
      </c>
      <c r="C1290" s="66" t="s">
        <v>177</v>
      </c>
      <c r="D1290" s="66" t="s">
        <v>355</v>
      </c>
      <c r="E1290" t="s">
        <v>45</v>
      </c>
      <c r="F1290" s="50" t="s">
        <v>573</v>
      </c>
      <c r="G1290" s="50" t="s">
        <v>574</v>
      </c>
      <c r="H1290" s="50">
        <v>2</v>
      </c>
      <c r="I1290" s="100">
        <v>6.7391919697301583</v>
      </c>
      <c r="J1290" s="52">
        <v>3834.68</v>
      </c>
      <c r="K1290" s="67">
        <f t="shared" si="84"/>
        <v>95488.572027881484</v>
      </c>
      <c r="L1290" s="95">
        <f>+VLOOKUP(E1290,MARGEN!A:B,2,FALSE)</f>
        <v>0.1</v>
      </c>
      <c r="M1290" s="112">
        <f t="shared" si="81"/>
        <v>9548.8572027881492</v>
      </c>
      <c r="N1290" s="113">
        <f t="shared" si="82"/>
        <v>381.95428811152595</v>
      </c>
      <c r="O1290" s="113">
        <f t="shared" si="83"/>
        <v>85557.760536981819</v>
      </c>
    </row>
    <row r="1291" spans="1:15" x14ac:dyDescent="0.25">
      <c r="A1291" s="13">
        <v>44459</v>
      </c>
      <c r="B1291" s="97">
        <v>3527</v>
      </c>
      <c r="C1291" t="s">
        <v>269</v>
      </c>
      <c r="D1291" s="94" t="s">
        <v>520</v>
      </c>
      <c r="E1291" t="s">
        <v>45</v>
      </c>
      <c r="F1291" t="s">
        <v>558</v>
      </c>
      <c r="G1291" s="50" t="s">
        <v>574</v>
      </c>
      <c r="H1291" s="50">
        <v>2</v>
      </c>
      <c r="I1291" s="100">
        <v>6.7391919697301583</v>
      </c>
      <c r="J1291" s="52">
        <v>3834.68</v>
      </c>
      <c r="K1291" s="67">
        <f t="shared" si="84"/>
        <v>91147.007724584022</v>
      </c>
      <c r="L1291" s="95">
        <f>+VLOOKUP(E1291,MARGEN!A:B,2,FALSE)</f>
        <v>0.1</v>
      </c>
      <c r="M1291" s="112">
        <f t="shared" si="81"/>
        <v>9114.7007724584018</v>
      </c>
      <c r="N1291" s="113">
        <f t="shared" si="82"/>
        <v>364.58803089833611</v>
      </c>
      <c r="O1291" s="113">
        <f t="shared" si="83"/>
        <v>81667.718921227293</v>
      </c>
    </row>
    <row r="1292" spans="1:15" x14ac:dyDescent="0.25">
      <c r="A1292" s="13">
        <v>44459</v>
      </c>
      <c r="B1292" s="97">
        <v>3143</v>
      </c>
      <c r="C1292" t="s">
        <v>277</v>
      </c>
      <c r="D1292" s="94" t="s">
        <v>513</v>
      </c>
      <c r="E1292" t="s">
        <v>45</v>
      </c>
      <c r="F1292" t="s">
        <v>573</v>
      </c>
      <c r="G1292" s="50" t="s">
        <v>574</v>
      </c>
      <c r="H1292" s="50">
        <v>2</v>
      </c>
      <c r="I1292" s="100">
        <v>6.7391919697301583</v>
      </c>
      <c r="J1292" s="52">
        <v>3834.68</v>
      </c>
      <c r="K1292" s="67">
        <f t="shared" si="84"/>
        <v>81223.43217418986</v>
      </c>
      <c r="L1292" s="95">
        <f>+VLOOKUP(E1292,MARGEN!A:B,2,FALSE)</f>
        <v>0.1</v>
      </c>
      <c r="M1292" s="112">
        <f t="shared" si="81"/>
        <v>8122.3432174189866</v>
      </c>
      <c r="N1292" s="113">
        <f t="shared" si="82"/>
        <v>324.89372869675947</v>
      </c>
      <c r="O1292" s="113">
        <f t="shared" si="83"/>
        <v>72776.195228074124</v>
      </c>
    </row>
    <row r="1293" spans="1:15" x14ac:dyDescent="0.25">
      <c r="A1293" s="13">
        <v>44459</v>
      </c>
      <c r="B1293" s="97">
        <v>2879</v>
      </c>
      <c r="C1293" t="s">
        <v>139</v>
      </c>
      <c r="D1293" t="s">
        <v>327</v>
      </c>
      <c r="E1293" t="s">
        <v>45</v>
      </c>
      <c r="F1293" t="s">
        <v>573</v>
      </c>
      <c r="G1293" s="50" t="s">
        <v>574</v>
      </c>
      <c r="H1293" s="50">
        <v>2</v>
      </c>
      <c r="I1293" s="100">
        <v>6.7391919697301583</v>
      </c>
      <c r="J1293" s="52">
        <v>3834.68</v>
      </c>
      <c r="K1293" s="67">
        <f t="shared" si="84"/>
        <v>74400.973983293865</v>
      </c>
      <c r="L1293" s="95">
        <f>+VLOOKUP(E1293,MARGEN!A:B,2,FALSE)</f>
        <v>0.1</v>
      </c>
      <c r="M1293" s="112">
        <f t="shared" si="81"/>
        <v>7440.097398329387</v>
      </c>
      <c r="N1293" s="113">
        <f t="shared" si="82"/>
        <v>297.60389593317547</v>
      </c>
      <c r="O1293" s="113">
        <f t="shared" si="83"/>
        <v>66663.272689031306</v>
      </c>
    </row>
    <row r="1294" spans="1:15" x14ac:dyDescent="0.25">
      <c r="A1294" s="13">
        <v>44459</v>
      </c>
      <c r="B1294" s="97">
        <v>2855</v>
      </c>
      <c r="C1294" t="s">
        <v>268</v>
      </c>
      <c r="D1294" s="94" t="s">
        <v>514</v>
      </c>
      <c r="E1294" t="s">
        <v>45</v>
      </c>
      <c r="F1294" t="s">
        <v>573</v>
      </c>
      <c r="G1294" s="50" t="s">
        <v>574</v>
      </c>
      <c r="H1294" s="50">
        <v>2</v>
      </c>
      <c r="I1294" s="100">
        <v>6.7391919697301583</v>
      </c>
      <c r="J1294" s="52">
        <v>3834.68</v>
      </c>
      <c r="K1294" s="67">
        <f t="shared" si="84"/>
        <v>73780.750511394232</v>
      </c>
      <c r="L1294" s="95">
        <f>+VLOOKUP(E1294,MARGEN!A:B,2,FALSE)</f>
        <v>0.1</v>
      </c>
      <c r="M1294" s="112">
        <f t="shared" si="81"/>
        <v>7378.0750511394235</v>
      </c>
      <c r="N1294" s="113">
        <f t="shared" si="82"/>
        <v>295.12300204557692</v>
      </c>
      <c r="O1294" s="113">
        <f t="shared" si="83"/>
        <v>66107.552458209218</v>
      </c>
    </row>
    <row r="1295" spans="1:15" x14ac:dyDescent="0.25">
      <c r="A1295" s="13">
        <v>44459</v>
      </c>
      <c r="B1295" s="97">
        <v>2831</v>
      </c>
      <c r="C1295" t="s">
        <v>99</v>
      </c>
      <c r="D1295" s="94" t="s">
        <v>366</v>
      </c>
      <c r="E1295" t="s">
        <v>45</v>
      </c>
      <c r="F1295" t="s">
        <v>558</v>
      </c>
      <c r="G1295" s="50" t="s">
        <v>574</v>
      </c>
      <c r="H1295" s="50">
        <v>2</v>
      </c>
      <c r="I1295" s="100">
        <v>6.7391919697301583</v>
      </c>
      <c r="J1295" s="52">
        <v>3834.68</v>
      </c>
      <c r="K1295" s="67">
        <f t="shared" si="84"/>
        <v>73160.527039494584</v>
      </c>
      <c r="L1295" s="95">
        <f>+VLOOKUP(E1295,MARGEN!A:B,2,FALSE)</f>
        <v>0.1</v>
      </c>
      <c r="M1295" s="112">
        <f t="shared" si="81"/>
        <v>7316.0527039494591</v>
      </c>
      <c r="N1295" s="113">
        <f t="shared" si="82"/>
        <v>292.64210815797833</v>
      </c>
      <c r="O1295" s="113">
        <f t="shared" si="83"/>
        <v>65551.832227387145</v>
      </c>
    </row>
    <row r="1296" spans="1:15" x14ac:dyDescent="0.25">
      <c r="A1296" s="13">
        <v>44459</v>
      </c>
      <c r="B1296" s="97">
        <v>2807</v>
      </c>
      <c r="C1296" t="s">
        <v>178</v>
      </c>
      <c r="D1296" s="94" t="s">
        <v>370</v>
      </c>
      <c r="E1296" t="s">
        <v>45</v>
      </c>
      <c r="F1296" t="s">
        <v>573</v>
      </c>
      <c r="G1296" s="50" t="s">
        <v>574</v>
      </c>
      <c r="H1296" s="50">
        <v>2</v>
      </c>
      <c r="I1296" s="100">
        <v>6.7391919697301583</v>
      </c>
      <c r="J1296" s="52">
        <v>3834.68</v>
      </c>
      <c r="K1296" s="67">
        <f t="shared" si="84"/>
        <v>72540.303567594965</v>
      </c>
      <c r="L1296" s="95">
        <f>+VLOOKUP(E1296,MARGEN!A:B,2,FALSE)</f>
        <v>0.1</v>
      </c>
      <c r="M1296" s="112">
        <f t="shared" si="81"/>
        <v>7254.0303567594965</v>
      </c>
      <c r="N1296" s="113">
        <f t="shared" si="82"/>
        <v>290.16121427037984</v>
      </c>
      <c r="O1296" s="113">
        <f t="shared" si="83"/>
        <v>64996.111996565087</v>
      </c>
    </row>
    <row r="1297" spans="1:15" x14ac:dyDescent="0.25">
      <c r="A1297" s="13">
        <v>44459</v>
      </c>
      <c r="B1297" s="97">
        <v>2663</v>
      </c>
      <c r="C1297" t="s">
        <v>138</v>
      </c>
      <c r="D1297" s="94" t="s">
        <v>321</v>
      </c>
      <c r="E1297" t="s">
        <v>45</v>
      </c>
      <c r="F1297" t="s">
        <v>573</v>
      </c>
      <c r="G1297" s="50" t="s">
        <v>574</v>
      </c>
      <c r="H1297" s="50">
        <v>2</v>
      </c>
      <c r="I1297" s="100">
        <v>6.7391919697301583</v>
      </c>
      <c r="J1297" s="52">
        <v>3834.68</v>
      </c>
      <c r="K1297" s="67">
        <f t="shared" si="84"/>
        <v>68818.962736197136</v>
      </c>
      <c r="L1297" s="95">
        <f>+VLOOKUP(E1297,MARGEN!A:B,2,FALSE)</f>
        <v>0.1</v>
      </c>
      <c r="M1297" s="112">
        <f t="shared" si="81"/>
        <v>6881.8962736197136</v>
      </c>
      <c r="N1297" s="113">
        <f t="shared" si="82"/>
        <v>275.27585094478854</v>
      </c>
      <c r="O1297" s="113">
        <f t="shared" si="83"/>
        <v>61661.790611632634</v>
      </c>
    </row>
    <row r="1298" spans="1:15" x14ac:dyDescent="0.25">
      <c r="A1298" s="13">
        <v>44459</v>
      </c>
      <c r="B1298" s="97">
        <v>2183</v>
      </c>
      <c r="C1298" t="s">
        <v>560</v>
      </c>
      <c r="D1298" s="94" t="s">
        <v>561</v>
      </c>
      <c r="E1298" t="s">
        <v>45</v>
      </c>
      <c r="F1298" t="s">
        <v>573</v>
      </c>
      <c r="G1298" s="50" t="s">
        <v>574</v>
      </c>
      <c r="H1298" s="50">
        <v>2</v>
      </c>
      <c r="I1298" s="100">
        <v>6.7391919697301583</v>
      </c>
      <c r="J1298" s="52">
        <v>3834.68</v>
      </c>
      <c r="K1298" s="67">
        <f t="shared" si="84"/>
        <v>56414.493298204405</v>
      </c>
      <c r="L1298" s="95">
        <f>+VLOOKUP(E1298,MARGEN!A:B,2,FALSE)</f>
        <v>0.1</v>
      </c>
      <c r="M1298" s="112">
        <f t="shared" si="81"/>
        <v>5641.4493298204407</v>
      </c>
      <c r="N1298" s="113">
        <f t="shared" si="82"/>
        <v>225.65797319281762</v>
      </c>
      <c r="O1298" s="113">
        <f t="shared" si="83"/>
        <v>50547.385995191151</v>
      </c>
    </row>
    <row r="1299" spans="1:15" x14ac:dyDescent="0.25">
      <c r="A1299" s="13">
        <v>44459</v>
      </c>
      <c r="B1299" s="97">
        <v>2135</v>
      </c>
      <c r="C1299" t="s">
        <v>246</v>
      </c>
      <c r="D1299" s="94" t="s">
        <v>373</v>
      </c>
      <c r="E1299" t="s">
        <v>45</v>
      </c>
      <c r="F1299" t="s">
        <v>558</v>
      </c>
      <c r="G1299" s="50" t="s">
        <v>574</v>
      </c>
      <c r="H1299" s="50">
        <v>2</v>
      </c>
      <c r="I1299" s="100">
        <v>6.7391919697301583</v>
      </c>
      <c r="J1299" s="52">
        <v>3834.68</v>
      </c>
      <c r="K1299" s="67">
        <f t="shared" si="84"/>
        <v>55174.046354405145</v>
      </c>
      <c r="L1299" s="95">
        <f>+VLOOKUP(E1299,MARGEN!A:B,2,FALSE)</f>
        <v>0.1</v>
      </c>
      <c r="M1299" s="112">
        <f t="shared" si="81"/>
        <v>5517.4046354405145</v>
      </c>
      <c r="N1299" s="113">
        <f t="shared" si="82"/>
        <v>220.69618541762057</v>
      </c>
      <c r="O1299" s="113">
        <f t="shared" si="83"/>
        <v>49435.945533547012</v>
      </c>
    </row>
    <row r="1300" spans="1:15" x14ac:dyDescent="0.25">
      <c r="A1300" s="13">
        <v>44459</v>
      </c>
      <c r="B1300" s="97">
        <v>2087</v>
      </c>
      <c r="C1300" t="s">
        <v>92</v>
      </c>
      <c r="D1300" s="94" t="s">
        <v>490</v>
      </c>
      <c r="E1300" t="s">
        <v>45</v>
      </c>
      <c r="F1300" t="s">
        <v>573</v>
      </c>
      <c r="G1300" s="50" t="s">
        <v>574</v>
      </c>
      <c r="H1300" s="50">
        <v>2</v>
      </c>
      <c r="I1300" s="100">
        <v>6.7391919697301583</v>
      </c>
      <c r="J1300" s="52">
        <v>3834.68</v>
      </c>
      <c r="K1300" s="67">
        <f t="shared" si="84"/>
        <v>53933.599410605872</v>
      </c>
      <c r="L1300" s="95">
        <f>+VLOOKUP(E1300,MARGEN!A:B,2,FALSE)</f>
        <v>0.1</v>
      </c>
      <c r="M1300" s="112">
        <f t="shared" si="81"/>
        <v>5393.3599410605875</v>
      </c>
      <c r="N1300" s="113">
        <f t="shared" si="82"/>
        <v>215.73439764242349</v>
      </c>
      <c r="O1300" s="113">
        <f t="shared" si="83"/>
        <v>48324.505071902859</v>
      </c>
    </row>
    <row r="1301" spans="1:15" x14ac:dyDescent="0.25">
      <c r="A1301" s="13">
        <v>44459</v>
      </c>
      <c r="B1301" s="97">
        <v>2087</v>
      </c>
      <c r="C1301" t="s">
        <v>103</v>
      </c>
      <c r="D1301" s="94" t="s">
        <v>342</v>
      </c>
      <c r="E1301" t="s">
        <v>45</v>
      </c>
      <c r="F1301" t="s">
        <v>573</v>
      </c>
      <c r="G1301" s="50" t="s">
        <v>574</v>
      </c>
      <c r="H1301" s="50">
        <v>2</v>
      </c>
      <c r="I1301" s="100">
        <v>6.7391919697301583</v>
      </c>
      <c r="J1301" s="52">
        <v>3834.68</v>
      </c>
      <c r="K1301" s="67">
        <f t="shared" si="84"/>
        <v>53933.599410605872</v>
      </c>
      <c r="L1301" s="95">
        <f>+VLOOKUP(E1301,MARGEN!A:B,2,FALSE)</f>
        <v>0.1</v>
      </c>
      <c r="M1301" s="112">
        <f t="shared" si="81"/>
        <v>5393.3599410605875</v>
      </c>
      <c r="N1301" s="113">
        <f t="shared" si="82"/>
        <v>215.73439764242349</v>
      </c>
      <c r="O1301" s="113">
        <f t="shared" si="83"/>
        <v>48324.505071902859</v>
      </c>
    </row>
    <row r="1302" spans="1:15" x14ac:dyDescent="0.25">
      <c r="A1302" s="13">
        <v>44459</v>
      </c>
      <c r="B1302" s="97">
        <v>1871</v>
      </c>
      <c r="C1302" t="s">
        <v>198</v>
      </c>
      <c r="D1302" t="s">
        <v>326</v>
      </c>
      <c r="E1302" t="s">
        <v>45</v>
      </c>
      <c r="F1302" t="s">
        <v>573</v>
      </c>
      <c r="G1302" s="50" t="s">
        <v>574</v>
      </c>
      <c r="H1302" s="50">
        <v>2</v>
      </c>
      <c r="I1302" s="100">
        <v>6.7391919697301583</v>
      </c>
      <c r="J1302" s="52">
        <v>3834.68</v>
      </c>
      <c r="K1302" s="67">
        <f t="shared" si="84"/>
        <v>48351.588163509143</v>
      </c>
      <c r="L1302" s="95">
        <f>+VLOOKUP(E1302,MARGEN!A:B,2,FALSE)</f>
        <v>0.1</v>
      </c>
      <c r="M1302" s="112">
        <f t="shared" si="81"/>
        <v>4835.1588163509141</v>
      </c>
      <c r="N1302" s="113">
        <f t="shared" si="82"/>
        <v>193.40635265403657</v>
      </c>
      <c r="O1302" s="113">
        <f t="shared" si="83"/>
        <v>43323.022994504194</v>
      </c>
    </row>
    <row r="1303" spans="1:15" x14ac:dyDescent="0.25">
      <c r="A1303" s="13">
        <v>44459</v>
      </c>
      <c r="B1303" s="97">
        <v>1847</v>
      </c>
      <c r="C1303" t="s">
        <v>270</v>
      </c>
      <c r="D1303" s="94" t="s">
        <v>491</v>
      </c>
      <c r="E1303" t="s">
        <v>45</v>
      </c>
      <c r="F1303" t="s">
        <v>573</v>
      </c>
      <c r="G1303" s="50" t="s">
        <v>574</v>
      </c>
      <c r="H1303" s="50">
        <v>2</v>
      </c>
      <c r="I1303" s="100">
        <v>6.7391919697301583</v>
      </c>
      <c r="J1303" s="52">
        <v>3834.68</v>
      </c>
      <c r="K1303" s="67">
        <f t="shared" si="84"/>
        <v>47731.364691609502</v>
      </c>
      <c r="L1303" s="95">
        <f>+VLOOKUP(E1303,MARGEN!A:B,2,FALSE)</f>
        <v>0.1</v>
      </c>
      <c r="M1303" s="112">
        <f t="shared" si="81"/>
        <v>4773.1364691609506</v>
      </c>
      <c r="N1303" s="113">
        <f t="shared" si="82"/>
        <v>190.925458766438</v>
      </c>
      <c r="O1303" s="113">
        <f t="shared" si="83"/>
        <v>42767.302763682113</v>
      </c>
    </row>
    <row r="1304" spans="1:15" x14ac:dyDescent="0.25">
      <c r="A1304" s="13">
        <v>44459</v>
      </c>
      <c r="B1304" s="97">
        <v>1727</v>
      </c>
      <c r="C1304" t="s">
        <v>190</v>
      </c>
      <c r="D1304" s="94" t="s">
        <v>356</v>
      </c>
      <c r="E1304" t="s">
        <v>45</v>
      </c>
      <c r="F1304" t="s">
        <v>573</v>
      </c>
      <c r="G1304" s="50" t="s">
        <v>574</v>
      </c>
      <c r="H1304" s="50">
        <v>2</v>
      </c>
      <c r="I1304" s="100">
        <v>6.7391919697301583</v>
      </c>
      <c r="J1304" s="52">
        <v>3834.68</v>
      </c>
      <c r="K1304" s="67">
        <f t="shared" si="84"/>
        <v>44630.247332111321</v>
      </c>
      <c r="L1304" s="95">
        <f>+VLOOKUP(E1304,MARGEN!A:B,2,FALSE)</f>
        <v>0.1</v>
      </c>
      <c r="M1304" s="112">
        <f t="shared" si="81"/>
        <v>4463.0247332111321</v>
      </c>
      <c r="N1304" s="113">
        <f t="shared" si="82"/>
        <v>178.5209893284453</v>
      </c>
      <c r="O1304" s="113">
        <f t="shared" si="83"/>
        <v>39988.701609571741</v>
      </c>
    </row>
    <row r="1305" spans="1:15" x14ac:dyDescent="0.25">
      <c r="A1305" s="13">
        <v>44459</v>
      </c>
      <c r="B1305" s="97">
        <v>1535</v>
      </c>
      <c r="C1305" t="s">
        <v>273</v>
      </c>
      <c r="D1305" s="94" t="s">
        <v>515</v>
      </c>
      <c r="E1305" t="s">
        <v>45</v>
      </c>
      <c r="F1305" t="s">
        <v>573</v>
      </c>
      <c r="G1305" s="50" t="s">
        <v>574</v>
      </c>
      <c r="H1305" s="50">
        <v>2</v>
      </c>
      <c r="I1305" s="100">
        <v>6.7391919697301583</v>
      </c>
      <c r="J1305" s="52">
        <v>3834.68</v>
      </c>
      <c r="K1305" s="67">
        <f t="shared" si="84"/>
        <v>39668.459556914233</v>
      </c>
      <c r="L1305" s="95">
        <f>+VLOOKUP(E1305,MARGEN!A:B,2,FALSE)</f>
        <v>0.1</v>
      </c>
      <c r="M1305" s="112">
        <f t="shared" si="81"/>
        <v>3966.8459556914236</v>
      </c>
      <c r="N1305" s="113">
        <f t="shared" si="82"/>
        <v>158.67383822765694</v>
      </c>
      <c r="O1305" s="113">
        <f t="shared" si="83"/>
        <v>35542.939762995149</v>
      </c>
    </row>
    <row r="1306" spans="1:15" x14ac:dyDescent="0.25">
      <c r="A1306" s="13">
        <v>44459</v>
      </c>
      <c r="B1306" s="97">
        <v>1391</v>
      </c>
      <c r="C1306" t="s">
        <v>107</v>
      </c>
      <c r="D1306" s="94" t="s">
        <v>346</v>
      </c>
      <c r="E1306" t="s">
        <v>45</v>
      </c>
      <c r="F1306" t="s">
        <v>573</v>
      </c>
      <c r="G1306" s="50" t="s">
        <v>574</v>
      </c>
      <c r="H1306" s="50">
        <v>2</v>
      </c>
      <c r="I1306" s="100">
        <v>6.7391919697301583</v>
      </c>
      <c r="J1306" s="52">
        <v>3834.68</v>
      </c>
      <c r="K1306" s="67">
        <f t="shared" si="84"/>
        <v>35947.118725516419</v>
      </c>
      <c r="L1306" s="95">
        <f>+VLOOKUP(E1306,MARGEN!A:B,2,FALSE)</f>
        <v>0.1</v>
      </c>
      <c r="M1306" s="112">
        <f t="shared" si="81"/>
        <v>3594.711872551642</v>
      </c>
      <c r="N1306" s="113">
        <f t="shared" si="82"/>
        <v>143.78847490206567</v>
      </c>
      <c r="O1306" s="113">
        <f t="shared" si="83"/>
        <v>32208.618378062711</v>
      </c>
    </row>
    <row r="1307" spans="1:15" x14ac:dyDescent="0.25">
      <c r="A1307" s="13">
        <v>44460</v>
      </c>
      <c r="B1307" s="97">
        <v>16343</v>
      </c>
      <c r="C1307" t="s">
        <v>78</v>
      </c>
      <c r="D1307" s="94" t="s">
        <v>412</v>
      </c>
      <c r="E1307" t="s">
        <v>45</v>
      </c>
      <c r="F1307" t="s">
        <v>573</v>
      </c>
      <c r="G1307" s="50" t="s">
        <v>574</v>
      </c>
      <c r="H1307" s="50">
        <v>2</v>
      </c>
      <c r="I1307" s="100">
        <v>6.7391919697301583</v>
      </c>
      <c r="J1307" s="52">
        <v>3834.68</v>
      </c>
      <c r="K1307" s="67">
        <f t="shared" si="84"/>
        <v>422346.34171898977</v>
      </c>
      <c r="L1307" s="95">
        <f>+VLOOKUP(E1307,MARGEN!A:B,2,FALSE)</f>
        <v>0.1</v>
      </c>
      <c r="M1307" s="112">
        <f t="shared" si="81"/>
        <v>42234.634171898979</v>
      </c>
      <c r="N1307" s="113">
        <f t="shared" si="82"/>
        <v>1689.3853668759591</v>
      </c>
      <c r="O1307" s="113">
        <f t="shared" si="83"/>
        <v>378422.3221802148</v>
      </c>
    </row>
    <row r="1308" spans="1:15" x14ac:dyDescent="0.25">
      <c r="A1308" s="13">
        <v>44460</v>
      </c>
      <c r="B1308" s="97">
        <v>12815</v>
      </c>
      <c r="C1308" t="s">
        <v>73</v>
      </c>
      <c r="D1308" t="s">
        <v>338</v>
      </c>
      <c r="E1308" t="s">
        <v>45</v>
      </c>
      <c r="F1308" t="s">
        <v>573</v>
      </c>
      <c r="G1308" s="50" t="s">
        <v>574</v>
      </c>
      <c r="H1308" s="50">
        <v>2</v>
      </c>
      <c r="I1308" s="100">
        <v>6.7391919697301583</v>
      </c>
      <c r="J1308" s="52">
        <v>3834.68</v>
      </c>
      <c r="K1308" s="67">
        <f t="shared" si="84"/>
        <v>331173.49134974327</v>
      </c>
      <c r="L1308" s="95">
        <f>+VLOOKUP(E1308,MARGEN!A:B,2,FALSE)</f>
        <v>0.1</v>
      </c>
      <c r="M1308" s="112">
        <f t="shared" si="81"/>
        <v>33117.349134974327</v>
      </c>
      <c r="N1308" s="113">
        <f t="shared" si="82"/>
        <v>1324.693965398973</v>
      </c>
      <c r="O1308" s="113">
        <f t="shared" si="83"/>
        <v>296731.44824936992</v>
      </c>
    </row>
    <row r="1309" spans="1:15" x14ac:dyDescent="0.25">
      <c r="A1309" s="13">
        <v>44460</v>
      </c>
      <c r="B1309" s="97">
        <v>9935</v>
      </c>
      <c r="C1309" t="s">
        <v>95</v>
      </c>
      <c r="D1309" s="94" t="s">
        <v>510</v>
      </c>
      <c r="E1309" t="s">
        <v>45</v>
      </c>
      <c r="F1309" t="s">
        <v>573</v>
      </c>
      <c r="G1309" s="50" t="s">
        <v>574</v>
      </c>
      <c r="H1309" s="50">
        <v>2</v>
      </c>
      <c r="I1309" s="100">
        <v>6.7391919697301583</v>
      </c>
      <c r="J1309" s="52">
        <v>3834.68</v>
      </c>
      <c r="K1309" s="67">
        <f t="shared" si="84"/>
        <v>256746.6747217869</v>
      </c>
      <c r="L1309" s="95">
        <f>+VLOOKUP(E1309,MARGEN!A:B,2,FALSE)</f>
        <v>0.1</v>
      </c>
      <c r="M1309" s="112">
        <f t="shared" si="81"/>
        <v>25674.667472178691</v>
      </c>
      <c r="N1309" s="113">
        <f t="shared" si="82"/>
        <v>1026.9866988871477</v>
      </c>
      <c r="O1309" s="113">
        <f t="shared" si="83"/>
        <v>230045.02055072106</v>
      </c>
    </row>
    <row r="1310" spans="1:15" x14ac:dyDescent="0.25">
      <c r="A1310" s="13">
        <v>44460</v>
      </c>
      <c r="B1310" s="97">
        <v>8254</v>
      </c>
      <c r="C1310" t="s">
        <v>191</v>
      </c>
      <c r="D1310" s="94" t="s">
        <v>354</v>
      </c>
      <c r="E1310" t="s">
        <v>45</v>
      </c>
      <c r="F1310" t="s">
        <v>558</v>
      </c>
      <c r="G1310" s="50" t="s">
        <v>574</v>
      </c>
      <c r="H1310" s="50">
        <v>2</v>
      </c>
      <c r="I1310" s="100">
        <v>6.7391919697301583</v>
      </c>
      <c r="J1310" s="52">
        <v>3834.68</v>
      </c>
      <c r="K1310" s="67">
        <f t="shared" si="84"/>
        <v>213305.18904414988</v>
      </c>
      <c r="L1310" s="95">
        <f>+VLOOKUP(E1310,MARGEN!A:B,2,FALSE)</f>
        <v>0.1</v>
      </c>
      <c r="M1310" s="112">
        <f t="shared" si="81"/>
        <v>21330.518904414988</v>
      </c>
      <c r="N1310" s="113">
        <f t="shared" si="82"/>
        <v>853.22075617659948</v>
      </c>
      <c r="O1310" s="113">
        <f t="shared" si="83"/>
        <v>191121.4493835583</v>
      </c>
    </row>
    <row r="1311" spans="1:15" x14ac:dyDescent="0.25">
      <c r="A1311" s="13">
        <v>44460</v>
      </c>
      <c r="B1311" s="97">
        <v>8230</v>
      </c>
      <c r="C1311" t="s">
        <v>90</v>
      </c>
      <c r="D1311" t="s">
        <v>350</v>
      </c>
      <c r="E1311" t="s">
        <v>45</v>
      </c>
      <c r="F1311" t="s">
        <v>558</v>
      </c>
      <c r="G1311" s="50" t="s">
        <v>574</v>
      </c>
      <c r="H1311" s="50">
        <v>2</v>
      </c>
      <c r="I1311" s="100">
        <v>6.7391919697301583</v>
      </c>
      <c r="J1311" s="52">
        <v>3834.68</v>
      </c>
      <c r="K1311" s="67">
        <f t="shared" si="84"/>
        <v>212684.96557225028</v>
      </c>
      <c r="L1311" s="95">
        <f>+VLOOKUP(E1311,MARGEN!A:B,2,FALSE)</f>
        <v>0.1</v>
      </c>
      <c r="M1311" s="112">
        <f t="shared" si="81"/>
        <v>21268.496557225029</v>
      </c>
      <c r="N1311" s="113">
        <f t="shared" si="82"/>
        <v>850.73986228900117</v>
      </c>
      <c r="O1311" s="113">
        <f t="shared" si="83"/>
        <v>190565.72915273625</v>
      </c>
    </row>
    <row r="1312" spans="1:15" x14ac:dyDescent="0.25">
      <c r="A1312" s="13">
        <v>44460</v>
      </c>
      <c r="B1312" s="97">
        <v>7607</v>
      </c>
      <c r="C1312" t="s">
        <v>248</v>
      </c>
      <c r="D1312" s="94" t="s">
        <v>385</v>
      </c>
      <c r="E1312" t="s">
        <v>45</v>
      </c>
      <c r="F1312" t="s">
        <v>573</v>
      </c>
      <c r="G1312" s="50" t="s">
        <v>574</v>
      </c>
      <c r="H1312" s="50">
        <v>2</v>
      </c>
      <c r="I1312" s="100">
        <v>6.7391919697301583</v>
      </c>
      <c r="J1312" s="52">
        <v>3834.68</v>
      </c>
      <c r="K1312" s="67">
        <f t="shared" si="84"/>
        <v>196584.99794752221</v>
      </c>
      <c r="L1312" s="95">
        <f>+VLOOKUP(E1312,MARGEN!A:B,2,FALSE)</f>
        <v>0.1</v>
      </c>
      <c r="M1312" s="112">
        <f t="shared" si="81"/>
        <v>19658.499794752221</v>
      </c>
      <c r="N1312" s="113">
        <f t="shared" si="82"/>
        <v>786.33999179008879</v>
      </c>
      <c r="O1312" s="113">
        <f t="shared" si="83"/>
        <v>176140.15816097989</v>
      </c>
    </row>
    <row r="1313" spans="1:15" x14ac:dyDescent="0.25">
      <c r="A1313" s="13">
        <v>44460</v>
      </c>
      <c r="B1313" s="97">
        <v>7535</v>
      </c>
      <c r="C1313" t="s">
        <v>179</v>
      </c>
      <c r="D1313" s="94" t="s">
        <v>361</v>
      </c>
      <c r="E1313" t="s">
        <v>45</v>
      </c>
      <c r="F1313" t="s">
        <v>573</v>
      </c>
      <c r="G1313" s="50" t="s">
        <v>574</v>
      </c>
      <c r="H1313" s="50">
        <v>2</v>
      </c>
      <c r="I1313" s="100">
        <v>6.7391919697301583</v>
      </c>
      <c r="J1313" s="52">
        <v>3834.68</v>
      </c>
      <c r="K1313" s="67">
        <f t="shared" si="84"/>
        <v>194724.32753182328</v>
      </c>
      <c r="L1313" s="95">
        <f>+VLOOKUP(E1313,MARGEN!A:B,2,FALSE)</f>
        <v>0.1</v>
      </c>
      <c r="M1313" s="112">
        <f t="shared" si="81"/>
        <v>19472.432753182329</v>
      </c>
      <c r="N1313" s="113">
        <f t="shared" si="82"/>
        <v>778.89731012729305</v>
      </c>
      <c r="O1313" s="113">
        <f t="shared" si="83"/>
        <v>174472.99746851364</v>
      </c>
    </row>
    <row r="1314" spans="1:15" x14ac:dyDescent="0.25">
      <c r="A1314" s="13">
        <v>44460</v>
      </c>
      <c r="B1314" s="97">
        <v>7415</v>
      </c>
      <c r="C1314" t="s">
        <v>143</v>
      </c>
      <c r="D1314" t="s">
        <v>489</v>
      </c>
      <c r="E1314" t="s">
        <v>45</v>
      </c>
      <c r="F1314" t="s">
        <v>558</v>
      </c>
      <c r="G1314" s="50" t="s">
        <v>574</v>
      </c>
      <c r="H1314" s="50">
        <v>2</v>
      </c>
      <c r="I1314" s="100">
        <v>6.7391919697301583</v>
      </c>
      <c r="J1314" s="52">
        <v>3834.68</v>
      </c>
      <c r="K1314" s="67">
        <f t="shared" si="84"/>
        <v>191623.21017232511</v>
      </c>
      <c r="L1314" s="95">
        <f>+VLOOKUP(E1314,MARGEN!A:B,2,FALSE)</f>
        <v>0.1</v>
      </c>
      <c r="M1314" s="112">
        <f t="shared" si="81"/>
        <v>19162.321017232513</v>
      </c>
      <c r="N1314" s="113">
        <f t="shared" si="82"/>
        <v>766.49284068930046</v>
      </c>
      <c r="O1314" s="113">
        <f t="shared" si="83"/>
        <v>171694.3963144033</v>
      </c>
    </row>
    <row r="1315" spans="1:15" x14ac:dyDescent="0.25">
      <c r="A1315" s="13">
        <v>44460</v>
      </c>
      <c r="B1315" s="51">
        <v>5639</v>
      </c>
      <c r="C1315" s="66" t="s">
        <v>275</v>
      </c>
      <c r="D1315" s="66" t="s">
        <v>519</v>
      </c>
      <c r="E1315" t="s">
        <v>45</v>
      </c>
      <c r="F1315" s="50" t="s">
        <v>573</v>
      </c>
      <c r="G1315" s="50" t="s">
        <v>574</v>
      </c>
      <c r="H1315" s="50">
        <v>2</v>
      </c>
      <c r="I1315" s="100">
        <v>6.7391919697301583</v>
      </c>
      <c r="J1315" s="52">
        <v>3834.68</v>
      </c>
      <c r="K1315" s="67">
        <f t="shared" si="84"/>
        <v>145726.67325175201</v>
      </c>
      <c r="L1315" s="95">
        <f>+VLOOKUP(E1315,MARGEN!A:B,2,FALSE)</f>
        <v>0.1</v>
      </c>
      <c r="M1315" s="112">
        <f t="shared" si="81"/>
        <v>14572.667325175202</v>
      </c>
      <c r="N1315" s="113">
        <f t="shared" si="82"/>
        <v>582.90669300700802</v>
      </c>
      <c r="O1315" s="113">
        <f t="shared" si="83"/>
        <v>130571.09923356981</v>
      </c>
    </row>
    <row r="1316" spans="1:15" x14ac:dyDescent="0.25">
      <c r="A1316" s="13">
        <v>44460</v>
      </c>
      <c r="B1316" s="97">
        <v>5543</v>
      </c>
      <c r="C1316" t="s">
        <v>116</v>
      </c>
      <c r="D1316" s="94" t="s">
        <v>330</v>
      </c>
      <c r="E1316" t="s">
        <v>45</v>
      </c>
      <c r="F1316" t="s">
        <v>573</v>
      </c>
      <c r="G1316" s="50" t="s">
        <v>574</v>
      </c>
      <c r="H1316" s="50">
        <v>2</v>
      </c>
      <c r="I1316" s="100">
        <v>6.7391919697301583</v>
      </c>
      <c r="J1316" s="52">
        <v>3834.68</v>
      </c>
      <c r="K1316" s="67">
        <f t="shared" si="84"/>
        <v>143245.77936415351</v>
      </c>
      <c r="L1316" s="95">
        <f>+VLOOKUP(E1316,MARGEN!A:B,2,FALSE)</f>
        <v>0.1</v>
      </c>
      <c r="M1316" s="112">
        <f t="shared" si="81"/>
        <v>14324.577936415351</v>
      </c>
      <c r="N1316" s="113">
        <f t="shared" si="82"/>
        <v>572.98311745661408</v>
      </c>
      <c r="O1316" s="113">
        <f t="shared" si="83"/>
        <v>128348.21831028153</v>
      </c>
    </row>
    <row r="1317" spans="1:15" x14ac:dyDescent="0.25">
      <c r="A1317" s="13">
        <v>44460</v>
      </c>
      <c r="B1317" s="97">
        <v>4535</v>
      </c>
      <c r="C1317" t="s">
        <v>76</v>
      </c>
      <c r="D1317" s="94" t="s">
        <v>332</v>
      </c>
      <c r="E1317" t="s">
        <v>45</v>
      </c>
      <c r="F1317" t="s">
        <v>573</v>
      </c>
      <c r="G1317" s="50" t="s">
        <v>574</v>
      </c>
      <c r="H1317" s="50">
        <v>2</v>
      </c>
      <c r="I1317" s="100">
        <v>6.7391919697301583</v>
      </c>
      <c r="J1317" s="52">
        <v>3834.68</v>
      </c>
      <c r="K1317" s="67">
        <f t="shared" si="84"/>
        <v>117196.39354436877</v>
      </c>
      <c r="L1317" s="95">
        <f>+VLOOKUP(E1317,MARGEN!A:B,2,FALSE)</f>
        <v>0.1</v>
      </c>
      <c r="M1317" s="112">
        <f t="shared" si="81"/>
        <v>11719.639354436877</v>
      </c>
      <c r="N1317" s="113">
        <f t="shared" si="82"/>
        <v>468.78557417747504</v>
      </c>
      <c r="O1317" s="113">
        <f t="shared" si="83"/>
        <v>105007.96861575442</v>
      </c>
    </row>
    <row r="1318" spans="1:15" x14ac:dyDescent="0.25">
      <c r="A1318" s="13">
        <v>44460</v>
      </c>
      <c r="B1318" s="97">
        <v>4319</v>
      </c>
      <c r="C1318" t="s">
        <v>91</v>
      </c>
      <c r="D1318" s="94" t="s">
        <v>340</v>
      </c>
      <c r="E1318" t="s">
        <v>45</v>
      </c>
      <c r="F1318" t="s">
        <v>573</v>
      </c>
      <c r="G1318" s="50" t="s">
        <v>574</v>
      </c>
      <c r="H1318" s="50">
        <v>2</v>
      </c>
      <c r="I1318" s="100">
        <v>6.7391919697301583</v>
      </c>
      <c r="J1318" s="52">
        <v>3834.68</v>
      </c>
      <c r="K1318" s="67">
        <f t="shared" si="84"/>
        <v>111614.38229727202</v>
      </c>
      <c r="L1318" s="95">
        <f>+VLOOKUP(E1318,MARGEN!A:B,2,FALSE)</f>
        <v>0.1</v>
      </c>
      <c r="M1318" s="112">
        <f t="shared" si="81"/>
        <v>11161.438229727202</v>
      </c>
      <c r="N1318" s="113">
        <f t="shared" si="82"/>
        <v>446.45752918908806</v>
      </c>
      <c r="O1318" s="113">
        <f t="shared" si="83"/>
        <v>100006.48653835573</v>
      </c>
    </row>
    <row r="1319" spans="1:15" x14ac:dyDescent="0.25">
      <c r="A1319" s="13">
        <v>44460</v>
      </c>
      <c r="B1319" s="97">
        <v>4319</v>
      </c>
      <c r="C1319" t="s">
        <v>197</v>
      </c>
      <c r="D1319" t="s">
        <v>358</v>
      </c>
      <c r="E1319" t="s">
        <v>45</v>
      </c>
      <c r="F1319" t="s">
        <v>558</v>
      </c>
      <c r="G1319" s="50" t="s">
        <v>574</v>
      </c>
      <c r="H1319" s="50">
        <v>2</v>
      </c>
      <c r="I1319" s="100">
        <v>6.7391919697301583</v>
      </c>
      <c r="J1319" s="52">
        <v>3834.68</v>
      </c>
      <c r="K1319" s="67">
        <f t="shared" si="84"/>
        <v>111614.38229727202</v>
      </c>
      <c r="L1319" s="95">
        <f>+VLOOKUP(E1319,MARGEN!A:B,2,FALSE)</f>
        <v>0.1</v>
      </c>
      <c r="M1319" s="112">
        <f t="shared" si="81"/>
        <v>11161.438229727202</v>
      </c>
      <c r="N1319" s="113">
        <f t="shared" si="82"/>
        <v>446.45752918908806</v>
      </c>
      <c r="O1319" s="113">
        <f t="shared" si="83"/>
        <v>100006.48653835573</v>
      </c>
    </row>
    <row r="1320" spans="1:15" x14ac:dyDescent="0.25">
      <c r="A1320" s="13">
        <v>44460</v>
      </c>
      <c r="B1320" s="97">
        <v>4175</v>
      </c>
      <c r="C1320" t="s">
        <v>276</v>
      </c>
      <c r="D1320" s="94" t="s">
        <v>512</v>
      </c>
      <c r="E1320" t="s">
        <v>45</v>
      </c>
      <c r="F1320" t="s">
        <v>573</v>
      </c>
      <c r="G1320" s="50" t="s">
        <v>574</v>
      </c>
      <c r="H1320" s="50">
        <v>2</v>
      </c>
      <c r="I1320" s="100">
        <v>6.7391919697301583</v>
      </c>
      <c r="J1320" s="52">
        <v>3834.68</v>
      </c>
      <c r="K1320" s="67">
        <f t="shared" si="84"/>
        <v>107893.04146587422</v>
      </c>
      <c r="L1320" s="95">
        <f>+VLOOKUP(E1320,MARGEN!A:B,2,FALSE)</f>
        <v>0.1</v>
      </c>
      <c r="M1320" s="112">
        <f t="shared" si="81"/>
        <v>10789.304146587423</v>
      </c>
      <c r="N1320" s="113">
        <f t="shared" si="82"/>
        <v>431.57216586349688</v>
      </c>
      <c r="O1320" s="113">
        <f t="shared" si="83"/>
        <v>96672.165153423295</v>
      </c>
    </row>
    <row r="1321" spans="1:15" x14ac:dyDescent="0.25">
      <c r="A1321" s="13">
        <v>44460</v>
      </c>
      <c r="B1321" s="97">
        <v>4127</v>
      </c>
      <c r="C1321" t="s">
        <v>235</v>
      </c>
      <c r="D1321" s="94" t="s">
        <v>339</v>
      </c>
      <c r="E1321" t="s">
        <v>45</v>
      </c>
      <c r="F1321" t="s">
        <v>573</v>
      </c>
      <c r="G1321" s="50" t="s">
        <v>574</v>
      </c>
      <c r="H1321" s="50">
        <v>2</v>
      </c>
      <c r="I1321" s="100">
        <v>6.7391919697301583</v>
      </c>
      <c r="J1321" s="52">
        <v>3834.68</v>
      </c>
      <c r="K1321" s="67">
        <f t="shared" si="84"/>
        <v>106652.59452207494</v>
      </c>
      <c r="L1321" s="95">
        <f>+VLOOKUP(E1321,MARGEN!A:B,2,FALSE)</f>
        <v>0.1</v>
      </c>
      <c r="M1321" s="112">
        <f t="shared" si="81"/>
        <v>10665.259452207494</v>
      </c>
      <c r="N1321" s="113">
        <f t="shared" si="82"/>
        <v>426.61037808829974</v>
      </c>
      <c r="O1321" s="113">
        <f t="shared" si="83"/>
        <v>95560.724691779149</v>
      </c>
    </row>
    <row r="1322" spans="1:15" x14ac:dyDescent="0.25">
      <c r="A1322" s="13">
        <v>44460</v>
      </c>
      <c r="B1322" s="97">
        <v>4103</v>
      </c>
      <c r="C1322" t="s">
        <v>234</v>
      </c>
      <c r="D1322" s="94" t="s">
        <v>331</v>
      </c>
      <c r="E1322" t="s">
        <v>45</v>
      </c>
      <c r="F1322" t="s">
        <v>573</v>
      </c>
      <c r="G1322" s="50" t="s">
        <v>574</v>
      </c>
      <c r="H1322" s="50">
        <v>2</v>
      </c>
      <c r="I1322" s="100">
        <v>6.7391919697301583</v>
      </c>
      <c r="J1322" s="52">
        <v>3834.68</v>
      </c>
      <c r="K1322" s="67">
        <f t="shared" si="84"/>
        <v>106032.37105017531</v>
      </c>
      <c r="L1322" s="95">
        <f>+VLOOKUP(E1322,MARGEN!A:B,2,FALSE)</f>
        <v>0.1</v>
      </c>
      <c r="M1322" s="112">
        <f t="shared" si="81"/>
        <v>10603.237105017532</v>
      </c>
      <c r="N1322" s="113">
        <f t="shared" si="82"/>
        <v>424.12948420070126</v>
      </c>
      <c r="O1322" s="113">
        <f t="shared" si="83"/>
        <v>95005.004460957076</v>
      </c>
    </row>
    <row r="1323" spans="1:15" x14ac:dyDescent="0.25">
      <c r="A1323" s="13">
        <v>44460</v>
      </c>
      <c r="B1323" s="97">
        <v>3911</v>
      </c>
      <c r="C1323" t="s">
        <v>71</v>
      </c>
      <c r="D1323" s="94" t="s">
        <v>337</v>
      </c>
      <c r="E1323" t="s">
        <v>45</v>
      </c>
      <c r="F1323" t="s">
        <v>573</v>
      </c>
      <c r="G1323" s="50" t="s">
        <v>574</v>
      </c>
      <c r="H1323" s="50">
        <v>2</v>
      </c>
      <c r="I1323" s="100">
        <v>6.7391919697301583</v>
      </c>
      <c r="J1323" s="52">
        <v>3834.68</v>
      </c>
      <c r="K1323" s="67">
        <f t="shared" si="84"/>
        <v>101070.58327497823</v>
      </c>
      <c r="L1323" s="95">
        <f>+VLOOKUP(E1323,MARGEN!A:B,2,FALSE)</f>
        <v>0.1</v>
      </c>
      <c r="M1323" s="112">
        <f t="shared" si="81"/>
        <v>10107.058327497823</v>
      </c>
      <c r="N1323" s="113">
        <f t="shared" si="82"/>
        <v>404.28233309991293</v>
      </c>
      <c r="O1323" s="113">
        <f t="shared" si="83"/>
        <v>90559.242614380491</v>
      </c>
    </row>
    <row r="1324" spans="1:15" x14ac:dyDescent="0.25">
      <c r="A1324" s="13">
        <v>44460</v>
      </c>
      <c r="B1324" s="97">
        <v>3671</v>
      </c>
      <c r="C1324" t="s">
        <v>177</v>
      </c>
      <c r="D1324" s="94" t="s">
        <v>355</v>
      </c>
      <c r="E1324" t="s">
        <v>45</v>
      </c>
      <c r="F1324" t="s">
        <v>573</v>
      </c>
      <c r="G1324" s="50" t="s">
        <v>574</v>
      </c>
      <c r="H1324" s="50">
        <v>2</v>
      </c>
      <c r="I1324" s="100">
        <v>6.7391919697301583</v>
      </c>
      <c r="J1324" s="52">
        <v>3834.68</v>
      </c>
      <c r="K1324" s="67">
        <f t="shared" si="84"/>
        <v>94868.348555981866</v>
      </c>
      <c r="L1324" s="95">
        <f>+VLOOKUP(E1324,MARGEN!A:B,2,FALSE)</f>
        <v>0.1</v>
      </c>
      <c r="M1324" s="112">
        <f t="shared" si="81"/>
        <v>9486.8348555981866</v>
      </c>
      <c r="N1324" s="113">
        <f t="shared" si="82"/>
        <v>379.47339422392747</v>
      </c>
      <c r="O1324" s="113">
        <f t="shared" si="83"/>
        <v>85002.040306159761</v>
      </c>
    </row>
    <row r="1325" spans="1:15" x14ac:dyDescent="0.25">
      <c r="A1325" s="13">
        <v>44460</v>
      </c>
      <c r="B1325" s="97">
        <v>3479</v>
      </c>
      <c r="C1325" t="s">
        <v>269</v>
      </c>
      <c r="D1325" t="s">
        <v>520</v>
      </c>
      <c r="E1325" t="s">
        <v>45</v>
      </c>
      <c r="F1325" t="s">
        <v>558</v>
      </c>
      <c r="G1325" s="50" t="s">
        <v>574</v>
      </c>
      <c r="H1325" s="50">
        <v>2</v>
      </c>
      <c r="I1325" s="100">
        <v>6.7391919697301583</v>
      </c>
      <c r="J1325" s="52">
        <v>3834.68</v>
      </c>
      <c r="K1325" s="67">
        <f t="shared" si="84"/>
        <v>89906.56078078477</v>
      </c>
      <c r="L1325" s="95">
        <f>+VLOOKUP(E1325,MARGEN!A:B,2,FALSE)</f>
        <v>0.1</v>
      </c>
      <c r="M1325" s="112">
        <f t="shared" si="81"/>
        <v>8990.6560780784766</v>
      </c>
      <c r="N1325" s="113">
        <f t="shared" si="82"/>
        <v>359.62624312313909</v>
      </c>
      <c r="O1325" s="113">
        <f t="shared" si="83"/>
        <v>80556.278459583147</v>
      </c>
    </row>
    <row r="1326" spans="1:15" x14ac:dyDescent="0.25">
      <c r="A1326" s="13">
        <v>44460</v>
      </c>
      <c r="B1326" s="97">
        <v>3143</v>
      </c>
      <c r="C1326" t="s">
        <v>277</v>
      </c>
      <c r="D1326" t="s">
        <v>513</v>
      </c>
      <c r="E1326" t="s">
        <v>45</v>
      </c>
      <c r="F1326" t="s">
        <v>573</v>
      </c>
      <c r="G1326" s="50" t="s">
        <v>574</v>
      </c>
      <c r="H1326" s="50">
        <v>2</v>
      </c>
      <c r="I1326" s="100">
        <v>6.7391919697301583</v>
      </c>
      <c r="J1326" s="52">
        <v>3834.68</v>
      </c>
      <c r="K1326" s="67">
        <f t="shared" si="84"/>
        <v>81223.43217418986</v>
      </c>
      <c r="L1326" s="95">
        <f>+VLOOKUP(E1326,MARGEN!A:B,2,FALSE)</f>
        <v>0.1</v>
      </c>
      <c r="M1326" s="112">
        <f t="shared" si="81"/>
        <v>8122.3432174189866</v>
      </c>
      <c r="N1326" s="113">
        <f t="shared" si="82"/>
        <v>324.89372869675947</v>
      </c>
      <c r="O1326" s="113">
        <f t="shared" si="83"/>
        <v>72776.195228074124</v>
      </c>
    </row>
    <row r="1327" spans="1:15" x14ac:dyDescent="0.25">
      <c r="A1327" s="13">
        <v>44460</v>
      </c>
      <c r="B1327" s="97">
        <v>2879</v>
      </c>
      <c r="C1327" t="s">
        <v>139</v>
      </c>
      <c r="D1327" t="s">
        <v>327</v>
      </c>
      <c r="E1327" t="s">
        <v>45</v>
      </c>
      <c r="F1327" t="s">
        <v>573</v>
      </c>
      <c r="G1327" s="50" t="s">
        <v>574</v>
      </c>
      <c r="H1327" s="50">
        <v>2</v>
      </c>
      <c r="I1327" s="100">
        <v>6.7391919697301583</v>
      </c>
      <c r="J1327" s="52">
        <v>3834.68</v>
      </c>
      <c r="K1327" s="67">
        <f t="shared" si="84"/>
        <v>74400.973983293865</v>
      </c>
      <c r="L1327" s="95">
        <f>+VLOOKUP(E1327,MARGEN!A:B,2,FALSE)</f>
        <v>0.1</v>
      </c>
      <c r="M1327" s="112">
        <f t="shared" si="81"/>
        <v>7440.097398329387</v>
      </c>
      <c r="N1327" s="113">
        <f t="shared" si="82"/>
        <v>297.60389593317547</v>
      </c>
      <c r="O1327" s="113">
        <f t="shared" si="83"/>
        <v>66663.272689031306</v>
      </c>
    </row>
    <row r="1328" spans="1:15" x14ac:dyDescent="0.25">
      <c r="A1328" s="13">
        <v>44460</v>
      </c>
      <c r="B1328" s="97">
        <v>2855</v>
      </c>
      <c r="C1328" t="s">
        <v>268</v>
      </c>
      <c r="D1328" s="94" t="s">
        <v>514</v>
      </c>
      <c r="E1328" t="s">
        <v>45</v>
      </c>
      <c r="F1328" t="s">
        <v>573</v>
      </c>
      <c r="G1328" s="50" t="s">
        <v>574</v>
      </c>
      <c r="H1328" s="50">
        <v>2</v>
      </c>
      <c r="I1328" s="100">
        <v>6.7391919697301583</v>
      </c>
      <c r="J1328" s="52">
        <v>3834.68</v>
      </c>
      <c r="K1328" s="67">
        <f t="shared" si="84"/>
        <v>73780.750511394232</v>
      </c>
      <c r="L1328" s="95">
        <f>+VLOOKUP(E1328,MARGEN!A:B,2,FALSE)</f>
        <v>0.1</v>
      </c>
      <c r="M1328" s="112">
        <f t="shared" si="81"/>
        <v>7378.0750511394235</v>
      </c>
      <c r="N1328" s="113">
        <f t="shared" si="82"/>
        <v>295.12300204557692</v>
      </c>
      <c r="O1328" s="113">
        <f t="shared" si="83"/>
        <v>66107.552458209218</v>
      </c>
    </row>
    <row r="1329" spans="1:15" x14ac:dyDescent="0.25">
      <c r="A1329" s="13">
        <v>44460</v>
      </c>
      <c r="B1329" s="97">
        <v>2855</v>
      </c>
      <c r="C1329" t="s">
        <v>99</v>
      </c>
      <c r="D1329" t="s">
        <v>366</v>
      </c>
      <c r="E1329" t="s">
        <v>45</v>
      </c>
      <c r="F1329" t="s">
        <v>558</v>
      </c>
      <c r="G1329" s="50" t="s">
        <v>574</v>
      </c>
      <c r="H1329" s="50">
        <v>2</v>
      </c>
      <c r="I1329" s="100">
        <v>6.7391919697301583</v>
      </c>
      <c r="J1329" s="52">
        <v>3834.68</v>
      </c>
      <c r="K1329" s="67">
        <f t="shared" si="84"/>
        <v>73780.750511394232</v>
      </c>
      <c r="L1329" s="95">
        <f>+VLOOKUP(E1329,MARGEN!A:B,2,FALSE)</f>
        <v>0.1</v>
      </c>
      <c r="M1329" s="112">
        <f t="shared" si="81"/>
        <v>7378.0750511394235</v>
      </c>
      <c r="N1329" s="113">
        <f t="shared" si="82"/>
        <v>295.12300204557692</v>
      </c>
      <c r="O1329" s="113">
        <f t="shared" si="83"/>
        <v>66107.552458209218</v>
      </c>
    </row>
    <row r="1330" spans="1:15" x14ac:dyDescent="0.25">
      <c r="A1330" s="13">
        <v>44460</v>
      </c>
      <c r="B1330" s="97">
        <v>2807</v>
      </c>
      <c r="C1330" t="s">
        <v>178</v>
      </c>
      <c r="D1330" s="94" t="s">
        <v>370</v>
      </c>
      <c r="E1330" t="s">
        <v>45</v>
      </c>
      <c r="F1330" t="s">
        <v>573</v>
      </c>
      <c r="G1330" s="50" t="s">
        <v>574</v>
      </c>
      <c r="H1330" s="50">
        <v>2</v>
      </c>
      <c r="I1330" s="100">
        <v>6.7391919697301583</v>
      </c>
      <c r="J1330" s="52">
        <v>3834.68</v>
      </c>
      <c r="K1330" s="67">
        <f t="shared" si="84"/>
        <v>72540.303567594965</v>
      </c>
      <c r="L1330" s="95">
        <f>+VLOOKUP(E1330,MARGEN!A:B,2,FALSE)</f>
        <v>0.1</v>
      </c>
      <c r="M1330" s="112">
        <f t="shared" si="81"/>
        <v>7254.0303567594965</v>
      </c>
      <c r="N1330" s="113">
        <f t="shared" si="82"/>
        <v>290.16121427037984</v>
      </c>
      <c r="O1330" s="113">
        <f t="shared" si="83"/>
        <v>64996.111996565087</v>
      </c>
    </row>
    <row r="1331" spans="1:15" x14ac:dyDescent="0.25">
      <c r="A1331" s="13">
        <v>44460</v>
      </c>
      <c r="B1331" s="97">
        <v>2663</v>
      </c>
      <c r="C1331" t="s">
        <v>138</v>
      </c>
      <c r="D1331" t="s">
        <v>321</v>
      </c>
      <c r="E1331" t="s">
        <v>45</v>
      </c>
      <c r="F1331" t="s">
        <v>573</v>
      </c>
      <c r="G1331" s="50" t="s">
        <v>574</v>
      </c>
      <c r="H1331" s="50">
        <v>2</v>
      </c>
      <c r="I1331" s="100">
        <v>6.7391919697301583</v>
      </c>
      <c r="J1331" s="52">
        <v>3834.68</v>
      </c>
      <c r="K1331" s="67">
        <f t="shared" si="84"/>
        <v>68818.962736197136</v>
      </c>
      <c r="L1331" s="95">
        <f>+VLOOKUP(E1331,MARGEN!A:B,2,FALSE)</f>
        <v>0.1</v>
      </c>
      <c r="M1331" s="112">
        <f t="shared" si="81"/>
        <v>6881.8962736197136</v>
      </c>
      <c r="N1331" s="113">
        <f t="shared" si="82"/>
        <v>275.27585094478854</v>
      </c>
      <c r="O1331" s="113">
        <f t="shared" si="83"/>
        <v>61661.790611632634</v>
      </c>
    </row>
    <row r="1332" spans="1:15" x14ac:dyDescent="0.25">
      <c r="A1332" s="13">
        <v>44460</v>
      </c>
      <c r="B1332" s="97">
        <v>2207</v>
      </c>
      <c r="C1332" t="s">
        <v>246</v>
      </c>
      <c r="D1332" t="s">
        <v>373</v>
      </c>
      <c r="E1332" t="s">
        <v>45</v>
      </c>
      <c r="F1332" t="s">
        <v>558</v>
      </c>
      <c r="G1332" s="50" t="s">
        <v>574</v>
      </c>
      <c r="H1332" s="50">
        <v>2</v>
      </c>
      <c r="I1332" s="100">
        <v>6.7391919697301583</v>
      </c>
      <c r="J1332" s="52">
        <v>3834.68</v>
      </c>
      <c r="K1332" s="67">
        <f t="shared" si="84"/>
        <v>57034.716770104053</v>
      </c>
      <c r="L1332" s="95">
        <f>+VLOOKUP(E1332,MARGEN!A:B,2,FALSE)</f>
        <v>0.1</v>
      </c>
      <c r="M1332" s="112">
        <f t="shared" si="81"/>
        <v>5703.471677010406</v>
      </c>
      <c r="N1332" s="113">
        <f t="shared" si="82"/>
        <v>228.13886708041622</v>
      </c>
      <c r="O1332" s="113">
        <f t="shared" si="83"/>
        <v>51103.106226013231</v>
      </c>
    </row>
    <row r="1333" spans="1:15" x14ac:dyDescent="0.25">
      <c r="A1333" s="13">
        <v>44460</v>
      </c>
      <c r="B1333" s="51">
        <v>2183</v>
      </c>
      <c r="C1333" s="66" t="s">
        <v>560</v>
      </c>
      <c r="D1333" s="66" t="s">
        <v>561</v>
      </c>
      <c r="E1333" t="s">
        <v>45</v>
      </c>
      <c r="F1333" s="50" t="s">
        <v>573</v>
      </c>
      <c r="G1333" s="50" t="s">
        <v>574</v>
      </c>
      <c r="H1333" s="50">
        <v>2</v>
      </c>
      <c r="I1333" s="100">
        <v>6.7391919697301583</v>
      </c>
      <c r="J1333" s="52">
        <v>3834.68</v>
      </c>
      <c r="K1333" s="67">
        <f t="shared" si="84"/>
        <v>56414.493298204405</v>
      </c>
      <c r="L1333" s="95">
        <f>+VLOOKUP(E1333,MARGEN!A:B,2,FALSE)</f>
        <v>0.1</v>
      </c>
      <c r="M1333" s="112">
        <f t="shared" si="81"/>
        <v>5641.4493298204407</v>
      </c>
      <c r="N1333" s="113">
        <f t="shared" si="82"/>
        <v>225.65797319281762</v>
      </c>
      <c r="O1333" s="113">
        <f t="shared" si="83"/>
        <v>50547.385995191151</v>
      </c>
    </row>
    <row r="1334" spans="1:15" x14ac:dyDescent="0.25">
      <c r="A1334" s="13">
        <v>44460</v>
      </c>
      <c r="B1334" s="97">
        <v>2087</v>
      </c>
      <c r="C1334" t="s">
        <v>103</v>
      </c>
      <c r="D1334" t="s">
        <v>342</v>
      </c>
      <c r="E1334" t="s">
        <v>45</v>
      </c>
      <c r="F1334" t="s">
        <v>558</v>
      </c>
      <c r="G1334" s="50" t="s">
        <v>574</v>
      </c>
      <c r="H1334" s="50">
        <v>2</v>
      </c>
      <c r="I1334" s="100">
        <v>6.7391919697301583</v>
      </c>
      <c r="J1334" s="52">
        <v>3834.68</v>
      </c>
      <c r="K1334" s="67">
        <f t="shared" si="84"/>
        <v>53933.599410605872</v>
      </c>
      <c r="L1334" s="95">
        <f>+VLOOKUP(E1334,MARGEN!A:B,2,FALSE)</f>
        <v>0.1</v>
      </c>
      <c r="M1334" s="112">
        <f t="shared" si="81"/>
        <v>5393.3599410605875</v>
      </c>
      <c r="N1334" s="113">
        <f t="shared" si="82"/>
        <v>215.73439764242349</v>
      </c>
      <c r="O1334" s="113">
        <f t="shared" si="83"/>
        <v>48324.505071902859</v>
      </c>
    </row>
    <row r="1335" spans="1:15" x14ac:dyDescent="0.25">
      <c r="A1335" s="13">
        <v>44460</v>
      </c>
      <c r="B1335" s="97">
        <v>2063</v>
      </c>
      <c r="C1335" t="s">
        <v>92</v>
      </c>
      <c r="D1335" t="s">
        <v>490</v>
      </c>
      <c r="E1335" t="s">
        <v>45</v>
      </c>
      <c r="F1335" t="s">
        <v>573</v>
      </c>
      <c r="G1335" s="50" t="s">
        <v>574</v>
      </c>
      <c r="H1335" s="50">
        <v>2</v>
      </c>
      <c r="I1335" s="100">
        <v>6.7391919697301583</v>
      </c>
      <c r="J1335" s="52">
        <v>3834.68</v>
      </c>
      <c r="K1335" s="67">
        <f t="shared" si="84"/>
        <v>53313.375938706224</v>
      </c>
      <c r="L1335" s="95">
        <f>+VLOOKUP(E1335,MARGEN!A:B,2,FALSE)</f>
        <v>0.1</v>
      </c>
      <c r="M1335" s="112">
        <f t="shared" si="81"/>
        <v>5331.3375938706231</v>
      </c>
      <c r="N1335" s="113">
        <f t="shared" si="82"/>
        <v>213.25350375482489</v>
      </c>
      <c r="O1335" s="113">
        <f t="shared" si="83"/>
        <v>47768.784841080778</v>
      </c>
    </row>
    <row r="1336" spans="1:15" x14ac:dyDescent="0.25">
      <c r="A1336" s="13">
        <v>44460</v>
      </c>
      <c r="B1336" s="97">
        <v>1871</v>
      </c>
      <c r="C1336" t="s">
        <v>198</v>
      </c>
      <c r="D1336" s="94" t="s">
        <v>326</v>
      </c>
      <c r="E1336" t="s">
        <v>45</v>
      </c>
      <c r="F1336" t="s">
        <v>573</v>
      </c>
      <c r="G1336" s="50" t="s">
        <v>574</v>
      </c>
      <c r="H1336" s="50">
        <v>2</v>
      </c>
      <c r="I1336" s="100">
        <v>6.7391919697301583</v>
      </c>
      <c r="J1336" s="52">
        <v>3834.68</v>
      </c>
      <c r="K1336" s="67">
        <f t="shared" si="84"/>
        <v>48351.588163509143</v>
      </c>
      <c r="L1336" s="95">
        <f>+VLOOKUP(E1336,MARGEN!A:B,2,FALSE)</f>
        <v>0.1</v>
      </c>
      <c r="M1336" s="112">
        <f t="shared" si="81"/>
        <v>4835.1588163509141</v>
      </c>
      <c r="N1336" s="113">
        <f t="shared" si="82"/>
        <v>193.40635265403657</v>
      </c>
      <c r="O1336" s="113">
        <f t="shared" si="83"/>
        <v>43323.022994504194</v>
      </c>
    </row>
    <row r="1337" spans="1:15" x14ac:dyDescent="0.25">
      <c r="A1337" s="13">
        <v>44460</v>
      </c>
      <c r="B1337" s="97">
        <v>1847</v>
      </c>
      <c r="C1337" t="s">
        <v>270</v>
      </c>
      <c r="D1337" s="94" t="s">
        <v>491</v>
      </c>
      <c r="E1337" t="s">
        <v>45</v>
      </c>
      <c r="F1337" t="s">
        <v>573</v>
      </c>
      <c r="G1337" s="50" t="s">
        <v>574</v>
      </c>
      <c r="H1337" s="50">
        <v>2</v>
      </c>
      <c r="I1337" s="100">
        <v>6.7391919697301583</v>
      </c>
      <c r="J1337" s="52">
        <v>3834.68</v>
      </c>
      <c r="K1337" s="67">
        <f t="shared" si="84"/>
        <v>47731.364691609502</v>
      </c>
      <c r="L1337" s="95">
        <f>+VLOOKUP(E1337,MARGEN!A:B,2,FALSE)</f>
        <v>0.1</v>
      </c>
      <c r="M1337" s="112">
        <f t="shared" si="81"/>
        <v>4773.1364691609506</v>
      </c>
      <c r="N1337" s="113">
        <f t="shared" si="82"/>
        <v>190.925458766438</v>
      </c>
      <c r="O1337" s="113">
        <f t="shared" si="83"/>
        <v>42767.302763682113</v>
      </c>
    </row>
    <row r="1338" spans="1:15" x14ac:dyDescent="0.25">
      <c r="A1338" s="13">
        <v>44460</v>
      </c>
      <c r="B1338" s="97">
        <v>1727</v>
      </c>
      <c r="C1338" t="s">
        <v>190</v>
      </c>
      <c r="D1338" s="94" t="s">
        <v>356</v>
      </c>
      <c r="E1338" t="s">
        <v>45</v>
      </c>
      <c r="F1338" t="s">
        <v>573</v>
      </c>
      <c r="G1338" s="50" t="s">
        <v>574</v>
      </c>
      <c r="H1338" s="50">
        <v>2</v>
      </c>
      <c r="I1338" s="100">
        <v>6.7391919697301583</v>
      </c>
      <c r="J1338" s="52">
        <v>3834.68</v>
      </c>
      <c r="K1338" s="67">
        <f t="shared" si="84"/>
        <v>44630.247332111321</v>
      </c>
      <c r="L1338" s="95">
        <f>+VLOOKUP(E1338,MARGEN!A:B,2,FALSE)</f>
        <v>0.1</v>
      </c>
      <c r="M1338" s="112">
        <f t="shared" si="81"/>
        <v>4463.0247332111321</v>
      </c>
      <c r="N1338" s="113">
        <f t="shared" si="82"/>
        <v>178.5209893284453</v>
      </c>
      <c r="O1338" s="113">
        <f t="shared" si="83"/>
        <v>39988.701609571741</v>
      </c>
    </row>
    <row r="1339" spans="1:15" x14ac:dyDescent="0.25">
      <c r="A1339" s="13">
        <v>44460</v>
      </c>
      <c r="B1339" s="97">
        <v>1535</v>
      </c>
      <c r="C1339" t="s">
        <v>273</v>
      </c>
      <c r="D1339" s="94" t="s">
        <v>515</v>
      </c>
      <c r="E1339" t="s">
        <v>45</v>
      </c>
      <c r="F1339" t="s">
        <v>573</v>
      </c>
      <c r="G1339" s="50" t="s">
        <v>574</v>
      </c>
      <c r="H1339" s="50">
        <v>2</v>
      </c>
      <c r="I1339" s="100">
        <v>6.7391919697301583</v>
      </c>
      <c r="J1339" s="52">
        <v>3834.68</v>
      </c>
      <c r="K1339" s="67">
        <f t="shared" si="84"/>
        <v>39668.459556914233</v>
      </c>
      <c r="L1339" s="95">
        <f>+VLOOKUP(E1339,MARGEN!A:B,2,FALSE)</f>
        <v>0.1</v>
      </c>
      <c r="M1339" s="112">
        <f t="shared" si="81"/>
        <v>3966.8459556914236</v>
      </c>
      <c r="N1339" s="113">
        <f t="shared" si="82"/>
        <v>158.67383822765694</v>
      </c>
      <c r="O1339" s="113">
        <f t="shared" si="83"/>
        <v>35542.939762995149</v>
      </c>
    </row>
    <row r="1340" spans="1:15" x14ac:dyDescent="0.25">
      <c r="A1340" s="13">
        <v>44460</v>
      </c>
      <c r="B1340" s="97">
        <v>1487</v>
      </c>
      <c r="C1340" t="s">
        <v>250</v>
      </c>
      <c r="D1340" t="s">
        <v>333</v>
      </c>
      <c r="E1340" t="s">
        <v>45</v>
      </c>
      <c r="F1340" t="s">
        <v>558</v>
      </c>
      <c r="G1340" s="50" t="s">
        <v>574</v>
      </c>
      <c r="H1340" s="50">
        <v>2</v>
      </c>
      <c r="I1340" s="100">
        <v>6.7391919697301583</v>
      </c>
      <c r="J1340" s="52">
        <v>3834.68</v>
      </c>
      <c r="K1340" s="67">
        <f t="shared" si="84"/>
        <v>38428.012613114959</v>
      </c>
      <c r="L1340" s="95">
        <f>+VLOOKUP(E1340,MARGEN!A:B,2,FALSE)</f>
        <v>0.1</v>
      </c>
      <c r="M1340" s="112">
        <f t="shared" si="81"/>
        <v>3842.8012613114961</v>
      </c>
      <c r="N1340" s="113">
        <f t="shared" si="82"/>
        <v>153.71205045245983</v>
      </c>
      <c r="O1340" s="113">
        <f t="shared" si="83"/>
        <v>34431.499301351003</v>
      </c>
    </row>
    <row r="1341" spans="1:15" x14ac:dyDescent="0.25">
      <c r="A1341" s="13">
        <v>44460</v>
      </c>
      <c r="B1341" s="97">
        <v>1391</v>
      </c>
      <c r="C1341" t="s">
        <v>107</v>
      </c>
      <c r="D1341" s="94" t="s">
        <v>346</v>
      </c>
      <c r="E1341" t="s">
        <v>45</v>
      </c>
      <c r="F1341" t="s">
        <v>573</v>
      </c>
      <c r="G1341" s="50" t="s">
        <v>574</v>
      </c>
      <c r="H1341" s="50">
        <v>2</v>
      </c>
      <c r="I1341" s="100">
        <v>6.7391919697301583</v>
      </c>
      <c r="J1341" s="52">
        <v>3834.68</v>
      </c>
      <c r="K1341" s="67">
        <f t="shared" si="84"/>
        <v>35947.118725516419</v>
      </c>
      <c r="L1341" s="95">
        <f>+VLOOKUP(E1341,MARGEN!A:B,2,FALSE)</f>
        <v>0.1</v>
      </c>
      <c r="M1341" s="112">
        <f t="shared" si="81"/>
        <v>3594.711872551642</v>
      </c>
      <c r="N1341" s="113">
        <f t="shared" si="82"/>
        <v>143.78847490206567</v>
      </c>
      <c r="O1341" s="113">
        <f t="shared" si="83"/>
        <v>32208.618378062711</v>
      </c>
    </row>
    <row r="1342" spans="1:15" x14ac:dyDescent="0.25">
      <c r="A1342" s="13">
        <v>44461</v>
      </c>
      <c r="B1342" s="97">
        <v>16343</v>
      </c>
      <c r="C1342" t="s">
        <v>78</v>
      </c>
      <c r="D1342" t="s">
        <v>412</v>
      </c>
      <c r="E1342" t="s">
        <v>45</v>
      </c>
      <c r="F1342" t="s">
        <v>573</v>
      </c>
      <c r="G1342" s="50" t="s">
        <v>574</v>
      </c>
      <c r="H1342" s="50">
        <v>2</v>
      </c>
      <c r="I1342" s="100">
        <v>6.7391919697301583</v>
      </c>
      <c r="J1342" s="52">
        <v>3834.68</v>
      </c>
      <c r="K1342" s="67">
        <f t="shared" si="84"/>
        <v>422346.34171898977</v>
      </c>
      <c r="L1342" s="95">
        <f>+VLOOKUP(E1342,MARGEN!A:B,2,FALSE)</f>
        <v>0.1</v>
      </c>
      <c r="M1342" s="112">
        <f t="shared" si="81"/>
        <v>42234.634171898979</v>
      </c>
      <c r="N1342" s="113">
        <f t="shared" si="82"/>
        <v>1689.3853668759591</v>
      </c>
      <c r="O1342" s="113">
        <f t="shared" si="83"/>
        <v>378422.3221802148</v>
      </c>
    </row>
    <row r="1343" spans="1:15" x14ac:dyDescent="0.25">
      <c r="A1343" s="13">
        <v>44461</v>
      </c>
      <c r="B1343" s="97">
        <v>12815</v>
      </c>
      <c r="C1343" t="s">
        <v>73</v>
      </c>
      <c r="D1343" t="s">
        <v>338</v>
      </c>
      <c r="E1343" t="s">
        <v>45</v>
      </c>
      <c r="F1343" t="s">
        <v>573</v>
      </c>
      <c r="G1343" s="50" t="s">
        <v>574</v>
      </c>
      <c r="H1343" s="50">
        <v>2</v>
      </c>
      <c r="I1343" s="100">
        <v>6.7391919697301583</v>
      </c>
      <c r="J1343" s="52">
        <v>3834.68</v>
      </c>
      <c r="K1343" s="67">
        <f t="shared" si="84"/>
        <v>331173.49134974327</v>
      </c>
      <c r="L1343" s="95">
        <f>+VLOOKUP(E1343,MARGEN!A:B,2,FALSE)</f>
        <v>0.1</v>
      </c>
      <c r="M1343" s="112">
        <f t="shared" si="81"/>
        <v>33117.349134974327</v>
      </c>
      <c r="N1343" s="113">
        <f t="shared" si="82"/>
        <v>1324.693965398973</v>
      </c>
      <c r="O1343" s="113">
        <f t="shared" si="83"/>
        <v>296731.44824936992</v>
      </c>
    </row>
    <row r="1344" spans="1:15" x14ac:dyDescent="0.25">
      <c r="A1344" s="13">
        <v>44461</v>
      </c>
      <c r="B1344" s="97">
        <v>9935</v>
      </c>
      <c r="C1344" t="s">
        <v>95</v>
      </c>
      <c r="D1344" t="s">
        <v>510</v>
      </c>
      <c r="E1344" t="s">
        <v>45</v>
      </c>
      <c r="F1344" t="s">
        <v>573</v>
      </c>
      <c r="G1344" s="50" t="s">
        <v>574</v>
      </c>
      <c r="H1344" s="50">
        <v>2</v>
      </c>
      <c r="I1344" s="100">
        <v>6.7391919697301583</v>
      </c>
      <c r="J1344" s="52">
        <v>3834.68</v>
      </c>
      <c r="K1344" s="67">
        <f t="shared" si="84"/>
        <v>256746.6747217869</v>
      </c>
      <c r="L1344" s="95">
        <f>+VLOOKUP(E1344,MARGEN!A:B,2,FALSE)</f>
        <v>0.1</v>
      </c>
      <c r="M1344" s="112">
        <f t="shared" si="81"/>
        <v>25674.667472178691</v>
      </c>
      <c r="N1344" s="113">
        <f t="shared" si="82"/>
        <v>1026.9866988871477</v>
      </c>
      <c r="O1344" s="113">
        <f t="shared" si="83"/>
        <v>230045.02055072106</v>
      </c>
    </row>
    <row r="1345" spans="1:15" x14ac:dyDescent="0.25">
      <c r="A1345" s="13">
        <v>44461</v>
      </c>
      <c r="B1345" s="97">
        <v>8254</v>
      </c>
      <c r="C1345" t="s">
        <v>191</v>
      </c>
      <c r="D1345" t="s">
        <v>354</v>
      </c>
      <c r="E1345" t="s">
        <v>45</v>
      </c>
      <c r="F1345" t="s">
        <v>558</v>
      </c>
      <c r="G1345" s="50" t="s">
        <v>574</v>
      </c>
      <c r="H1345" s="50">
        <v>2</v>
      </c>
      <c r="I1345" s="100">
        <v>6.7391919697301583</v>
      </c>
      <c r="J1345" s="52">
        <v>3834.68</v>
      </c>
      <c r="K1345" s="67">
        <f t="shared" si="84"/>
        <v>213305.18904414988</v>
      </c>
      <c r="L1345" s="95">
        <f>+VLOOKUP(E1345,MARGEN!A:B,2,FALSE)</f>
        <v>0.1</v>
      </c>
      <c r="M1345" s="112">
        <f t="shared" si="81"/>
        <v>21330.518904414988</v>
      </c>
      <c r="N1345" s="113">
        <f t="shared" si="82"/>
        <v>853.22075617659948</v>
      </c>
      <c r="O1345" s="113">
        <f t="shared" si="83"/>
        <v>191121.4493835583</v>
      </c>
    </row>
    <row r="1346" spans="1:15" x14ac:dyDescent="0.25">
      <c r="A1346" s="13">
        <v>44461</v>
      </c>
      <c r="B1346" s="97">
        <v>8230</v>
      </c>
      <c r="C1346" t="s">
        <v>90</v>
      </c>
      <c r="D1346" t="s">
        <v>350</v>
      </c>
      <c r="E1346" t="s">
        <v>45</v>
      </c>
      <c r="F1346" t="s">
        <v>562</v>
      </c>
      <c r="G1346" s="50" t="s">
        <v>574</v>
      </c>
      <c r="H1346" s="50">
        <v>2</v>
      </c>
      <c r="I1346" s="100">
        <v>6.7391919697301583</v>
      </c>
      <c r="J1346" s="52">
        <v>3834.68</v>
      </c>
      <c r="K1346" s="67">
        <f t="shared" si="84"/>
        <v>212684.96557225028</v>
      </c>
      <c r="L1346" s="95">
        <f>+VLOOKUP(E1346,MARGEN!A:B,2,FALSE)</f>
        <v>0.1</v>
      </c>
      <c r="M1346" s="112">
        <f t="shared" si="81"/>
        <v>21268.496557225029</v>
      </c>
      <c r="N1346" s="113">
        <f t="shared" si="82"/>
        <v>850.73986228900117</v>
      </c>
      <c r="O1346" s="113">
        <f t="shared" si="83"/>
        <v>190565.72915273625</v>
      </c>
    </row>
    <row r="1347" spans="1:15" x14ac:dyDescent="0.25">
      <c r="A1347" s="13">
        <v>44461</v>
      </c>
      <c r="B1347" s="97">
        <v>7607</v>
      </c>
      <c r="C1347" t="s">
        <v>248</v>
      </c>
      <c r="D1347" t="s">
        <v>385</v>
      </c>
      <c r="E1347" t="s">
        <v>45</v>
      </c>
      <c r="F1347" t="s">
        <v>573</v>
      </c>
      <c r="G1347" s="50" t="s">
        <v>574</v>
      </c>
      <c r="H1347" s="50">
        <v>2</v>
      </c>
      <c r="I1347" s="100">
        <v>6.7391919697301583</v>
      </c>
      <c r="J1347" s="52">
        <v>3834.68</v>
      </c>
      <c r="K1347" s="67">
        <f t="shared" si="84"/>
        <v>196584.99794752221</v>
      </c>
      <c r="L1347" s="95">
        <f>+VLOOKUP(E1347,MARGEN!A:B,2,FALSE)</f>
        <v>0.1</v>
      </c>
      <c r="M1347" s="112">
        <f t="shared" ref="M1347:M1410" si="85">+K1347*L1347</f>
        <v>19658.499794752221</v>
      </c>
      <c r="N1347" s="113">
        <f t="shared" ref="N1347:N1410" si="86">+K1347*4/1000</f>
        <v>786.33999179008879</v>
      </c>
      <c r="O1347" s="113">
        <f t="shared" ref="O1347:O1410" si="87">+K1347-M1347-N1347</f>
        <v>176140.15816097989</v>
      </c>
    </row>
    <row r="1348" spans="1:15" x14ac:dyDescent="0.25">
      <c r="A1348" s="13">
        <v>44461</v>
      </c>
      <c r="B1348" s="97">
        <v>7511</v>
      </c>
      <c r="C1348" t="s">
        <v>179</v>
      </c>
      <c r="D1348" t="s">
        <v>361</v>
      </c>
      <c r="E1348" t="s">
        <v>45</v>
      </c>
      <c r="F1348" t="s">
        <v>573</v>
      </c>
      <c r="G1348" s="50" t="s">
        <v>574</v>
      </c>
      <c r="H1348" s="50">
        <v>2</v>
      </c>
      <c r="I1348" s="100">
        <v>6.7391919697301583</v>
      </c>
      <c r="J1348" s="52">
        <v>3834.68</v>
      </c>
      <c r="K1348" s="67">
        <f t="shared" si="84"/>
        <v>194104.10405992364</v>
      </c>
      <c r="L1348" s="95">
        <f>+VLOOKUP(E1348,MARGEN!A:B,2,FALSE)</f>
        <v>0.1</v>
      </c>
      <c r="M1348" s="112">
        <f t="shared" si="85"/>
        <v>19410.410405992367</v>
      </c>
      <c r="N1348" s="113">
        <f t="shared" si="86"/>
        <v>776.41641623969463</v>
      </c>
      <c r="O1348" s="113">
        <f t="shared" si="87"/>
        <v>173917.2772376916</v>
      </c>
    </row>
    <row r="1349" spans="1:15" x14ac:dyDescent="0.25">
      <c r="A1349" s="13">
        <v>44461</v>
      </c>
      <c r="B1349" s="97">
        <v>7415</v>
      </c>
      <c r="C1349" t="s">
        <v>143</v>
      </c>
      <c r="D1349" t="s">
        <v>489</v>
      </c>
      <c r="E1349" t="s">
        <v>45</v>
      </c>
      <c r="F1349" t="s">
        <v>558</v>
      </c>
      <c r="G1349" s="50" t="s">
        <v>574</v>
      </c>
      <c r="H1349" s="50">
        <v>2</v>
      </c>
      <c r="I1349" s="100">
        <v>6.7391919697301583</v>
      </c>
      <c r="J1349" s="52">
        <v>3834.68</v>
      </c>
      <c r="K1349" s="67">
        <f t="shared" si="84"/>
        <v>191623.21017232511</v>
      </c>
      <c r="L1349" s="95">
        <f>+VLOOKUP(E1349,MARGEN!A:B,2,FALSE)</f>
        <v>0.1</v>
      </c>
      <c r="M1349" s="112">
        <f t="shared" si="85"/>
        <v>19162.321017232513</v>
      </c>
      <c r="N1349" s="113">
        <f t="shared" si="86"/>
        <v>766.49284068930046</v>
      </c>
      <c r="O1349" s="113">
        <f t="shared" si="87"/>
        <v>171694.3963144033</v>
      </c>
    </row>
    <row r="1350" spans="1:15" x14ac:dyDescent="0.25">
      <c r="A1350" s="13">
        <v>44461</v>
      </c>
      <c r="B1350" s="97">
        <v>5639</v>
      </c>
      <c r="C1350" t="s">
        <v>275</v>
      </c>
      <c r="D1350" t="s">
        <v>519</v>
      </c>
      <c r="E1350" t="s">
        <v>45</v>
      </c>
      <c r="F1350" t="s">
        <v>573</v>
      </c>
      <c r="G1350" s="50" t="s">
        <v>574</v>
      </c>
      <c r="H1350" s="50">
        <v>2</v>
      </c>
      <c r="I1350" s="100">
        <v>6.7391919697301583</v>
      </c>
      <c r="J1350" s="52">
        <v>3834.68</v>
      </c>
      <c r="K1350" s="67">
        <f t="shared" si="84"/>
        <v>145726.67325175201</v>
      </c>
      <c r="L1350" s="95">
        <f>+VLOOKUP(E1350,MARGEN!A:B,2,FALSE)</f>
        <v>0.1</v>
      </c>
      <c r="M1350" s="112">
        <f t="shared" si="85"/>
        <v>14572.667325175202</v>
      </c>
      <c r="N1350" s="113">
        <f t="shared" si="86"/>
        <v>582.90669300700802</v>
      </c>
      <c r="O1350" s="113">
        <f t="shared" si="87"/>
        <v>130571.09923356981</v>
      </c>
    </row>
    <row r="1351" spans="1:15" x14ac:dyDescent="0.25">
      <c r="A1351" s="13">
        <v>44461</v>
      </c>
      <c r="B1351" s="97">
        <v>5543</v>
      </c>
      <c r="C1351" t="s">
        <v>116</v>
      </c>
      <c r="D1351" t="s">
        <v>330</v>
      </c>
      <c r="E1351" t="s">
        <v>45</v>
      </c>
      <c r="F1351" t="s">
        <v>573</v>
      </c>
      <c r="G1351" s="50" t="s">
        <v>574</v>
      </c>
      <c r="H1351" s="50">
        <v>2</v>
      </c>
      <c r="I1351" s="100">
        <v>6.7391919697301583</v>
      </c>
      <c r="J1351" s="52">
        <v>3834.68</v>
      </c>
      <c r="K1351" s="67">
        <f t="shared" si="84"/>
        <v>143245.77936415351</v>
      </c>
      <c r="L1351" s="95">
        <f>+VLOOKUP(E1351,MARGEN!A:B,2,FALSE)</f>
        <v>0.1</v>
      </c>
      <c r="M1351" s="112">
        <f t="shared" si="85"/>
        <v>14324.577936415351</v>
      </c>
      <c r="N1351" s="113">
        <f t="shared" si="86"/>
        <v>572.98311745661408</v>
      </c>
      <c r="O1351" s="113">
        <f t="shared" si="87"/>
        <v>128348.21831028153</v>
      </c>
    </row>
    <row r="1352" spans="1:15" x14ac:dyDescent="0.25">
      <c r="A1352" s="13">
        <v>44461</v>
      </c>
      <c r="B1352" s="97">
        <v>4535</v>
      </c>
      <c r="C1352" t="s">
        <v>76</v>
      </c>
      <c r="D1352" t="s">
        <v>332</v>
      </c>
      <c r="E1352" t="s">
        <v>45</v>
      </c>
      <c r="F1352" t="s">
        <v>573</v>
      </c>
      <c r="G1352" s="50" t="s">
        <v>574</v>
      </c>
      <c r="H1352" s="50">
        <v>2</v>
      </c>
      <c r="I1352" s="100">
        <v>6.7391919697301583</v>
      </c>
      <c r="J1352" s="52">
        <v>3834.68</v>
      </c>
      <c r="K1352" s="67">
        <f t="shared" si="84"/>
        <v>117196.39354436877</v>
      </c>
      <c r="L1352" s="95">
        <f>+VLOOKUP(E1352,MARGEN!A:B,2,FALSE)</f>
        <v>0.1</v>
      </c>
      <c r="M1352" s="112">
        <f t="shared" si="85"/>
        <v>11719.639354436877</v>
      </c>
      <c r="N1352" s="113">
        <f t="shared" si="86"/>
        <v>468.78557417747504</v>
      </c>
      <c r="O1352" s="113">
        <f t="shared" si="87"/>
        <v>105007.96861575442</v>
      </c>
    </row>
    <row r="1353" spans="1:15" x14ac:dyDescent="0.25">
      <c r="A1353" s="13">
        <v>44461</v>
      </c>
      <c r="B1353" s="97">
        <v>4319</v>
      </c>
      <c r="C1353" t="s">
        <v>91</v>
      </c>
      <c r="D1353" t="s">
        <v>340</v>
      </c>
      <c r="E1353" t="s">
        <v>45</v>
      </c>
      <c r="F1353" t="s">
        <v>573</v>
      </c>
      <c r="G1353" s="50" t="s">
        <v>574</v>
      </c>
      <c r="H1353" s="50">
        <v>2</v>
      </c>
      <c r="I1353" s="100">
        <v>6.7391919697301583</v>
      </c>
      <c r="J1353" s="52">
        <v>3834.68</v>
      </c>
      <c r="K1353" s="67">
        <f t="shared" ref="K1353:K1416" si="88">+B1353*I1353*J1353/1000</f>
        <v>111614.38229727202</v>
      </c>
      <c r="L1353" s="95">
        <f>+VLOOKUP(E1353,MARGEN!A:B,2,FALSE)</f>
        <v>0.1</v>
      </c>
      <c r="M1353" s="112">
        <f t="shared" si="85"/>
        <v>11161.438229727202</v>
      </c>
      <c r="N1353" s="113">
        <f t="shared" si="86"/>
        <v>446.45752918908806</v>
      </c>
      <c r="O1353" s="113">
        <f t="shared" si="87"/>
        <v>100006.48653835573</v>
      </c>
    </row>
    <row r="1354" spans="1:15" x14ac:dyDescent="0.25">
      <c r="A1354" s="13">
        <v>44461</v>
      </c>
      <c r="B1354" s="97">
        <v>4295</v>
      </c>
      <c r="C1354" t="s">
        <v>197</v>
      </c>
      <c r="D1354" t="s">
        <v>358</v>
      </c>
      <c r="E1354" t="s">
        <v>45</v>
      </c>
      <c r="F1354" t="s">
        <v>562</v>
      </c>
      <c r="G1354" s="50" t="s">
        <v>574</v>
      </c>
      <c r="H1354" s="50">
        <v>2</v>
      </c>
      <c r="I1354" s="100">
        <v>6.7391919697301583</v>
      </c>
      <c r="J1354" s="52">
        <v>3834.68</v>
      </c>
      <c r="K1354" s="67">
        <f t="shared" si="88"/>
        <v>110994.1588253724</v>
      </c>
      <c r="L1354" s="95">
        <f>+VLOOKUP(E1354,MARGEN!A:B,2,FALSE)</f>
        <v>0.1</v>
      </c>
      <c r="M1354" s="112">
        <f t="shared" si="85"/>
        <v>11099.415882537241</v>
      </c>
      <c r="N1354" s="113">
        <f t="shared" si="86"/>
        <v>443.97663530148964</v>
      </c>
      <c r="O1354" s="113">
        <f t="shared" si="87"/>
        <v>99450.766307533675</v>
      </c>
    </row>
    <row r="1355" spans="1:15" x14ac:dyDescent="0.25">
      <c r="A1355" s="13">
        <v>44461</v>
      </c>
      <c r="B1355" s="97">
        <v>4175</v>
      </c>
      <c r="C1355" t="s">
        <v>276</v>
      </c>
      <c r="D1355" t="s">
        <v>512</v>
      </c>
      <c r="E1355" t="s">
        <v>45</v>
      </c>
      <c r="F1355" t="s">
        <v>573</v>
      </c>
      <c r="G1355" s="50" t="s">
        <v>574</v>
      </c>
      <c r="H1355" s="50">
        <v>2</v>
      </c>
      <c r="I1355" s="100">
        <v>6.7391919697301583</v>
      </c>
      <c r="J1355" s="52">
        <v>3834.68</v>
      </c>
      <c r="K1355" s="67">
        <f t="shared" si="88"/>
        <v>107893.04146587422</v>
      </c>
      <c r="L1355" s="95">
        <f>+VLOOKUP(E1355,MARGEN!A:B,2,FALSE)</f>
        <v>0.1</v>
      </c>
      <c r="M1355" s="112">
        <f t="shared" si="85"/>
        <v>10789.304146587423</v>
      </c>
      <c r="N1355" s="113">
        <f t="shared" si="86"/>
        <v>431.57216586349688</v>
      </c>
      <c r="O1355" s="113">
        <f t="shared" si="87"/>
        <v>96672.165153423295</v>
      </c>
    </row>
    <row r="1356" spans="1:15" x14ac:dyDescent="0.25">
      <c r="A1356" s="13">
        <v>44461</v>
      </c>
      <c r="B1356" s="97">
        <v>4151</v>
      </c>
      <c r="C1356" t="s">
        <v>234</v>
      </c>
      <c r="D1356" t="s">
        <v>331</v>
      </c>
      <c r="E1356" t="s">
        <v>45</v>
      </c>
      <c r="F1356" t="s">
        <v>573</v>
      </c>
      <c r="G1356" s="50" t="s">
        <v>574</v>
      </c>
      <c r="H1356" s="50">
        <v>2</v>
      </c>
      <c r="I1356" s="100">
        <v>6.7391919697301583</v>
      </c>
      <c r="J1356" s="52">
        <v>3834.68</v>
      </c>
      <c r="K1356" s="67">
        <f t="shared" si="88"/>
        <v>107272.81799397458</v>
      </c>
      <c r="L1356" s="95">
        <f>+VLOOKUP(E1356,MARGEN!A:B,2,FALSE)</f>
        <v>0.1</v>
      </c>
      <c r="M1356" s="112">
        <f t="shared" si="85"/>
        <v>10727.281799397459</v>
      </c>
      <c r="N1356" s="113">
        <f t="shared" si="86"/>
        <v>429.09127197589828</v>
      </c>
      <c r="O1356" s="113">
        <f t="shared" si="87"/>
        <v>96116.444922601222</v>
      </c>
    </row>
    <row r="1357" spans="1:15" x14ac:dyDescent="0.25">
      <c r="A1357" s="13">
        <v>44461</v>
      </c>
      <c r="B1357" s="97">
        <v>4127</v>
      </c>
      <c r="C1357" t="s">
        <v>235</v>
      </c>
      <c r="D1357" t="s">
        <v>339</v>
      </c>
      <c r="E1357" t="s">
        <v>45</v>
      </c>
      <c r="F1357" t="s">
        <v>573</v>
      </c>
      <c r="G1357" s="50" t="s">
        <v>574</v>
      </c>
      <c r="H1357" s="50">
        <v>2</v>
      </c>
      <c r="I1357" s="100">
        <v>6.7391919697301583</v>
      </c>
      <c r="J1357" s="52">
        <v>3834.68</v>
      </c>
      <c r="K1357" s="67">
        <f t="shared" si="88"/>
        <v>106652.59452207494</v>
      </c>
      <c r="L1357" s="95">
        <f>+VLOOKUP(E1357,MARGEN!A:B,2,FALSE)</f>
        <v>0.1</v>
      </c>
      <c r="M1357" s="112">
        <f t="shared" si="85"/>
        <v>10665.259452207494</v>
      </c>
      <c r="N1357" s="113">
        <f t="shared" si="86"/>
        <v>426.61037808829974</v>
      </c>
      <c r="O1357" s="113">
        <f t="shared" si="87"/>
        <v>95560.724691779149</v>
      </c>
    </row>
    <row r="1358" spans="1:15" x14ac:dyDescent="0.25">
      <c r="A1358" s="13">
        <v>44461</v>
      </c>
      <c r="B1358" s="97">
        <v>3911</v>
      </c>
      <c r="C1358" t="s">
        <v>71</v>
      </c>
      <c r="D1358" t="s">
        <v>337</v>
      </c>
      <c r="E1358" t="s">
        <v>45</v>
      </c>
      <c r="F1358" t="s">
        <v>573</v>
      </c>
      <c r="G1358" s="50" t="s">
        <v>574</v>
      </c>
      <c r="H1358" s="50">
        <v>2</v>
      </c>
      <c r="I1358" s="100">
        <v>6.7391919697301583</v>
      </c>
      <c r="J1358" s="52">
        <v>3834.68</v>
      </c>
      <c r="K1358" s="67">
        <f t="shared" si="88"/>
        <v>101070.58327497823</v>
      </c>
      <c r="L1358" s="95">
        <f>+VLOOKUP(E1358,MARGEN!A:B,2,FALSE)</f>
        <v>0.1</v>
      </c>
      <c r="M1358" s="112">
        <f t="shared" si="85"/>
        <v>10107.058327497823</v>
      </c>
      <c r="N1358" s="113">
        <f t="shared" si="86"/>
        <v>404.28233309991293</v>
      </c>
      <c r="O1358" s="113">
        <f t="shared" si="87"/>
        <v>90559.242614380491</v>
      </c>
    </row>
    <row r="1359" spans="1:15" x14ac:dyDescent="0.25">
      <c r="A1359" s="13">
        <v>44461</v>
      </c>
      <c r="B1359" s="97">
        <v>3695</v>
      </c>
      <c r="C1359" t="s">
        <v>177</v>
      </c>
      <c r="D1359" t="s">
        <v>355</v>
      </c>
      <c r="E1359" t="s">
        <v>45</v>
      </c>
      <c r="F1359" t="s">
        <v>573</v>
      </c>
      <c r="G1359" s="50" t="s">
        <v>574</v>
      </c>
      <c r="H1359" s="50">
        <v>2</v>
      </c>
      <c r="I1359" s="100">
        <v>6.7391919697301583</v>
      </c>
      <c r="J1359" s="52">
        <v>3834.68</v>
      </c>
      <c r="K1359" s="67">
        <f t="shared" si="88"/>
        <v>95488.572027881484</v>
      </c>
      <c r="L1359" s="95">
        <f>+VLOOKUP(E1359,MARGEN!A:B,2,FALSE)</f>
        <v>0.1</v>
      </c>
      <c r="M1359" s="112">
        <f t="shared" si="85"/>
        <v>9548.8572027881492</v>
      </c>
      <c r="N1359" s="113">
        <f t="shared" si="86"/>
        <v>381.95428811152595</v>
      </c>
      <c r="O1359" s="113">
        <f t="shared" si="87"/>
        <v>85557.760536981819</v>
      </c>
    </row>
    <row r="1360" spans="1:15" x14ac:dyDescent="0.25">
      <c r="A1360" s="13">
        <v>44461</v>
      </c>
      <c r="B1360" s="97">
        <v>3503</v>
      </c>
      <c r="C1360" t="s">
        <v>269</v>
      </c>
      <c r="D1360" t="s">
        <v>520</v>
      </c>
      <c r="E1360" t="s">
        <v>45</v>
      </c>
      <c r="F1360" t="s">
        <v>562</v>
      </c>
      <c r="G1360" s="50" t="s">
        <v>574</v>
      </c>
      <c r="H1360" s="50">
        <v>2</v>
      </c>
      <c r="I1360" s="100">
        <v>6.7391919697301583</v>
      </c>
      <c r="J1360" s="52">
        <v>3834.68</v>
      </c>
      <c r="K1360" s="67">
        <f t="shared" si="88"/>
        <v>90526.784252684418</v>
      </c>
      <c r="L1360" s="95">
        <f>+VLOOKUP(E1360,MARGEN!A:B,2,FALSE)</f>
        <v>0.1</v>
      </c>
      <c r="M1360" s="112">
        <f t="shared" si="85"/>
        <v>9052.6784252684429</v>
      </c>
      <c r="N1360" s="113">
        <f t="shared" si="86"/>
        <v>362.10713701073769</v>
      </c>
      <c r="O1360" s="113">
        <f t="shared" si="87"/>
        <v>81111.998690405235</v>
      </c>
    </row>
    <row r="1361" spans="1:15" x14ac:dyDescent="0.25">
      <c r="A1361" s="13">
        <v>44461</v>
      </c>
      <c r="B1361" s="97">
        <v>3143</v>
      </c>
      <c r="C1361" t="s">
        <v>277</v>
      </c>
      <c r="D1361" t="s">
        <v>513</v>
      </c>
      <c r="E1361" t="s">
        <v>45</v>
      </c>
      <c r="F1361" t="s">
        <v>573</v>
      </c>
      <c r="G1361" s="50" t="s">
        <v>574</v>
      </c>
      <c r="H1361" s="50">
        <v>2</v>
      </c>
      <c r="I1361" s="100">
        <v>6.7391919697301583</v>
      </c>
      <c r="J1361" s="52">
        <v>3834.68</v>
      </c>
      <c r="K1361" s="67">
        <f t="shared" si="88"/>
        <v>81223.43217418986</v>
      </c>
      <c r="L1361" s="95">
        <f>+VLOOKUP(E1361,MARGEN!A:B,2,FALSE)</f>
        <v>0.1</v>
      </c>
      <c r="M1361" s="112">
        <f t="shared" si="85"/>
        <v>8122.3432174189866</v>
      </c>
      <c r="N1361" s="113">
        <f t="shared" si="86"/>
        <v>324.89372869675947</v>
      </c>
      <c r="O1361" s="113">
        <f t="shared" si="87"/>
        <v>72776.195228074124</v>
      </c>
    </row>
    <row r="1362" spans="1:15" x14ac:dyDescent="0.25">
      <c r="A1362" s="13">
        <v>44461</v>
      </c>
      <c r="B1362" s="97">
        <v>2879</v>
      </c>
      <c r="C1362" t="s">
        <v>139</v>
      </c>
      <c r="D1362" t="s">
        <v>327</v>
      </c>
      <c r="E1362" t="s">
        <v>45</v>
      </c>
      <c r="F1362" t="s">
        <v>573</v>
      </c>
      <c r="G1362" s="50" t="s">
        <v>574</v>
      </c>
      <c r="H1362" s="50">
        <v>2</v>
      </c>
      <c r="I1362" s="100">
        <v>6.7391919697301583</v>
      </c>
      <c r="J1362" s="52">
        <v>3834.68</v>
      </c>
      <c r="K1362" s="67">
        <f t="shared" si="88"/>
        <v>74400.973983293865</v>
      </c>
      <c r="L1362" s="95">
        <f>+VLOOKUP(E1362,MARGEN!A:B,2,FALSE)</f>
        <v>0.1</v>
      </c>
      <c r="M1362" s="112">
        <f t="shared" si="85"/>
        <v>7440.097398329387</v>
      </c>
      <c r="N1362" s="113">
        <f t="shared" si="86"/>
        <v>297.60389593317547</v>
      </c>
      <c r="O1362" s="113">
        <f t="shared" si="87"/>
        <v>66663.272689031306</v>
      </c>
    </row>
    <row r="1363" spans="1:15" x14ac:dyDescent="0.25">
      <c r="A1363" s="13">
        <v>44461</v>
      </c>
      <c r="B1363" s="97">
        <v>2855</v>
      </c>
      <c r="C1363" t="s">
        <v>268</v>
      </c>
      <c r="D1363" t="s">
        <v>514</v>
      </c>
      <c r="E1363" t="s">
        <v>45</v>
      </c>
      <c r="F1363" t="s">
        <v>573</v>
      </c>
      <c r="G1363" s="50" t="s">
        <v>574</v>
      </c>
      <c r="H1363" s="50">
        <v>2</v>
      </c>
      <c r="I1363" s="100">
        <v>6.7391919697301583</v>
      </c>
      <c r="J1363" s="52">
        <v>3834.68</v>
      </c>
      <c r="K1363" s="67">
        <f t="shared" si="88"/>
        <v>73780.750511394232</v>
      </c>
      <c r="L1363" s="95">
        <f>+VLOOKUP(E1363,MARGEN!A:B,2,FALSE)</f>
        <v>0.1</v>
      </c>
      <c r="M1363" s="112">
        <f t="shared" si="85"/>
        <v>7378.0750511394235</v>
      </c>
      <c r="N1363" s="113">
        <f t="shared" si="86"/>
        <v>295.12300204557692</v>
      </c>
      <c r="O1363" s="113">
        <f t="shared" si="87"/>
        <v>66107.552458209218</v>
      </c>
    </row>
    <row r="1364" spans="1:15" x14ac:dyDescent="0.25">
      <c r="A1364" s="13">
        <v>44461</v>
      </c>
      <c r="B1364" s="97">
        <v>2855</v>
      </c>
      <c r="C1364" t="s">
        <v>99</v>
      </c>
      <c r="D1364" t="s">
        <v>366</v>
      </c>
      <c r="E1364" t="s">
        <v>45</v>
      </c>
      <c r="F1364" t="s">
        <v>562</v>
      </c>
      <c r="G1364" s="50" t="s">
        <v>574</v>
      </c>
      <c r="H1364" s="50">
        <v>2</v>
      </c>
      <c r="I1364" s="100">
        <v>6.7391919697301583</v>
      </c>
      <c r="J1364" s="52">
        <v>3834.68</v>
      </c>
      <c r="K1364" s="67">
        <f t="shared" si="88"/>
        <v>73780.750511394232</v>
      </c>
      <c r="L1364" s="95">
        <f>+VLOOKUP(E1364,MARGEN!A:B,2,FALSE)</f>
        <v>0.1</v>
      </c>
      <c r="M1364" s="112">
        <f t="shared" si="85"/>
        <v>7378.0750511394235</v>
      </c>
      <c r="N1364" s="113">
        <f t="shared" si="86"/>
        <v>295.12300204557692</v>
      </c>
      <c r="O1364" s="113">
        <f t="shared" si="87"/>
        <v>66107.552458209218</v>
      </c>
    </row>
    <row r="1365" spans="1:15" x14ac:dyDescent="0.25">
      <c r="A1365" s="13">
        <v>44461</v>
      </c>
      <c r="B1365" s="97">
        <v>2807</v>
      </c>
      <c r="C1365" t="s">
        <v>178</v>
      </c>
      <c r="D1365" t="s">
        <v>370</v>
      </c>
      <c r="E1365" t="s">
        <v>45</v>
      </c>
      <c r="F1365" t="s">
        <v>573</v>
      </c>
      <c r="G1365" s="50" t="s">
        <v>574</v>
      </c>
      <c r="H1365" s="50">
        <v>2</v>
      </c>
      <c r="I1365" s="100">
        <v>6.7391919697301583</v>
      </c>
      <c r="J1365" s="52">
        <v>3834.68</v>
      </c>
      <c r="K1365" s="67">
        <f t="shared" si="88"/>
        <v>72540.303567594965</v>
      </c>
      <c r="L1365" s="95">
        <f>+VLOOKUP(E1365,MARGEN!A:B,2,FALSE)</f>
        <v>0.1</v>
      </c>
      <c r="M1365" s="112">
        <f t="shared" si="85"/>
        <v>7254.0303567594965</v>
      </c>
      <c r="N1365" s="113">
        <f t="shared" si="86"/>
        <v>290.16121427037984</v>
      </c>
      <c r="O1365" s="113">
        <f t="shared" si="87"/>
        <v>64996.111996565087</v>
      </c>
    </row>
    <row r="1366" spans="1:15" x14ac:dyDescent="0.25">
      <c r="A1366" s="13">
        <v>44461</v>
      </c>
      <c r="B1366" s="97">
        <v>2663</v>
      </c>
      <c r="C1366" t="s">
        <v>138</v>
      </c>
      <c r="D1366" t="s">
        <v>321</v>
      </c>
      <c r="E1366" t="s">
        <v>45</v>
      </c>
      <c r="F1366" t="s">
        <v>573</v>
      </c>
      <c r="G1366" s="50" t="s">
        <v>574</v>
      </c>
      <c r="H1366" s="50">
        <v>2</v>
      </c>
      <c r="I1366" s="100">
        <v>6.7391919697301583</v>
      </c>
      <c r="J1366" s="52">
        <v>3834.68</v>
      </c>
      <c r="K1366" s="67">
        <f t="shared" si="88"/>
        <v>68818.962736197136</v>
      </c>
      <c r="L1366" s="95">
        <f>+VLOOKUP(E1366,MARGEN!A:B,2,FALSE)</f>
        <v>0.1</v>
      </c>
      <c r="M1366" s="112">
        <f t="shared" si="85"/>
        <v>6881.8962736197136</v>
      </c>
      <c r="N1366" s="113">
        <f t="shared" si="86"/>
        <v>275.27585094478854</v>
      </c>
      <c r="O1366" s="113">
        <f t="shared" si="87"/>
        <v>61661.790611632634</v>
      </c>
    </row>
    <row r="1367" spans="1:15" x14ac:dyDescent="0.25">
      <c r="A1367" s="13">
        <v>44461</v>
      </c>
      <c r="B1367" s="97">
        <v>2207</v>
      </c>
      <c r="C1367" t="s">
        <v>246</v>
      </c>
      <c r="D1367" t="s">
        <v>373</v>
      </c>
      <c r="E1367" t="s">
        <v>45</v>
      </c>
      <c r="F1367" t="s">
        <v>566</v>
      </c>
      <c r="G1367" s="50" t="s">
        <v>574</v>
      </c>
      <c r="H1367" s="50">
        <v>2</v>
      </c>
      <c r="I1367" s="100">
        <v>6.7391919697301583</v>
      </c>
      <c r="J1367" s="52">
        <v>3834.68</v>
      </c>
      <c r="K1367" s="67">
        <f t="shared" si="88"/>
        <v>57034.716770104053</v>
      </c>
      <c r="L1367" s="95">
        <f>+VLOOKUP(E1367,MARGEN!A:B,2,FALSE)</f>
        <v>0.1</v>
      </c>
      <c r="M1367" s="112">
        <f t="shared" si="85"/>
        <v>5703.471677010406</v>
      </c>
      <c r="N1367" s="113">
        <f t="shared" si="86"/>
        <v>228.13886708041622</v>
      </c>
      <c r="O1367" s="113">
        <f t="shared" si="87"/>
        <v>51103.106226013231</v>
      </c>
    </row>
    <row r="1368" spans="1:15" x14ac:dyDescent="0.25">
      <c r="A1368" s="13">
        <v>44461</v>
      </c>
      <c r="B1368" s="97">
        <v>2183</v>
      </c>
      <c r="C1368" t="s">
        <v>560</v>
      </c>
      <c r="D1368" t="s">
        <v>561</v>
      </c>
      <c r="E1368" t="s">
        <v>45</v>
      </c>
      <c r="F1368" t="s">
        <v>573</v>
      </c>
      <c r="G1368" s="50" t="s">
        <v>574</v>
      </c>
      <c r="H1368" s="50">
        <v>2</v>
      </c>
      <c r="I1368" s="100">
        <v>6.7391919697301583</v>
      </c>
      <c r="J1368" s="52">
        <v>3834.68</v>
      </c>
      <c r="K1368" s="67">
        <f t="shared" si="88"/>
        <v>56414.493298204405</v>
      </c>
      <c r="L1368" s="95">
        <f>+VLOOKUP(E1368,MARGEN!A:B,2,FALSE)</f>
        <v>0.1</v>
      </c>
      <c r="M1368" s="112">
        <f t="shared" si="85"/>
        <v>5641.4493298204407</v>
      </c>
      <c r="N1368" s="113">
        <f t="shared" si="86"/>
        <v>225.65797319281762</v>
      </c>
      <c r="O1368" s="113">
        <f t="shared" si="87"/>
        <v>50547.385995191151</v>
      </c>
    </row>
    <row r="1369" spans="1:15" x14ac:dyDescent="0.25">
      <c r="A1369" s="13">
        <v>44461</v>
      </c>
      <c r="B1369" s="97">
        <v>2087</v>
      </c>
      <c r="C1369" t="s">
        <v>103</v>
      </c>
      <c r="D1369" t="s">
        <v>342</v>
      </c>
      <c r="E1369" t="s">
        <v>45</v>
      </c>
      <c r="F1369" t="s">
        <v>558</v>
      </c>
      <c r="G1369" s="50" t="s">
        <v>574</v>
      </c>
      <c r="H1369" s="50">
        <v>2</v>
      </c>
      <c r="I1369" s="100">
        <v>6.7391919697301583</v>
      </c>
      <c r="J1369" s="52">
        <v>3834.68</v>
      </c>
      <c r="K1369" s="67">
        <f t="shared" si="88"/>
        <v>53933.599410605872</v>
      </c>
      <c r="L1369" s="95">
        <f>+VLOOKUP(E1369,MARGEN!A:B,2,FALSE)</f>
        <v>0.1</v>
      </c>
      <c r="M1369" s="112">
        <f t="shared" si="85"/>
        <v>5393.3599410605875</v>
      </c>
      <c r="N1369" s="113">
        <f t="shared" si="86"/>
        <v>215.73439764242349</v>
      </c>
      <c r="O1369" s="113">
        <f t="shared" si="87"/>
        <v>48324.505071902859</v>
      </c>
    </row>
    <row r="1370" spans="1:15" x14ac:dyDescent="0.25">
      <c r="A1370" s="13">
        <v>44461</v>
      </c>
      <c r="B1370" s="97">
        <v>2087</v>
      </c>
      <c r="C1370" t="s">
        <v>92</v>
      </c>
      <c r="D1370" t="s">
        <v>490</v>
      </c>
      <c r="E1370" t="s">
        <v>45</v>
      </c>
      <c r="F1370" t="s">
        <v>558</v>
      </c>
      <c r="G1370" s="50" t="s">
        <v>574</v>
      </c>
      <c r="H1370" s="50">
        <v>2</v>
      </c>
      <c r="I1370" s="100">
        <v>6.7391919697301583</v>
      </c>
      <c r="J1370" s="52">
        <v>3834.68</v>
      </c>
      <c r="K1370" s="67">
        <f t="shared" si="88"/>
        <v>53933.599410605872</v>
      </c>
      <c r="L1370" s="95">
        <f>+VLOOKUP(E1370,MARGEN!A:B,2,FALSE)</f>
        <v>0.1</v>
      </c>
      <c r="M1370" s="112">
        <f t="shared" si="85"/>
        <v>5393.3599410605875</v>
      </c>
      <c r="N1370" s="113">
        <f t="shared" si="86"/>
        <v>215.73439764242349</v>
      </c>
      <c r="O1370" s="113">
        <f t="shared" si="87"/>
        <v>48324.505071902859</v>
      </c>
    </row>
    <row r="1371" spans="1:15" x14ac:dyDescent="0.25">
      <c r="A1371" s="13">
        <v>44461</v>
      </c>
      <c r="B1371" s="97">
        <v>1871</v>
      </c>
      <c r="C1371" t="s">
        <v>198</v>
      </c>
      <c r="D1371" t="s">
        <v>326</v>
      </c>
      <c r="E1371" t="s">
        <v>45</v>
      </c>
      <c r="F1371" t="s">
        <v>573</v>
      </c>
      <c r="G1371" s="50" t="s">
        <v>574</v>
      </c>
      <c r="H1371" s="50">
        <v>2</v>
      </c>
      <c r="I1371" s="100">
        <v>6.7391919697301583</v>
      </c>
      <c r="J1371" s="52">
        <v>3834.68</v>
      </c>
      <c r="K1371" s="67">
        <f t="shared" si="88"/>
        <v>48351.588163509143</v>
      </c>
      <c r="L1371" s="95">
        <f>+VLOOKUP(E1371,MARGEN!A:B,2,FALSE)</f>
        <v>0.1</v>
      </c>
      <c r="M1371" s="112">
        <f t="shared" si="85"/>
        <v>4835.1588163509141</v>
      </c>
      <c r="N1371" s="113">
        <f t="shared" si="86"/>
        <v>193.40635265403657</v>
      </c>
      <c r="O1371" s="113">
        <f t="shared" si="87"/>
        <v>43323.022994504194</v>
      </c>
    </row>
    <row r="1372" spans="1:15" x14ac:dyDescent="0.25">
      <c r="A1372" s="13">
        <v>44461</v>
      </c>
      <c r="B1372" s="97">
        <v>1847</v>
      </c>
      <c r="C1372" t="s">
        <v>270</v>
      </c>
      <c r="D1372" t="s">
        <v>491</v>
      </c>
      <c r="E1372" t="s">
        <v>45</v>
      </c>
      <c r="F1372" t="s">
        <v>573</v>
      </c>
      <c r="G1372" s="50" t="s">
        <v>574</v>
      </c>
      <c r="H1372" s="50">
        <v>2</v>
      </c>
      <c r="I1372" s="100">
        <v>6.7391919697301583</v>
      </c>
      <c r="J1372" s="52">
        <v>3834.68</v>
      </c>
      <c r="K1372" s="67">
        <f t="shared" si="88"/>
        <v>47731.364691609502</v>
      </c>
      <c r="L1372" s="95">
        <f>+VLOOKUP(E1372,MARGEN!A:B,2,FALSE)</f>
        <v>0.1</v>
      </c>
      <c r="M1372" s="112">
        <f t="shared" si="85"/>
        <v>4773.1364691609506</v>
      </c>
      <c r="N1372" s="113">
        <f t="shared" si="86"/>
        <v>190.925458766438</v>
      </c>
      <c r="O1372" s="113">
        <f t="shared" si="87"/>
        <v>42767.302763682113</v>
      </c>
    </row>
    <row r="1373" spans="1:15" x14ac:dyDescent="0.25">
      <c r="A1373" s="13">
        <v>44461</v>
      </c>
      <c r="B1373" s="97">
        <v>1727</v>
      </c>
      <c r="C1373" t="s">
        <v>190</v>
      </c>
      <c r="D1373" t="s">
        <v>356</v>
      </c>
      <c r="E1373" t="s">
        <v>45</v>
      </c>
      <c r="F1373" t="s">
        <v>573</v>
      </c>
      <c r="G1373" s="50" t="s">
        <v>574</v>
      </c>
      <c r="H1373" s="50">
        <v>2</v>
      </c>
      <c r="I1373" s="100">
        <v>6.7391919697301583</v>
      </c>
      <c r="J1373" s="52">
        <v>3834.68</v>
      </c>
      <c r="K1373" s="67">
        <f t="shared" si="88"/>
        <v>44630.247332111321</v>
      </c>
      <c r="L1373" s="95">
        <f>+VLOOKUP(E1373,MARGEN!A:B,2,FALSE)</f>
        <v>0.1</v>
      </c>
      <c r="M1373" s="112">
        <f t="shared" si="85"/>
        <v>4463.0247332111321</v>
      </c>
      <c r="N1373" s="113">
        <f t="shared" si="86"/>
        <v>178.5209893284453</v>
      </c>
      <c r="O1373" s="113">
        <f t="shared" si="87"/>
        <v>39988.701609571741</v>
      </c>
    </row>
    <row r="1374" spans="1:15" x14ac:dyDescent="0.25">
      <c r="A1374" s="13">
        <v>44461</v>
      </c>
      <c r="B1374" s="97">
        <v>1535</v>
      </c>
      <c r="C1374" t="s">
        <v>273</v>
      </c>
      <c r="D1374" t="s">
        <v>515</v>
      </c>
      <c r="E1374" t="s">
        <v>45</v>
      </c>
      <c r="F1374" t="s">
        <v>573</v>
      </c>
      <c r="G1374" s="50" t="s">
        <v>574</v>
      </c>
      <c r="H1374" s="50">
        <v>2</v>
      </c>
      <c r="I1374" s="100">
        <v>6.7391919697301583</v>
      </c>
      <c r="J1374" s="52">
        <v>3834.68</v>
      </c>
      <c r="K1374" s="67">
        <f t="shared" si="88"/>
        <v>39668.459556914233</v>
      </c>
      <c r="L1374" s="95">
        <f>+VLOOKUP(E1374,MARGEN!A:B,2,FALSE)</f>
        <v>0.1</v>
      </c>
      <c r="M1374" s="112">
        <f t="shared" si="85"/>
        <v>3966.8459556914236</v>
      </c>
      <c r="N1374" s="113">
        <f t="shared" si="86"/>
        <v>158.67383822765694</v>
      </c>
      <c r="O1374" s="113">
        <f t="shared" si="87"/>
        <v>35542.939762995149</v>
      </c>
    </row>
    <row r="1375" spans="1:15" x14ac:dyDescent="0.25">
      <c r="A1375" s="13">
        <v>44461</v>
      </c>
      <c r="B1375" s="97">
        <v>1487</v>
      </c>
      <c r="C1375" t="s">
        <v>250</v>
      </c>
      <c r="D1375" t="s">
        <v>333</v>
      </c>
      <c r="E1375" t="s">
        <v>45</v>
      </c>
      <c r="F1375" t="s">
        <v>562</v>
      </c>
      <c r="G1375" s="50" t="s">
        <v>574</v>
      </c>
      <c r="H1375" s="50">
        <v>2</v>
      </c>
      <c r="I1375" s="100">
        <v>6.7391919697301583</v>
      </c>
      <c r="J1375" s="52">
        <v>3834.68</v>
      </c>
      <c r="K1375" s="67">
        <f t="shared" si="88"/>
        <v>38428.012613114959</v>
      </c>
      <c r="L1375" s="95">
        <f>+VLOOKUP(E1375,MARGEN!A:B,2,FALSE)</f>
        <v>0.1</v>
      </c>
      <c r="M1375" s="112">
        <f t="shared" si="85"/>
        <v>3842.8012613114961</v>
      </c>
      <c r="N1375" s="113">
        <f t="shared" si="86"/>
        <v>153.71205045245983</v>
      </c>
      <c r="O1375" s="113">
        <f t="shared" si="87"/>
        <v>34431.499301351003</v>
      </c>
    </row>
    <row r="1376" spans="1:15" x14ac:dyDescent="0.25">
      <c r="A1376" s="13">
        <v>44461</v>
      </c>
      <c r="B1376" s="97">
        <v>1391</v>
      </c>
      <c r="C1376" t="s">
        <v>107</v>
      </c>
      <c r="D1376" t="s">
        <v>346</v>
      </c>
      <c r="E1376" t="s">
        <v>45</v>
      </c>
      <c r="F1376" t="s">
        <v>573</v>
      </c>
      <c r="G1376" s="50" t="s">
        <v>574</v>
      </c>
      <c r="H1376" s="50">
        <v>2</v>
      </c>
      <c r="I1376" s="100">
        <v>6.7391919697301583</v>
      </c>
      <c r="J1376" s="52">
        <v>3834.68</v>
      </c>
      <c r="K1376" s="67">
        <f t="shared" si="88"/>
        <v>35947.118725516419</v>
      </c>
      <c r="L1376" s="95">
        <f>+VLOOKUP(E1376,MARGEN!A:B,2,FALSE)</f>
        <v>0.1</v>
      </c>
      <c r="M1376" s="112">
        <f t="shared" si="85"/>
        <v>3594.711872551642</v>
      </c>
      <c r="N1376" s="113">
        <f t="shared" si="86"/>
        <v>143.78847490206567</v>
      </c>
      <c r="O1376" s="113">
        <f t="shared" si="87"/>
        <v>32208.618378062711</v>
      </c>
    </row>
    <row r="1377" spans="1:15" x14ac:dyDescent="0.25">
      <c r="A1377" s="13">
        <v>44462</v>
      </c>
      <c r="B1377" s="97">
        <v>16343</v>
      </c>
      <c r="C1377" t="s">
        <v>78</v>
      </c>
      <c r="D1377" t="s">
        <v>412</v>
      </c>
      <c r="E1377" t="s">
        <v>45</v>
      </c>
      <c r="F1377" t="s">
        <v>573</v>
      </c>
      <c r="G1377" s="50" t="s">
        <v>574</v>
      </c>
      <c r="H1377" s="50">
        <v>2</v>
      </c>
      <c r="I1377" s="100">
        <v>6.7391919697301583</v>
      </c>
      <c r="J1377" s="52">
        <v>3834.68</v>
      </c>
      <c r="K1377" s="67">
        <f t="shared" si="88"/>
        <v>422346.34171898977</v>
      </c>
      <c r="L1377" s="95">
        <f>+VLOOKUP(E1377,MARGEN!A:B,2,FALSE)</f>
        <v>0.1</v>
      </c>
      <c r="M1377" s="112">
        <f t="shared" si="85"/>
        <v>42234.634171898979</v>
      </c>
      <c r="N1377" s="113">
        <f t="shared" si="86"/>
        <v>1689.3853668759591</v>
      </c>
      <c r="O1377" s="113">
        <f t="shared" si="87"/>
        <v>378422.3221802148</v>
      </c>
    </row>
    <row r="1378" spans="1:15" x14ac:dyDescent="0.25">
      <c r="A1378" s="13">
        <v>44462</v>
      </c>
      <c r="B1378" s="97">
        <v>12815</v>
      </c>
      <c r="C1378" t="s">
        <v>73</v>
      </c>
      <c r="D1378" t="s">
        <v>338</v>
      </c>
      <c r="E1378" t="s">
        <v>45</v>
      </c>
      <c r="F1378" t="s">
        <v>573</v>
      </c>
      <c r="G1378" s="50" t="s">
        <v>574</v>
      </c>
      <c r="H1378" s="50">
        <v>2</v>
      </c>
      <c r="I1378" s="100">
        <v>6.7391919697301583</v>
      </c>
      <c r="J1378" s="52">
        <v>3834.68</v>
      </c>
      <c r="K1378" s="67">
        <f t="shared" si="88"/>
        <v>331173.49134974327</v>
      </c>
      <c r="L1378" s="95">
        <f>+VLOOKUP(E1378,MARGEN!A:B,2,FALSE)</f>
        <v>0.1</v>
      </c>
      <c r="M1378" s="112">
        <f t="shared" si="85"/>
        <v>33117.349134974327</v>
      </c>
      <c r="N1378" s="113">
        <f t="shared" si="86"/>
        <v>1324.693965398973</v>
      </c>
      <c r="O1378" s="113">
        <f t="shared" si="87"/>
        <v>296731.44824936992</v>
      </c>
    </row>
    <row r="1379" spans="1:15" x14ac:dyDescent="0.25">
      <c r="A1379" s="13">
        <v>44462</v>
      </c>
      <c r="B1379" s="97">
        <v>9935</v>
      </c>
      <c r="C1379" t="s">
        <v>95</v>
      </c>
      <c r="D1379" t="s">
        <v>510</v>
      </c>
      <c r="E1379" t="s">
        <v>45</v>
      </c>
      <c r="F1379" t="s">
        <v>573</v>
      </c>
      <c r="G1379" s="50" t="s">
        <v>574</v>
      </c>
      <c r="H1379" s="50">
        <v>2</v>
      </c>
      <c r="I1379" s="100">
        <v>6.7391919697301583</v>
      </c>
      <c r="J1379" s="52">
        <v>3834.68</v>
      </c>
      <c r="K1379" s="67">
        <f t="shared" si="88"/>
        <v>256746.6747217869</v>
      </c>
      <c r="L1379" s="95">
        <f>+VLOOKUP(E1379,MARGEN!A:B,2,FALSE)</f>
        <v>0.1</v>
      </c>
      <c r="M1379" s="112">
        <f t="shared" si="85"/>
        <v>25674.667472178691</v>
      </c>
      <c r="N1379" s="113">
        <f t="shared" si="86"/>
        <v>1026.9866988871477</v>
      </c>
      <c r="O1379" s="113">
        <f t="shared" si="87"/>
        <v>230045.02055072106</v>
      </c>
    </row>
    <row r="1380" spans="1:15" x14ac:dyDescent="0.25">
      <c r="A1380" s="13">
        <v>44462</v>
      </c>
      <c r="B1380" s="97">
        <v>8254</v>
      </c>
      <c r="C1380" t="s">
        <v>191</v>
      </c>
      <c r="D1380" t="s">
        <v>354</v>
      </c>
      <c r="E1380" t="s">
        <v>45</v>
      </c>
      <c r="F1380" t="s">
        <v>558</v>
      </c>
      <c r="G1380" s="50" t="s">
        <v>574</v>
      </c>
      <c r="H1380" s="50">
        <v>2</v>
      </c>
      <c r="I1380" s="100">
        <v>6.7391919697301583</v>
      </c>
      <c r="J1380" s="52">
        <v>3834.68</v>
      </c>
      <c r="K1380" s="67">
        <f t="shared" si="88"/>
        <v>213305.18904414988</v>
      </c>
      <c r="L1380" s="95">
        <f>+VLOOKUP(E1380,MARGEN!A:B,2,FALSE)</f>
        <v>0.1</v>
      </c>
      <c r="M1380" s="112">
        <f t="shared" si="85"/>
        <v>21330.518904414988</v>
      </c>
      <c r="N1380" s="113">
        <f t="shared" si="86"/>
        <v>853.22075617659948</v>
      </c>
      <c r="O1380" s="113">
        <f t="shared" si="87"/>
        <v>191121.4493835583</v>
      </c>
    </row>
    <row r="1381" spans="1:15" x14ac:dyDescent="0.25">
      <c r="A1381" s="13">
        <v>44462</v>
      </c>
      <c r="B1381" s="97">
        <v>8230</v>
      </c>
      <c r="C1381" t="s">
        <v>90</v>
      </c>
      <c r="D1381" t="s">
        <v>350</v>
      </c>
      <c r="E1381" t="s">
        <v>45</v>
      </c>
      <c r="F1381" t="s">
        <v>558</v>
      </c>
      <c r="G1381" s="50" t="s">
        <v>574</v>
      </c>
      <c r="H1381" s="50">
        <v>2</v>
      </c>
      <c r="I1381" s="100">
        <v>6.7391919697301583</v>
      </c>
      <c r="J1381" s="52">
        <v>3834.68</v>
      </c>
      <c r="K1381" s="67">
        <f t="shared" si="88"/>
        <v>212684.96557225028</v>
      </c>
      <c r="L1381" s="95">
        <f>+VLOOKUP(E1381,MARGEN!A:B,2,FALSE)</f>
        <v>0.1</v>
      </c>
      <c r="M1381" s="112">
        <f t="shared" si="85"/>
        <v>21268.496557225029</v>
      </c>
      <c r="N1381" s="113">
        <f t="shared" si="86"/>
        <v>850.73986228900117</v>
      </c>
      <c r="O1381" s="113">
        <f t="shared" si="87"/>
        <v>190565.72915273625</v>
      </c>
    </row>
    <row r="1382" spans="1:15" x14ac:dyDescent="0.25">
      <c r="A1382" s="13">
        <v>44462</v>
      </c>
      <c r="B1382" s="97">
        <v>7607</v>
      </c>
      <c r="C1382" t="s">
        <v>248</v>
      </c>
      <c r="D1382" t="s">
        <v>385</v>
      </c>
      <c r="E1382" t="s">
        <v>45</v>
      </c>
      <c r="F1382" t="s">
        <v>558</v>
      </c>
      <c r="G1382" s="50" t="s">
        <v>574</v>
      </c>
      <c r="H1382" s="50">
        <v>2</v>
      </c>
      <c r="I1382" s="100">
        <v>6.7391919697301583</v>
      </c>
      <c r="J1382" s="52">
        <v>3834.68</v>
      </c>
      <c r="K1382" s="67">
        <f t="shared" si="88"/>
        <v>196584.99794752221</v>
      </c>
      <c r="L1382" s="95">
        <f>+VLOOKUP(E1382,MARGEN!A:B,2,FALSE)</f>
        <v>0.1</v>
      </c>
      <c r="M1382" s="112">
        <f t="shared" si="85"/>
        <v>19658.499794752221</v>
      </c>
      <c r="N1382" s="113">
        <f t="shared" si="86"/>
        <v>786.33999179008879</v>
      </c>
      <c r="O1382" s="113">
        <f t="shared" si="87"/>
        <v>176140.15816097989</v>
      </c>
    </row>
    <row r="1383" spans="1:15" x14ac:dyDescent="0.25">
      <c r="A1383" s="13">
        <v>44462</v>
      </c>
      <c r="B1383" s="97">
        <v>7535</v>
      </c>
      <c r="C1383" t="s">
        <v>179</v>
      </c>
      <c r="D1383" t="s">
        <v>361</v>
      </c>
      <c r="E1383" t="s">
        <v>45</v>
      </c>
      <c r="F1383" t="s">
        <v>573</v>
      </c>
      <c r="G1383" s="50" t="s">
        <v>574</v>
      </c>
      <c r="H1383" s="50">
        <v>2</v>
      </c>
      <c r="I1383" s="100">
        <v>6.7391919697301583</v>
      </c>
      <c r="J1383" s="52">
        <v>3834.68</v>
      </c>
      <c r="K1383" s="67">
        <f t="shared" si="88"/>
        <v>194724.32753182328</v>
      </c>
      <c r="L1383" s="95">
        <f>+VLOOKUP(E1383,MARGEN!A:B,2,FALSE)</f>
        <v>0.1</v>
      </c>
      <c r="M1383" s="112">
        <f t="shared" si="85"/>
        <v>19472.432753182329</v>
      </c>
      <c r="N1383" s="113">
        <f t="shared" si="86"/>
        <v>778.89731012729305</v>
      </c>
      <c r="O1383" s="113">
        <f t="shared" si="87"/>
        <v>174472.99746851364</v>
      </c>
    </row>
    <row r="1384" spans="1:15" x14ac:dyDescent="0.25">
      <c r="A1384" s="13">
        <v>44462</v>
      </c>
      <c r="B1384" s="97">
        <v>7415</v>
      </c>
      <c r="C1384" t="s">
        <v>143</v>
      </c>
      <c r="D1384" t="s">
        <v>489</v>
      </c>
      <c r="E1384" t="s">
        <v>45</v>
      </c>
      <c r="F1384" t="s">
        <v>558</v>
      </c>
      <c r="G1384" s="50" t="s">
        <v>574</v>
      </c>
      <c r="H1384" s="50">
        <v>2</v>
      </c>
      <c r="I1384" s="100">
        <v>6.7391919697301583</v>
      </c>
      <c r="J1384" s="52">
        <v>3834.68</v>
      </c>
      <c r="K1384" s="67">
        <f t="shared" si="88"/>
        <v>191623.21017232511</v>
      </c>
      <c r="L1384" s="95">
        <f>+VLOOKUP(E1384,MARGEN!A:B,2,FALSE)</f>
        <v>0.1</v>
      </c>
      <c r="M1384" s="112">
        <f t="shared" si="85"/>
        <v>19162.321017232513</v>
      </c>
      <c r="N1384" s="113">
        <f t="shared" si="86"/>
        <v>766.49284068930046</v>
      </c>
      <c r="O1384" s="113">
        <f t="shared" si="87"/>
        <v>171694.3963144033</v>
      </c>
    </row>
    <row r="1385" spans="1:15" x14ac:dyDescent="0.25">
      <c r="A1385" s="13">
        <v>44462</v>
      </c>
      <c r="B1385" s="97">
        <v>5639</v>
      </c>
      <c r="C1385" t="s">
        <v>275</v>
      </c>
      <c r="D1385" t="s">
        <v>519</v>
      </c>
      <c r="E1385" t="s">
        <v>45</v>
      </c>
      <c r="F1385" t="s">
        <v>573</v>
      </c>
      <c r="G1385" s="50" t="s">
        <v>574</v>
      </c>
      <c r="H1385" s="50">
        <v>2</v>
      </c>
      <c r="I1385" s="100">
        <v>6.7391919697301583</v>
      </c>
      <c r="J1385" s="52">
        <v>3834.68</v>
      </c>
      <c r="K1385" s="67">
        <f t="shared" si="88"/>
        <v>145726.67325175201</v>
      </c>
      <c r="L1385" s="95">
        <f>+VLOOKUP(E1385,MARGEN!A:B,2,FALSE)</f>
        <v>0.1</v>
      </c>
      <c r="M1385" s="112">
        <f t="shared" si="85"/>
        <v>14572.667325175202</v>
      </c>
      <c r="N1385" s="113">
        <f t="shared" si="86"/>
        <v>582.90669300700802</v>
      </c>
      <c r="O1385" s="113">
        <f t="shared" si="87"/>
        <v>130571.09923356981</v>
      </c>
    </row>
    <row r="1386" spans="1:15" x14ac:dyDescent="0.25">
      <c r="A1386" s="13">
        <v>44462</v>
      </c>
      <c r="B1386" s="97">
        <v>5543</v>
      </c>
      <c r="C1386" t="s">
        <v>116</v>
      </c>
      <c r="D1386" t="s">
        <v>330</v>
      </c>
      <c r="E1386" t="s">
        <v>45</v>
      </c>
      <c r="F1386" t="s">
        <v>573</v>
      </c>
      <c r="G1386" s="50" t="s">
        <v>574</v>
      </c>
      <c r="H1386" s="50">
        <v>2</v>
      </c>
      <c r="I1386" s="100">
        <v>6.7391919697301583</v>
      </c>
      <c r="J1386" s="52">
        <v>3834.68</v>
      </c>
      <c r="K1386" s="67">
        <f t="shared" si="88"/>
        <v>143245.77936415351</v>
      </c>
      <c r="L1386" s="95">
        <f>+VLOOKUP(E1386,MARGEN!A:B,2,FALSE)</f>
        <v>0.1</v>
      </c>
      <c r="M1386" s="112">
        <f t="shared" si="85"/>
        <v>14324.577936415351</v>
      </c>
      <c r="N1386" s="113">
        <f t="shared" si="86"/>
        <v>572.98311745661408</v>
      </c>
      <c r="O1386" s="113">
        <f t="shared" si="87"/>
        <v>128348.21831028153</v>
      </c>
    </row>
    <row r="1387" spans="1:15" x14ac:dyDescent="0.25">
      <c r="A1387" s="13">
        <v>44462</v>
      </c>
      <c r="B1387" s="97">
        <v>4535</v>
      </c>
      <c r="C1387" t="s">
        <v>76</v>
      </c>
      <c r="D1387" t="s">
        <v>332</v>
      </c>
      <c r="E1387" t="s">
        <v>45</v>
      </c>
      <c r="F1387" t="s">
        <v>573</v>
      </c>
      <c r="G1387" s="50" t="s">
        <v>574</v>
      </c>
      <c r="H1387" s="50">
        <v>2</v>
      </c>
      <c r="I1387" s="100">
        <v>6.7391919697301583</v>
      </c>
      <c r="J1387" s="52">
        <v>3834.68</v>
      </c>
      <c r="K1387" s="67">
        <f t="shared" si="88"/>
        <v>117196.39354436877</v>
      </c>
      <c r="L1387" s="95">
        <f>+VLOOKUP(E1387,MARGEN!A:B,2,FALSE)</f>
        <v>0.1</v>
      </c>
      <c r="M1387" s="112">
        <f t="shared" si="85"/>
        <v>11719.639354436877</v>
      </c>
      <c r="N1387" s="113">
        <f t="shared" si="86"/>
        <v>468.78557417747504</v>
      </c>
      <c r="O1387" s="113">
        <f t="shared" si="87"/>
        <v>105007.96861575442</v>
      </c>
    </row>
    <row r="1388" spans="1:15" x14ac:dyDescent="0.25">
      <c r="A1388" s="13">
        <v>44462</v>
      </c>
      <c r="B1388" s="97">
        <v>4319</v>
      </c>
      <c r="C1388" t="s">
        <v>197</v>
      </c>
      <c r="D1388" t="s">
        <v>358</v>
      </c>
      <c r="E1388" t="s">
        <v>45</v>
      </c>
      <c r="F1388" t="s">
        <v>558</v>
      </c>
      <c r="G1388" s="50" t="s">
        <v>574</v>
      </c>
      <c r="H1388" s="50">
        <v>2</v>
      </c>
      <c r="I1388" s="100">
        <v>6.7391919697301583</v>
      </c>
      <c r="J1388" s="52">
        <v>3834.68</v>
      </c>
      <c r="K1388" s="67">
        <f t="shared" si="88"/>
        <v>111614.38229727202</v>
      </c>
      <c r="L1388" s="95">
        <f>+VLOOKUP(E1388,MARGEN!A:B,2,FALSE)</f>
        <v>0.1</v>
      </c>
      <c r="M1388" s="112">
        <f t="shared" si="85"/>
        <v>11161.438229727202</v>
      </c>
      <c r="N1388" s="113">
        <f t="shared" si="86"/>
        <v>446.45752918908806</v>
      </c>
      <c r="O1388" s="113">
        <f t="shared" si="87"/>
        <v>100006.48653835573</v>
      </c>
    </row>
    <row r="1389" spans="1:15" x14ac:dyDescent="0.25">
      <c r="A1389" s="13">
        <v>44462</v>
      </c>
      <c r="B1389" s="97">
        <v>4319</v>
      </c>
      <c r="C1389" t="s">
        <v>91</v>
      </c>
      <c r="D1389" t="s">
        <v>340</v>
      </c>
      <c r="E1389" t="s">
        <v>45</v>
      </c>
      <c r="F1389" t="s">
        <v>573</v>
      </c>
      <c r="G1389" s="50" t="s">
        <v>574</v>
      </c>
      <c r="H1389" s="50">
        <v>2</v>
      </c>
      <c r="I1389" s="100">
        <v>6.7391919697301583</v>
      </c>
      <c r="J1389" s="52">
        <v>3834.68</v>
      </c>
      <c r="K1389" s="67">
        <f t="shared" si="88"/>
        <v>111614.38229727202</v>
      </c>
      <c r="L1389" s="95">
        <f>+VLOOKUP(E1389,MARGEN!A:B,2,FALSE)</f>
        <v>0.1</v>
      </c>
      <c r="M1389" s="112">
        <f t="shared" si="85"/>
        <v>11161.438229727202</v>
      </c>
      <c r="N1389" s="113">
        <f t="shared" si="86"/>
        <v>446.45752918908806</v>
      </c>
      <c r="O1389" s="113">
        <f t="shared" si="87"/>
        <v>100006.48653835573</v>
      </c>
    </row>
    <row r="1390" spans="1:15" x14ac:dyDescent="0.25">
      <c r="A1390" s="13">
        <v>44462</v>
      </c>
      <c r="B1390" s="97">
        <v>4175</v>
      </c>
      <c r="C1390" t="s">
        <v>276</v>
      </c>
      <c r="D1390" t="s">
        <v>512</v>
      </c>
      <c r="E1390" t="s">
        <v>45</v>
      </c>
      <c r="F1390" t="s">
        <v>573</v>
      </c>
      <c r="G1390" s="50" t="s">
        <v>574</v>
      </c>
      <c r="H1390" s="50">
        <v>2</v>
      </c>
      <c r="I1390" s="100">
        <v>6.7391919697301583</v>
      </c>
      <c r="J1390" s="52">
        <v>3834.68</v>
      </c>
      <c r="K1390" s="67">
        <f t="shared" si="88"/>
        <v>107893.04146587422</v>
      </c>
      <c r="L1390" s="95">
        <f>+VLOOKUP(E1390,MARGEN!A:B,2,FALSE)</f>
        <v>0.1</v>
      </c>
      <c r="M1390" s="112">
        <f t="shared" si="85"/>
        <v>10789.304146587423</v>
      </c>
      <c r="N1390" s="113">
        <f t="shared" si="86"/>
        <v>431.57216586349688</v>
      </c>
      <c r="O1390" s="113">
        <f t="shared" si="87"/>
        <v>96672.165153423295</v>
      </c>
    </row>
    <row r="1391" spans="1:15" x14ac:dyDescent="0.25">
      <c r="A1391" s="13">
        <v>44462</v>
      </c>
      <c r="B1391" s="97">
        <v>4127</v>
      </c>
      <c r="C1391" t="s">
        <v>235</v>
      </c>
      <c r="D1391" t="s">
        <v>339</v>
      </c>
      <c r="E1391" t="s">
        <v>45</v>
      </c>
      <c r="F1391" t="s">
        <v>573</v>
      </c>
      <c r="G1391" s="50" t="s">
        <v>574</v>
      </c>
      <c r="H1391" s="50">
        <v>2</v>
      </c>
      <c r="I1391" s="100">
        <v>6.7391919697301583</v>
      </c>
      <c r="J1391" s="52">
        <v>3834.68</v>
      </c>
      <c r="K1391" s="67">
        <f t="shared" si="88"/>
        <v>106652.59452207494</v>
      </c>
      <c r="L1391" s="95">
        <f>+VLOOKUP(E1391,MARGEN!A:B,2,FALSE)</f>
        <v>0.1</v>
      </c>
      <c r="M1391" s="112">
        <f t="shared" si="85"/>
        <v>10665.259452207494</v>
      </c>
      <c r="N1391" s="113">
        <f t="shared" si="86"/>
        <v>426.61037808829974</v>
      </c>
      <c r="O1391" s="113">
        <f t="shared" si="87"/>
        <v>95560.724691779149</v>
      </c>
    </row>
    <row r="1392" spans="1:15" x14ac:dyDescent="0.25">
      <c r="A1392" s="13">
        <v>44462</v>
      </c>
      <c r="B1392" s="97">
        <v>4127</v>
      </c>
      <c r="C1392" t="s">
        <v>234</v>
      </c>
      <c r="D1392" t="s">
        <v>331</v>
      </c>
      <c r="E1392" t="s">
        <v>45</v>
      </c>
      <c r="F1392" t="s">
        <v>573</v>
      </c>
      <c r="G1392" s="50" t="s">
        <v>574</v>
      </c>
      <c r="H1392" s="50">
        <v>2</v>
      </c>
      <c r="I1392" s="100">
        <v>6.7391919697301583</v>
      </c>
      <c r="J1392" s="52">
        <v>3834.68</v>
      </c>
      <c r="K1392" s="67">
        <f t="shared" si="88"/>
        <v>106652.59452207494</v>
      </c>
      <c r="L1392" s="95">
        <f>+VLOOKUP(E1392,MARGEN!A:B,2,FALSE)</f>
        <v>0.1</v>
      </c>
      <c r="M1392" s="112">
        <f t="shared" si="85"/>
        <v>10665.259452207494</v>
      </c>
      <c r="N1392" s="113">
        <f t="shared" si="86"/>
        <v>426.61037808829974</v>
      </c>
      <c r="O1392" s="113">
        <f t="shared" si="87"/>
        <v>95560.724691779149</v>
      </c>
    </row>
    <row r="1393" spans="1:15" x14ac:dyDescent="0.25">
      <c r="A1393" s="13">
        <v>44462</v>
      </c>
      <c r="B1393" s="97">
        <v>3911</v>
      </c>
      <c r="C1393" t="s">
        <v>71</v>
      </c>
      <c r="D1393" t="s">
        <v>337</v>
      </c>
      <c r="E1393" t="s">
        <v>45</v>
      </c>
      <c r="F1393" t="s">
        <v>573</v>
      </c>
      <c r="G1393" s="50" t="s">
        <v>574</v>
      </c>
      <c r="H1393" s="50">
        <v>2</v>
      </c>
      <c r="I1393" s="100">
        <v>6.7391919697301583</v>
      </c>
      <c r="J1393" s="52">
        <v>3834.68</v>
      </c>
      <c r="K1393" s="67">
        <f t="shared" si="88"/>
        <v>101070.58327497823</v>
      </c>
      <c r="L1393" s="95">
        <f>+VLOOKUP(E1393,MARGEN!A:B,2,FALSE)</f>
        <v>0.1</v>
      </c>
      <c r="M1393" s="112">
        <f t="shared" si="85"/>
        <v>10107.058327497823</v>
      </c>
      <c r="N1393" s="113">
        <f t="shared" si="86"/>
        <v>404.28233309991293</v>
      </c>
      <c r="O1393" s="113">
        <f t="shared" si="87"/>
        <v>90559.242614380491</v>
      </c>
    </row>
    <row r="1394" spans="1:15" x14ac:dyDescent="0.25">
      <c r="A1394" s="13">
        <v>44462</v>
      </c>
      <c r="B1394" s="97">
        <v>3695</v>
      </c>
      <c r="C1394" t="s">
        <v>177</v>
      </c>
      <c r="D1394" t="s">
        <v>355</v>
      </c>
      <c r="E1394" t="s">
        <v>45</v>
      </c>
      <c r="F1394" t="s">
        <v>558</v>
      </c>
      <c r="G1394" s="50" t="s">
        <v>574</v>
      </c>
      <c r="H1394" s="50">
        <v>2</v>
      </c>
      <c r="I1394" s="100">
        <v>6.7391919697301583</v>
      </c>
      <c r="J1394" s="52">
        <v>3834.68</v>
      </c>
      <c r="K1394" s="67">
        <f t="shared" si="88"/>
        <v>95488.572027881484</v>
      </c>
      <c r="L1394" s="95">
        <f>+VLOOKUP(E1394,MARGEN!A:B,2,FALSE)</f>
        <v>0.1</v>
      </c>
      <c r="M1394" s="112">
        <f t="shared" si="85"/>
        <v>9548.8572027881492</v>
      </c>
      <c r="N1394" s="113">
        <f t="shared" si="86"/>
        <v>381.95428811152595</v>
      </c>
      <c r="O1394" s="113">
        <f t="shared" si="87"/>
        <v>85557.760536981819</v>
      </c>
    </row>
    <row r="1395" spans="1:15" x14ac:dyDescent="0.25">
      <c r="A1395" s="13">
        <v>44462</v>
      </c>
      <c r="B1395" s="97">
        <v>3479</v>
      </c>
      <c r="C1395" t="s">
        <v>269</v>
      </c>
      <c r="D1395" t="s">
        <v>520</v>
      </c>
      <c r="E1395" t="s">
        <v>45</v>
      </c>
      <c r="F1395" t="s">
        <v>558</v>
      </c>
      <c r="G1395" s="50" t="s">
        <v>574</v>
      </c>
      <c r="H1395" s="50">
        <v>2</v>
      </c>
      <c r="I1395" s="100">
        <v>6.7391919697301583</v>
      </c>
      <c r="J1395" s="52">
        <v>3834.68</v>
      </c>
      <c r="K1395" s="67">
        <f t="shared" si="88"/>
        <v>89906.56078078477</v>
      </c>
      <c r="L1395" s="95">
        <f>+VLOOKUP(E1395,MARGEN!A:B,2,FALSE)</f>
        <v>0.1</v>
      </c>
      <c r="M1395" s="112">
        <f t="shared" si="85"/>
        <v>8990.6560780784766</v>
      </c>
      <c r="N1395" s="113">
        <f t="shared" si="86"/>
        <v>359.62624312313909</v>
      </c>
      <c r="O1395" s="113">
        <f t="shared" si="87"/>
        <v>80556.278459583147</v>
      </c>
    </row>
    <row r="1396" spans="1:15" x14ac:dyDescent="0.25">
      <c r="A1396" s="13">
        <v>44462</v>
      </c>
      <c r="B1396" s="97">
        <v>3143</v>
      </c>
      <c r="C1396" t="s">
        <v>277</v>
      </c>
      <c r="D1396" t="s">
        <v>513</v>
      </c>
      <c r="E1396" t="s">
        <v>45</v>
      </c>
      <c r="F1396" t="s">
        <v>573</v>
      </c>
      <c r="G1396" s="50" t="s">
        <v>574</v>
      </c>
      <c r="H1396" s="50">
        <v>2</v>
      </c>
      <c r="I1396" s="100">
        <v>6.7391919697301583</v>
      </c>
      <c r="J1396" s="52">
        <v>3834.68</v>
      </c>
      <c r="K1396" s="67">
        <f t="shared" si="88"/>
        <v>81223.43217418986</v>
      </c>
      <c r="L1396" s="95">
        <f>+VLOOKUP(E1396,MARGEN!A:B,2,FALSE)</f>
        <v>0.1</v>
      </c>
      <c r="M1396" s="112">
        <f t="shared" si="85"/>
        <v>8122.3432174189866</v>
      </c>
      <c r="N1396" s="113">
        <f t="shared" si="86"/>
        <v>324.89372869675947</v>
      </c>
      <c r="O1396" s="113">
        <f t="shared" si="87"/>
        <v>72776.195228074124</v>
      </c>
    </row>
    <row r="1397" spans="1:15" x14ac:dyDescent="0.25">
      <c r="A1397" s="13">
        <v>44462</v>
      </c>
      <c r="B1397" s="97">
        <v>2879</v>
      </c>
      <c r="C1397" t="s">
        <v>139</v>
      </c>
      <c r="D1397" t="s">
        <v>327</v>
      </c>
      <c r="E1397" t="s">
        <v>45</v>
      </c>
      <c r="F1397" t="s">
        <v>573</v>
      </c>
      <c r="G1397" s="50" t="s">
        <v>574</v>
      </c>
      <c r="H1397" s="50">
        <v>2</v>
      </c>
      <c r="I1397" s="100">
        <v>6.7391919697301583</v>
      </c>
      <c r="J1397" s="52">
        <v>3834.68</v>
      </c>
      <c r="K1397" s="67">
        <f t="shared" si="88"/>
        <v>74400.973983293865</v>
      </c>
      <c r="L1397" s="95">
        <f>+VLOOKUP(E1397,MARGEN!A:B,2,FALSE)</f>
        <v>0.1</v>
      </c>
      <c r="M1397" s="112">
        <f t="shared" si="85"/>
        <v>7440.097398329387</v>
      </c>
      <c r="N1397" s="113">
        <f t="shared" si="86"/>
        <v>297.60389593317547</v>
      </c>
      <c r="O1397" s="113">
        <f t="shared" si="87"/>
        <v>66663.272689031306</v>
      </c>
    </row>
    <row r="1398" spans="1:15" x14ac:dyDescent="0.25">
      <c r="A1398" s="13">
        <v>44462</v>
      </c>
      <c r="B1398" s="97">
        <v>2855</v>
      </c>
      <c r="C1398" t="s">
        <v>271</v>
      </c>
      <c r="D1398" t="s">
        <v>518</v>
      </c>
      <c r="E1398" t="s">
        <v>45</v>
      </c>
      <c r="F1398" t="s">
        <v>558</v>
      </c>
      <c r="G1398" s="50" t="s">
        <v>574</v>
      </c>
      <c r="H1398" s="50">
        <v>2</v>
      </c>
      <c r="I1398" s="100">
        <v>6.7391919697301583</v>
      </c>
      <c r="J1398" s="52">
        <v>3834.68</v>
      </c>
      <c r="K1398" s="67">
        <f t="shared" si="88"/>
        <v>73780.750511394232</v>
      </c>
      <c r="L1398" s="95">
        <f>+VLOOKUP(E1398,MARGEN!A:B,2,FALSE)</f>
        <v>0.1</v>
      </c>
      <c r="M1398" s="112">
        <f t="shared" si="85"/>
        <v>7378.0750511394235</v>
      </c>
      <c r="N1398" s="113">
        <f t="shared" si="86"/>
        <v>295.12300204557692</v>
      </c>
      <c r="O1398" s="113">
        <f t="shared" si="87"/>
        <v>66107.552458209218</v>
      </c>
    </row>
    <row r="1399" spans="1:15" x14ac:dyDescent="0.25">
      <c r="A1399" s="13">
        <v>44462</v>
      </c>
      <c r="B1399" s="97">
        <v>2855</v>
      </c>
      <c r="C1399" t="s">
        <v>268</v>
      </c>
      <c r="D1399" t="s">
        <v>514</v>
      </c>
      <c r="E1399" t="s">
        <v>45</v>
      </c>
      <c r="F1399" t="s">
        <v>573</v>
      </c>
      <c r="G1399" s="50" t="s">
        <v>574</v>
      </c>
      <c r="H1399" s="50">
        <v>2</v>
      </c>
      <c r="I1399" s="100">
        <v>6.7391919697301583</v>
      </c>
      <c r="J1399" s="52">
        <v>3834.68</v>
      </c>
      <c r="K1399" s="67">
        <f t="shared" si="88"/>
        <v>73780.750511394232</v>
      </c>
      <c r="L1399" s="95">
        <f>+VLOOKUP(E1399,MARGEN!A:B,2,FALSE)</f>
        <v>0.1</v>
      </c>
      <c r="M1399" s="112">
        <f t="shared" si="85"/>
        <v>7378.0750511394235</v>
      </c>
      <c r="N1399" s="113">
        <f t="shared" si="86"/>
        <v>295.12300204557692</v>
      </c>
      <c r="O1399" s="113">
        <f t="shared" si="87"/>
        <v>66107.552458209218</v>
      </c>
    </row>
    <row r="1400" spans="1:15" x14ac:dyDescent="0.25">
      <c r="A1400" s="13">
        <v>44462</v>
      </c>
      <c r="B1400" s="97">
        <v>2855</v>
      </c>
      <c r="C1400" t="s">
        <v>99</v>
      </c>
      <c r="D1400" t="s">
        <v>366</v>
      </c>
      <c r="E1400" t="s">
        <v>45</v>
      </c>
      <c r="F1400" t="s">
        <v>558</v>
      </c>
      <c r="G1400" s="50" t="s">
        <v>574</v>
      </c>
      <c r="H1400" s="50">
        <v>2</v>
      </c>
      <c r="I1400" s="100">
        <v>6.7391919697301583</v>
      </c>
      <c r="J1400" s="52">
        <v>3834.68</v>
      </c>
      <c r="K1400" s="67">
        <f t="shared" si="88"/>
        <v>73780.750511394232</v>
      </c>
      <c r="L1400" s="95">
        <f>+VLOOKUP(E1400,MARGEN!A:B,2,FALSE)</f>
        <v>0.1</v>
      </c>
      <c r="M1400" s="112">
        <f t="shared" si="85"/>
        <v>7378.0750511394235</v>
      </c>
      <c r="N1400" s="113">
        <f t="shared" si="86"/>
        <v>295.12300204557692</v>
      </c>
      <c r="O1400" s="113">
        <f t="shared" si="87"/>
        <v>66107.552458209218</v>
      </c>
    </row>
    <row r="1401" spans="1:15" x14ac:dyDescent="0.25">
      <c r="A1401" s="13">
        <v>44462</v>
      </c>
      <c r="B1401" s="97">
        <v>2807</v>
      </c>
      <c r="C1401" t="s">
        <v>178</v>
      </c>
      <c r="D1401" t="s">
        <v>370</v>
      </c>
      <c r="E1401" t="s">
        <v>45</v>
      </c>
      <c r="F1401" t="s">
        <v>573</v>
      </c>
      <c r="G1401" s="50" t="s">
        <v>574</v>
      </c>
      <c r="H1401" s="50">
        <v>2</v>
      </c>
      <c r="I1401" s="100">
        <v>6.7391919697301583</v>
      </c>
      <c r="J1401" s="52">
        <v>3834.68</v>
      </c>
      <c r="K1401" s="67">
        <f t="shared" si="88"/>
        <v>72540.303567594965</v>
      </c>
      <c r="L1401" s="95">
        <f>+VLOOKUP(E1401,MARGEN!A:B,2,FALSE)</f>
        <v>0.1</v>
      </c>
      <c r="M1401" s="112">
        <f t="shared" si="85"/>
        <v>7254.0303567594965</v>
      </c>
      <c r="N1401" s="113">
        <f t="shared" si="86"/>
        <v>290.16121427037984</v>
      </c>
      <c r="O1401" s="113">
        <f t="shared" si="87"/>
        <v>64996.111996565087</v>
      </c>
    </row>
    <row r="1402" spans="1:15" x14ac:dyDescent="0.25">
      <c r="A1402" s="13">
        <v>44462</v>
      </c>
      <c r="B1402" s="97">
        <v>2663</v>
      </c>
      <c r="C1402" t="s">
        <v>138</v>
      </c>
      <c r="D1402" t="s">
        <v>321</v>
      </c>
      <c r="E1402" t="s">
        <v>45</v>
      </c>
      <c r="F1402" t="s">
        <v>573</v>
      </c>
      <c r="G1402" s="50" t="s">
        <v>574</v>
      </c>
      <c r="H1402" s="50">
        <v>2</v>
      </c>
      <c r="I1402" s="100">
        <v>6.7391919697301583</v>
      </c>
      <c r="J1402" s="52">
        <v>3834.68</v>
      </c>
      <c r="K1402" s="67">
        <f t="shared" si="88"/>
        <v>68818.962736197136</v>
      </c>
      <c r="L1402" s="95">
        <f>+VLOOKUP(E1402,MARGEN!A:B,2,FALSE)</f>
        <v>0.1</v>
      </c>
      <c r="M1402" s="112">
        <f t="shared" si="85"/>
        <v>6881.8962736197136</v>
      </c>
      <c r="N1402" s="113">
        <f t="shared" si="86"/>
        <v>275.27585094478854</v>
      </c>
      <c r="O1402" s="113">
        <f t="shared" si="87"/>
        <v>61661.790611632634</v>
      </c>
    </row>
    <row r="1403" spans="1:15" x14ac:dyDescent="0.25">
      <c r="A1403" s="13">
        <v>44462</v>
      </c>
      <c r="B1403" s="97">
        <v>2231</v>
      </c>
      <c r="C1403" t="s">
        <v>246</v>
      </c>
      <c r="D1403" t="s">
        <v>373</v>
      </c>
      <c r="E1403" t="s">
        <v>45</v>
      </c>
      <c r="F1403" t="s">
        <v>558</v>
      </c>
      <c r="G1403" s="50" t="s">
        <v>574</v>
      </c>
      <c r="H1403" s="50">
        <v>2</v>
      </c>
      <c r="I1403" s="100">
        <v>6.7391919697301583</v>
      </c>
      <c r="J1403" s="52">
        <v>3834.68</v>
      </c>
      <c r="K1403" s="67">
        <f t="shared" si="88"/>
        <v>57654.940242003679</v>
      </c>
      <c r="L1403" s="95">
        <f>+VLOOKUP(E1403,MARGEN!A:B,2,FALSE)</f>
        <v>0.1</v>
      </c>
      <c r="M1403" s="112">
        <f t="shared" si="85"/>
        <v>5765.4940242003686</v>
      </c>
      <c r="N1403" s="113">
        <f t="shared" si="86"/>
        <v>230.6197609680147</v>
      </c>
      <c r="O1403" s="113">
        <f t="shared" si="87"/>
        <v>51658.826456835297</v>
      </c>
    </row>
    <row r="1404" spans="1:15" x14ac:dyDescent="0.25">
      <c r="A1404" s="13">
        <v>44462</v>
      </c>
      <c r="B1404" s="97">
        <v>2183</v>
      </c>
      <c r="C1404" t="s">
        <v>560</v>
      </c>
      <c r="D1404" t="s">
        <v>561</v>
      </c>
      <c r="E1404" t="s">
        <v>45</v>
      </c>
      <c r="F1404" t="s">
        <v>573</v>
      </c>
      <c r="G1404" s="50" t="s">
        <v>574</v>
      </c>
      <c r="H1404" s="50">
        <v>2</v>
      </c>
      <c r="I1404" s="100">
        <v>6.7391919697301583</v>
      </c>
      <c r="J1404" s="52">
        <v>3834.68</v>
      </c>
      <c r="K1404" s="67">
        <f t="shared" si="88"/>
        <v>56414.493298204405</v>
      </c>
      <c r="L1404" s="95">
        <f>+VLOOKUP(E1404,MARGEN!A:B,2,FALSE)</f>
        <v>0.1</v>
      </c>
      <c r="M1404" s="112">
        <f t="shared" si="85"/>
        <v>5641.4493298204407</v>
      </c>
      <c r="N1404" s="113">
        <f t="shared" si="86"/>
        <v>225.65797319281762</v>
      </c>
      <c r="O1404" s="113">
        <f t="shared" si="87"/>
        <v>50547.385995191151</v>
      </c>
    </row>
    <row r="1405" spans="1:15" x14ac:dyDescent="0.25">
      <c r="A1405" s="13">
        <v>44462</v>
      </c>
      <c r="B1405" s="97">
        <v>2183</v>
      </c>
      <c r="C1405" t="s">
        <v>93</v>
      </c>
      <c r="D1405" t="s">
        <v>353</v>
      </c>
      <c r="E1405" t="s">
        <v>45</v>
      </c>
      <c r="F1405" t="s">
        <v>558</v>
      </c>
      <c r="G1405" s="50" t="s">
        <v>574</v>
      </c>
      <c r="H1405" s="50">
        <v>2</v>
      </c>
      <c r="I1405" s="100">
        <v>6.7391919697301583</v>
      </c>
      <c r="J1405" s="52">
        <v>3834.68</v>
      </c>
      <c r="K1405" s="67">
        <f t="shared" si="88"/>
        <v>56414.493298204405</v>
      </c>
      <c r="L1405" s="95">
        <f>+VLOOKUP(E1405,MARGEN!A:B,2,FALSE)</f>
        <v>0.1</v>
      </c>
      <c r="M1405" s="112">
        <f t="shared" si="85"/>
        <v>5641.4493298204407</v>
      </c>
      <c r="N1405" s="113">
        <f t="shared" si="86"/>
        <v>225.65797319281762</v>
      </c>
      <c r="O1405" s="113">
        <f t="shared" si="87"/>
        <v>50547.385995191151</v>
      </c>
    </row>
    <row r="1406" spans="1:15" x14ac:dyDescent="0.25">
      <c r="A1406" s="13">
        <v>44462</v>
      </c>
      <c r="B1406" s="97">
        <v>2087</v>
      </c>
      <c r="C1406" t="s">
        <v>103</v>
      </c>
      <c r="D1406" t="s">
        <v>342</v>
      </c>
      <c r="E1406" t="s">
        <v>45</v>
      </c>
      <c r="F1406" t="s">
        <v>566</v>
      </c>
      <c r="G1406" s="50" t="s">
        <v>574</v>
      </c>
      <c r="H1406" s="50">
        <v>2</v>
      </c>
      <c r="I1406" s="100">
        <v>6.7391919697301583</v>
      </c>
      <c r="J1406" s="52">
        <v>3834.68</v>
      </c>
      <c r="K1406" s="67">
        <f t="shared" si="88"/>
        <v>53933.599410605872</v>
      </c>
      <c r="L1406" s="95">
        <f>+VLOOKUP(E1406,MARGEN!A:B,2,FALSE)</f>
        <v>0.1</v>
      </c>
      <c r="M1406" s="112">
        <f t="shared" si="85"/>
        <v>5393.3599410605875</v>
      </c>
      <c r="N1406" s="113">
        <f t="shared" si="86"/>
        <v>215.73439764242349</v>
      </c>
      <c r="O1406" s="113">
        <f t="shared" si="87"/>
        <v>48324.505071902859</v>
      </c>
    </row>
    <row r="1407" spans="1:15" x14ac:dyDescent="0.25">
      <c r="A1407" s="13">
        <v>44462</v>
      </c>
      <c r="B1407" s="97">
        <v>2087</v>
      </c>
      <c r="C1407" t="s">
        <v>92</v>
      </c>
      <c r="D1407" t="s">
        <v>490</v>
      </c>
      <c r="E1407" t="s">
        <v>45</v>
      </c>
      <c r="F1407" t="s">
        <v>566</v>
      </c>
      <c r="G1407" s="50" t="s">
        <v>574</v>
      </c>
      <c r="H1407" s="50">
        <v>2</v>
      </c>
      <c r="I1407" s="100">
        <v>6.7391919697301583</v>
      </c>
      <c r="J1407" s="52">
        <v>3834.68</v>
      </c>
      <c r="K1407" s="67">
        <f t="shared" si="88"/>
        <v>53933.599410605872</v>
      </c>
      <c r="L1407" s="95">
        <f>+VLOOKUP(E1407,MARGEN!A:B,2,FALSE)</f>
        <v>0.1</v>
      </c>
      <c r="M1407" s="112">
        <f t="shared" si="85"/>
        <v>5393.3599410605875</v>
      </c>
      <c r="N1407" s="113">
        <f t="shared" si="86"/>
        <v>215.73439764242349</v>
      </c>
      <c r="O1407" s="113">
        <f t="shared" si="87"/>
        <v>48324.505071902859</v>
      </c>
    </row>
    <row r="1408" spans="1:15" x14ac:dyDescent="0.25">
      <c r="A1408" s="13">
        <v>44462</v>
      </c>
      <c r="B1408" s="97">
        <v>1943</v>
      </c>
      <c r="C1408" t="s">
        <v>117</v>
      </c>
      <c r="D1408" t="s">
        <v>336</v>
      </c>
      <c r="E1408" t="s">
        <v>45</v>
      </c>
      <c r="F1408" t="s">
        <v>558</v>
      </c>
      <c r="G1408" s="50" t="s">
        <v>574</v>
      </c>
      <c r="H1408" s="50">
        <v>2</v>
      </c>
      <c r="I1408" s="100">
        <v>6.7391919697301583</v>
      </c>
      <c r="J1408" s="52">
        <v>3834.68</v>
      </c>
      <c r="K1408" s="67">
        <f t="shared" si="88"/>
        <v>50212.258579208043</v>
      </c>
      <c r="L1408" s="95">
        <f>+VLOOKUP(E1408,MARGEN!A:B,2,FALSE)</f>
        <v>0.1</v>
      </c>
      <c r="M1408" s="112">
        <f t="shared" si="85"/>
        <v>5021.2258579208046</v>
      </c>
      <c r="N1408" s="113">
        <f t="shared" si="86"/>
        <v>200.84903431683216</v>
      </c>
      <c r="O1408" s="113">
        <f t="shared" si="87"/>
        <v>44990.183686970406</v>
      </c>
    </row>
    <row r="1409" spans="1:15" x14ac:dyDescent="0.25">
      <c r="A1409" s="13">
        <v>44462</v>
      </c>
      <c r="B1409" s="97">
        <v>1871</v>
      </c>
      <c r="C1409" t="s">
        <v>198</v>
      </c>
      <c r="D1409" t="s">
        <v>326</v>
      </c>
      <c r="E1409" t="s">
        <v>45</v>
      </c>
      <c r="F1409" t="s">
        <v>573</v>
      </c>
      <c r="G1409" s="50" t="s">
        <v>574</v>
      </c>
      <c r="H1409" s="50">
        <v>2</v>
      </c>
      <c r="I1409" s="100">
        <v>6.7391919697301583</v>
      </c>
      <c r="J1409" s="52">
        <v>3834.68</v>
      </c>
      <c r="K1409" s="67">
        <f t="shared" si="88"/>
        <v>48351.588163509143</v>
      </c>
      <c r="L1409" s="95">
        <f>+VLOOKUP(E1409,MARGEN!A:B,2,FALSE)</f>
        <v>0.1</v>
      </c>
      <c r="M1409" s="112">
        <f t="shared" si="85"/>
        <v>4835.1588163509141</v>
      </c>
      <c r="N1409" s="113">
        <f t="shared" si="86"/>
        <v>193.40635265403657</v>
      </c>
      <c r="O1409" s="113">
        <f t="shared" si="87"/>
        <v>43323.022994504194</v>
      </c>
    </row>
    <row r="1410" spans="1:15" x14ac:dyDescent="0.25">
      <c r="A1410" s="13">
        <v>44462</v>
      </c>
      <c r="B1410" s="97">
        <v>1847</v>
      </c>
      <c r="C1410" t="s">
        <v>270</v>
      </c>
      <c r="D1410" t="s">
        <v>491</v>
      </c>
      <c r="E1410" t="s">
        <v>45</v>
      </c>
      <c r="F1410" t="s">
        <v>558</v>
      </c>
      <c r="G1410" s="50" t="s">
        <v>574</v>
      </c>
      <c r="H1410" s="50">
        <v>2</v>
      </c>
      <c r="I1410" s="100">
        <v>6.7391919697301583</v>
      </c>
      <c r="J1410" s="52">
        <v>3834.68</v>
      </c>
      <c r="K1410" s="67">
        <f t="shared" si="88"/>
        <v>47731.364691609502</v>
      </c>
      <c r="L1410" s="95">
        <f>+VLOOKUP(E1410,MARGEN!A:B,2,FALSE)</f>
        <v>0.1</v>
      </c>
      <c r="M1410" s="112">
        <f t="shared" si="85"/>
        <v>4773.1364691609506</v>
      </c>
      <c r="N1410" s="113">
        <f t="shared" si="86"/>
        <v>190.925458766438</v>
      </c>
      <c r="O1410" s="113">
        <f t="shared" si="87"/>
        <v>42767.302763682113</v>
      </c>
    </row>
    <row r="1411" spans="1:15" x14ac:dyDescent="0.25">
      <c r="A1411" s="13">
        <v>44462</v>
      </c>
      <c r="B1411" s="97">
        <v>1727</v>
      </c>
      <c r="C1411" t="s">
        <v>190</v>
      </c>
      <c r="D1411" t="s">
        <v>356</v>
      </c>
      <c r="E1411" t="s">
        <v>45</v>
      </c>
      <c r="F1411" t="s">
        <v>573</v>
      </c>
      <c r="G1411" s="50" t="s">
        <v>574</v>
      </c>
      <c r="H1411" s="50">
        <v>2</v>
      </c>
      <c r="I1411" s="100">
        <v>6.7391919697301583</v>
      </c>
      <c r="J1411" s="52">
        <v>3834.68</v>
      </c>
      <c r="K1411" s="67">
        <f t="shared" si="88"/>
        <v>44630.247332111321</v>
      </c>
      <c r="L1411" s="95">
        <f>+VLOOKUP(E1411,MARGEN!A:B,2,FALSE)</f>
        <v>0.1</v>
      </c>
      <c r="M1411" s="112">
        <f t="shared" ref="M1411:M1474" si="89">+K1411*L1411</f>
        <v>4463.0247332111321</v>
      </c>
      <c r="N1411" s="113">
        <f t="shared" ref="N1411:N1474" si="90">+K1411*4/1000</f>
        <v>178.5209893284453</v>
      </c>
      <c r="O1411" s="113">
        <f t="shared" ref="O1411:O1474" si="91">+K1411-M1411-N1411</f>
        <v>39988.701609571741</v>
      </c>
    </row>
    <row r="1412" spans="1:15" x14ac:dyDescent="0.25">
      <c r="A1412" s="13">
        <v>44462</v>
      </c>
      <c r="B1412" s="97">
        <v>1535</v>
      </c>
      <c r="C1412" t="s">
        <v>207</v>
      </c>
      <c r="D1412" t="s">
        <v>322</v>
      </c>
      <c r="E1412" t="s">
        <v>45</v>
      </c>
      <c r="F1412" t="s">
        <v>558</v>
      </c>
      <c r="G1412" s="50" t="s">
        <v>574</v>
      </c>
      <c r="H1412" s="50">
        <v>2</v>
      </c>
      <c r="I1412" s="100">
        <v>6.7391919697301583</v>
      </c>
      <c r="J1412" s="52">
        <v>3834.68</v>
      </c>
      <c r="K1412" s="67">
        <f t="shared" si="88"/>
        <v>39668.459556914233</v>
      </c>
      <c r="L1412" s="95">
        <f>+VLOOKUP(E1412,MARGEN!A:B,2,FALSE)</f>
        <v>0.1</v>
      </c>
      <c r="M1412" s="112">
        <f t="shared" si="89"/>
        <v>3966.8459556914236</v>
      </c>
      <c r="N1412" s="113">
        <f t="shared" si="90"/>
        <v>158.67383822765694</v>
      </c>
      <c r="O1412" s="113">
        <f t="shared" si="91"/>
        <v>35542.939762995149</v>
      </c>
    </row>
    <row r="1413" spans="1:15" x14ac:dyDescent="0.25">
      <c r="A1413" s="13">
        <v>44462</v>
      </c>
      <c r="B1413" s="97">
        <v>1535</v>
      </c>
      <c r="C1413" t="s">
        <v>273</v>
      </c>
      <c r="D1413" t="s">
        <v>515</v>
      </c>
      <c r="E1413" t="s">
        <v>45</v>
      </c>
      <c r="F1413" t="s">
        <v>573</v>
      </c>
      <c r="G1413" s="50" t="s">
        <v>574</v>
      </c>
      <c r="H1413" s="50">
        <v>2</v>
      </c>
      <c r="I1413" s="100">
        <v>6.7391919697301583</v>
      </c>
      <c r="J1413" s="52">
        <v>3834.68</v>
      </c>
      <c r="K1413" s="67">
        <f t="shared" si="88"/>
        <v>39668.459556914233</v>
      </c>
      <c r="L1413" s="95">
        <f>+VLOOKUP(E1413,MARGEN!A:B,2,FALSE)</f>
        <v>0.1</v>
      </c>
      <c r="M1413" s="112">
        <f t="shared" si="89"/>
        <v>3966.8459556914236</v>
      </c>
      <c r="N1413" s="113">
        <f t="shared" si="90"/>
        <v>158.67383822765694</v>
      </c>
      <c r="O1413" s="113">
        <f t="shared" si="91"/>
        <v>35542.939762995149</v>
      </c>
    </row>
    <row r="1414" spans="1:15" x14ac:dyDescent="0.25">
      <c r="A1414" s="13">
        <v>44462</v>
      </c>
      <c r="B1414" s="97">
        <v>1487</v>
      </c>
      <c r="C1414" t="s">
        <v>250</v>
      </c>
      <c r="D1414" t="s">
        <v>333</v>
      </c>
      <c r="E1414" t="s">
        <v>45</v>
      </c>
      <c r="F1414" t="s">
        <v>558</v>
      </c>
      <c r="G1414" s="50" t="s">
        <v>574</v>
      </c>
      <c r="H1414" s="50">
        <v>2</v>
      </c>
      <c r="I1414" s="100">
        <v>6.7391919697301583</v>
      </c>
      <c r="J1414" s="52">
        <v>3834.68</v>
      </c>
      <c r="K1414" s="67">
        <f t="shared" si="88"/>
        <v>38428.012613114959</v>
      </c>
      <c r="L1414" s="95">
        <f>+VLOOKUP(E1414,MARGEN!A:B,2,FALSE)</f>
        <v>0.1</v>
      </c>
      <c r="M1414" s="112">
        <f t="shared" si="89"/>
        <v>3842.8012613114961</v>
      </c>
      <c r="N1414" s="113">
        <f t="shared" si="90"/>
        <v>153.71205045245983</v>
      </c>
      <c r="O1414" s="113">
        <f t="shared" si="91"/>
        <v>34431.499301351003</v>
      </c>
    </row>
    <row r="1415" spans="1:15" x14ac:dyDescent="0.25">
      <c r="A1415" s="13">
        <v>44462</v>
      </c>
      <c r="B1415" s="97">
        <v>1391</v>
      </c>
      <c r="C1415" t="s">
        <v>107</v>
      </c>
      <c r="D1415" t="s">
        <v>346</v>
      </c>
      <c r="E1415" t="s">
        <v>45</v>
      </c>
      <c r="F1415" t="s">
        <v>573</v>
      </c>
      <c r="G1415" s="50" t="s">
        <v>574</v>
      </c>
      <c r="H1415" s="50">
        <v>2</v>
      </c>
      <c r="I1415" s="100">
        <v>6.7391919697301583</v>
      </c>
      <c r="J1415" s="52">
        <v>3834.68</v>
      </c>
      <c r="K1415" s="67">
        <f t="shared" si="88"/>
        <v>35947.118725516419</v>
      </c>
      <c r="L1415" s="95">
        <f>+VLOOKUP(E1415,MARGEN!A:B,2,FALSE)</f>
        <v>0.1</v>
      </c>
      <c r="M1415" s="112">
        <f t="shared" si="89"/>
        <v>3594.711872551642</v>
      </c>
      <c r="N1415" s="113">
        <f t="shared" si="90"/>
        <v>143.78847490206567</v>
      </c>
      <c r="O1415" s="113">
        <f t="shared" si="91"/>
        <v>32208.618378062711</v>
      </c>
    </row>
    <row r="1416" spans="1:15" x14ac:dyDescent="0.25">
      <c r="A1416" s="13">
        <v>44462</v>
      </c>
      <c r="B1416" s="97">
        <v>1295</v>
      </c>
      <c r="C1416" t="s">
        <v>106</v>
      </c>
      <c r="D1416" t="s">
        <v>349</v>
      </c>
      <c r="E1416" t="s">
        <v>45</v>
      </c>
      <c r="F1416" t="s">
        <v>558</v>
      </c>
      <c r="G1416" s="50" t="s">
        <v>574</v>
      </c>
      <c r="H1416" s="50">
        <v>2</v>
      </c>
      <c r="I1416" s="100">
        <v>6.7391919697301583</v>
      </c>
      <c r="J1416" s="52">
        <v>3834.68</v>
      </c>
      <c r="K1416" s="67">
        <f t="shared" si="88"/>
        <v>33466.224837917871</v>
      </c>
      <c r="L1416" s="95">
        <f>+VLOOKUP(E1416,MARGEN!A:B,2,FALSE)</f>
        <v>0.1</v>
      </c>
      <c r="M1416" s="112">
        <f t="shared" si="89"/>
        <v>3346.6224837917871</v>
      </c>
      <c r="N1416" s="113">
        <f t="shared" si="90"/>
        <v>133.86489935167148</v>
      </c>
      <c r="O1416" s="113">
        <f t="shared" si="91"/>
        <v>29985.737454774411</v>
      </c>
    </row>
    <row r="1417" spans="1:15" x14ac:dyDescent="0.25">
      <c r="A1417" s="13">
        <v>44462</v>
      </c>
      <c r="B1417" s="97">
        <v>1151</v>
      </c>
      <c r="C1417" t="s">
        <v>274</v>
      </c>
      <c r="D1417" t="s">
        <v>517</v>
      </c>
      <c r="E1417" t="s">
        <v>45</v>
      </c>
      <c r="F1417" t="s">
        <v>566</v>
      </c>
      <c r="G1417" s="50" t="s">
        <v>574</v>
      </c>
      <c r="H1417" s="50">
        <v>2</v>
      </c>
      <c r="I1417" s="100">
        <v>6.7391919697301583</v>
      </c>
      <c r="J1417" s="52">
        <v>3834.68</v>
      </c>
      <c r="K1417" s="67">
        <f t="shared" ref="K1417:K1480" si="92">+B1417*I1417*J1417/1000</f>
        <v>29744.884006520053</v>
      </c>
      <c r="L1417" s="95">
        <f>+VLOOKUP(E1417,MARGEN!A:B,2,FALSE)</f>
        <v>0.1</v>
      </c>
      <c r="M1417" s="112">
        <f t="shared" si="89"/>
        <v>2974.4884006520056</v>
      </c>
      <c r="N1417" s="113">
        <f t="shared" si="90"/>
        <v>118.97953602608021</v>
      </c>
      <c r="O1417" s="113">
        <f t="shared" si="91"/>
        <v>26651.416069841969</v>
      </c>
    </row>
    <row r="1418" spans="1:15" x14ac:dyDescent="0.25">
      <c r="A1418" s="13">
        <v>44463</v>
      </c>
      <c r="B1418" s="97">
        <v>16343</v>
      </c>
      <c r="C1418" t="s">
        <v>78</v>
      </c>
      <c r="D1418" t="s">
        <v>412</v>
      </c>
      <c r="E1418" t="s">
        <v>45</v>
      </c>
      <c r="F1418" t="s">
        <v>573</v>
      </c>
      <c r="G1418" s="50" t="s">
        <v>574</v>
      </c>
      <c r="H1418" s="50">
        <v>2</v>
      </c>
      <c r="I1418" s="100">
        <v>6.7391919697301583</v>
      </c>
      <c r="J1418" s="52">
        <v>3834.68</v>
      </c>
      <c r="K1418" s="67">
        <f t="shared" si="92"/>
        <v>422346.34171898977</v>
      </c>
      <c r="L1418" s="95">
        <f>+VLOOKUP(E1418,MARGEN!A:B,2,FALSE)</f>
        <v>0.1</v>
      </c>
      <c r="M1418" s="112">
        <f t="shared" si="89"/>
        <v>42234.634171898979</v>
      </c>
      <c r="N1418" s="113">
        <f t="shared" si="90"/>
        <v>1689.3853668759591</v>
      </c>
      <c r="O1418" s="113">
        <f t="shared" si="91"/>
        <v>378422.3221802148</v>
      </c>
    </row>
    <row r="1419" spans="1:15" x14ac:dyDescent="0.25">
      <c r="A1419" s="13">
        <v>44463</v>
      </c>
      <c r="B1419" s="97">
        <v>12815</v>
      </c>
      <c r="C1419" t="s">
        <v>73</v>
      </c>
      <c r="D1419" t="s">
        <v>338</v>
      </c>
      <c r="E1419" t="s">
        <v>45</v>
      </c>
      <c r="F1419" t="s">
        <v>573</v>
      </c>
      <c r="G1419" s="50" t="s">
        <v>574</v>
      </c>
      <c r="H1419" s="50">
        <v>2</v>
      </c>
      <c r="I1419" s="100">
        <v>6.7391919697301583</v>
      </c>
      <c r="J1419" s="52">
        <v>3834.68</v>
      </c>
      <c r="K1419" s="67">
        <f t="shared" si="92"/>
        <v>331173.49134974327</v>
      </c>
      <c r="L1419" s="95">
        <f>+VLOOKUP(E1419,MARGEN!A:B,2,FALSE)</f>
        <v>0.1</v>
      </c>
      <c r="M1419" s="112">
        <f t="shared" si="89"/>
        <v>33117.349134974327</v>
      </c>
      <c r="N1419" s="113">
        <f t="shared" si="90"/>
        <v>1324.693965398973</v>
      </c>
      <c r="O1419" s="113">
        <f t="shared" si="91"/>
        <v>296731.44824936992</v>
      </c>
    </row>
    <row r="1420" spans="1:15" x14ac:dyDescent="0.25">
      <c r="A1420" s="13">
        <v>44463</v>
      </c>
      <c r="B1420" s="97">
        <v>9935</v>
      </c>
      <c r="C1420" t="s">
        <v>95</v>
      </c>
      <c r="D1420" t="s">
        <v>510</v>
      </c>
      <c r="E1420" t="s">
        <v>45</v>
      </c>
      <c r="F1420" t="s">
        <v>573</v>
      </c>
      <c r="G1420" s="50" t="s">
        <v>574</v>
      </c>
      <c r="H1420" s="50">
        <v>2</v>
      </c>
      <c r="I1420" s="100">
        <v>6.7391919697301583</v>
      </c>
      <c r="J1420" s="52">
        <v>3834.68</v>
      </c>
      <c r="K1420" s="67">
        <f t="shared" si="92"/>
        <v>256746.6747217869</v>
      </c>
      <c r="L1420" s="95">
        <f>+VLOOKUP(E1420,MARGEN!A:B,2,FALSE)</f>
        <v>0.1</v>
      </c>
      <c r="M1420" s="112">
        <f t="shared" si="89"/>
        <v>25674.667472178691</v>
      </c>
      <c r="N1420" s="113">
        <f t="shared" si="90"/>
        <v>1026.9866988871477</v>
      </c>
      <c r="O1420" s="113">
        <f t="shared" si="91"/>
        <v>230045.02055072106</v>
      </c>
    </row>
    <row r="1421" spans="1:15" x14ac:dyDescent="0.25">
      <c r="A1421" s="43">
        <v>44463</v>
      </c>
      <c r="B1421" s="51">
        <v>8230</v>
      </c>
      <c r="C1421" s="66" t="s">
        <v>90</v>
      </c>
      <c r="D1421" s="66" t="s">
        <v>350</v>
      </c>
      <c r="E1421" t="s">
        <v>45</v>
      </c>
      <c r="F1421" s="50" t="s">
        <v>558</v>
      </c>
      <c r="G1421" s="50" t="s">
        <v>574</v>
      </c>
      <c r="H1421" s="50">
        <v>2</v>
      </c>
      <c r="I1421" s="100">
        <v>6.7391919697301583</v>
      </c>
      <c r="J1421" s="52">
        <v>3834.68</v>
      </c>
      <c r="K1421" s="67">
        <f t="shared" si="92"/>
        <v>212684.96557225028</v>
      </c>
      <c r="L1421" s="95">
        <f>+VLOOKUP(E1421,MARGEN!A:B,2,FALSE)</f>
        <v>0.1</v>
      </c>
      <c r="M1421" s="112">
        <f t="shared" si="89"/>
        <v>21268.496557225029</v>
      </c>
      <c r="N1421" s="113">
        <f t="shared" si="90"/>
        <v>850.73986228900117</v>
      </c>
      <c r="O1421" s="113">
        <f t="shared" si="91"/>
        <v>190565.72915273625</v>
      </c>
    </row>
    <row r="1422" spans="1:15" x14ac:dyDescent="0.25">
      <c r="A1422" s="13">
        <v>44463</v>
      </c>
      <c r="B1422" s="97">
        <v>7535</v>
      </c>
      <c r="C1422" t="s">
        <v>179</v>
      </c>
      <c r="D1422" t="s">
        <v>361</v>
      </c>
      <c r="E1422" t="s">
        <v>45</v>
      </c>
      <c r="F1422" t="s">
        <v>573</v>
      </c>
      <c r="G1422" s="50" t="s">
        <v>574</v>
      </c>
      <c r="H1422" s="50">
        <v>2</v>
      </c>
      <c r="I1422" s="100">
        <v>6.7391919697301583</v>
      </c>
      <c r="J1422" s="52">
        <v>3834.68</v>
      </c>
      <c r="K1422" s="67">
        <f t="shared" si="92"/>
        <v>194724.32753182328</v>
      </c>
      <c r="L1422" s="95">
        <f>+VLOOKUP(E1422,MARGEN!A:B,2,FALSE)</f>
        <v>0.1</v>
      </c>
      <c r="M1422" s="112">
        <f t="shared" si="89"/>
        <v>19472.432753182329</v>
      </c>
      <c r="N1422" s="113">
        <f t="shared" si="90"/>
        <v>778.89731012729305</v>
      </c>
      <c r="O1422" s="113">
        <f t="shared" si="91"/>
        <v>174472.99746851364</v>
      </c>
    </row>
    <row r="1423" spans="1:15" x14ac:dyDescent="0.25">
      <c r="A1423" s="13">
        <v>44463</v>
      </c>
      <c r="B1423" s="97">
        <v>7415</v>
      </c>
      <c r="C1423" t="s">
        <v>143</v>
      </c>
      <c r="D1423" t="s">
        <v>489</v>
      </c>
      <c r="E1423" t="s">
        <v>45</v>
      </c>
      <c r="F1423" t="s">
        <v>558</v>
      </c>
      <c r="G1423" s="50" t="s">
        <v>574</v>
      </c>
      <c r="H1423" s="50">
        <v>2</v>
      </c>
      <c r="I1423" s="100">
        <v>6.7391919697301583</v>
      </c>
      <c r="J1423" s="52">
        <v>3834.68</v>
      </c>
      <c r="K1423" s="67">
        <f t="shared" si="92"/>
        <v>191623.21017232511</v>
      </c>
      <c r="L1423" s="95">
        <f>+VLOOKUP(E1423,MARGEN!A:B,2,FALSE)</f>
        <v>0.1</v>
      </c>
      <c r="M1423" s="112">
        <f t="shared" si="89"/>
        <v>19162.321017232513</v>
      </c>
      <c r="N1423" s="113">
        <f t="shared" si="90"/>
        <v>766.49284068930046</v>
      </c>
      <c r="O1423" s="113">
        <f t="shared" si="91"/>
        <v>171694.3963144033</v>
      </c>
    </row>
    <row r="1424" spans="1:15" x14ac:dyDescent="0.25">
      <c r="A1424" s="13">
        <v>44463</v>
      </c>
      <c r="B1424" s="97">
        <v>5639</v>
      </c>
      <c r="C1424" t="s">
        <v>275</v>
      </c>
      <c r="D1424" t="s">
        <v>519</v>
      </c>
      <c r="E1424" t="s">
        <v>45</v>
      </c>
      <c r="F1424" t="s">
        <v>573</v>
      </c>
      <c r="G1424" s="50" t="s">
        <v>574</v>
      </c>
      <c r="H1424" s="50">
        <v>2</v>
      </c>
      <c r="I1424" s="100">
        <v>6.7391919697301583</v>
      </c>
      <c r="J1424" s="52">
        <v>3834.68</v>
      </c>
      <c r="K1424" s="67">
        <f t="shared" si="92"/>
        <v>145726.67325175201</v>
      </c>
      <c r="L1424" s="95">
        <f>+VLOOKUP(E1424,MARGEN!A:B,2,FALSE)</f>
        <v>0.1</v>
      </c>
      <c r="M1424" s="112">
        <f t="shared" si="89"/>
        <v>14572.667325175202</v>
      </c>
      <c r="N1424" s="113">
        <f t="shared" si="90"/>
        <v>582.90669300700802</v>
      </c>
      <c r="O1424" s="113">
        <f t="shared" si="91"/>
        <v>130571.09923356981</v>
      </c>
    </row>
    <row r="1425" spans="1:15" x14ac:dyDescent="0.25">
      <c r="A1425" s="13">
        <v>44463</v>
      </c>
      <c r="B1425" s="97">
        <v>5543</v>
      </c>
      <c r="C1425" t="s">
        <v>116</v>
      </c>
      <c r="D1425" t="s">
        <v>330</v>
      </c>
      <c r="E1425" t="s">
        <v>45</v>
      </c>
      <c r="F1425" t="s">
        <v>573</v>
      </c>
      <c r="G1425" s="50" t="s">
        <v>574</v>
      </c>
      <c r="H1425" s="50">
        <v>2</v>
      </c>
      <c r="I1425" s="100">
        <v>6.7391919697301583</v>
      </c>
      <c r="J1425" s="52">
        <v>3834.68</v>
      </c>
      <c r="K1425" s="67">
        <f t="shared" si="92"/>
        <v>143245.77936415351</v>
      </c>
      <c r="L1425" s="95">
        <f>+VLOOKUP(E1425,MARGEN!A:B,2,FALSE)</f>
        <v>0.1</v>
      </c>
      <c r="M1425" s="112">
        <f t="shared" si="89"/>
        <v>14324.577936415351</v>
      </c>
      <c r="N1425" s="113">
        <f t="shared" si="90"/>
        <v>572.98311745661408</v>
      </c>
      <c r="O1425" s="113">
        <f t="shared" si="91"/>
        <v>128348.21831028153</v>
      </c>
    </row>
    <row r="1426" spans="1:15" x14ac:dyDescent="0.25">
      <c r="A1426" s="13">
        <v>44463</v>
      </c>
      <c r="B1426" s="97">
        <v>4535</v>
      </c>
      <c r="C1426" t="s">
        <v>76</v>
      </c>
      <c r="D1426" t="s">
        <v>332</v>
      </c>
      <c r="E1426" t="s">
        <v>45</v>
      </c>
      <c r="F1426" t="s">
        <v>573</v>
      </c>
      <c r="G1426" s="50" t="s">
        <v>574</v>
      </c>
      <c r="H1426" s="50">
        <v>2</v>
      </c>
      <c r="I1426" s="100">
        <v>6.7391919697301583</v>
      </c>
      <c r="J1426" s="52">
        <v>3834.68</v>
      </c>
      <c r="K1426" s="67">
        <f t="shared" si="92"/>
        <v>117196.39354436877</v>
      </c>
      <c r="L1426" s="95">
        <f>+VLOOKUP(E1426,MARGEN!A:B,2,FALSE)</f>
        <v>0.1</v>
      </c>
      <c r="M1426" s="112">
        <f t="shared" si="89"/>
        <v>11719.639354436877</v>
      </c>
      <c r="N1426" s="113">
        <f t="shared" si="90"/>
        <v>468.78557417747504</v>
      </c>
      <c r="O1426" s="113">
        <f t="shared" si="91"/>
        <v>105007.96861575442</v>
      </c>
    </row>
    <row r="1427" spans="1:15" x14ac:dyDescent="0.25">
      <c r="A1427" s="13">
        <v>44463</v>
      </c>
      <c r="B1427" s="97">
        <v>4319</v>
      </c>
      <c r="C1427" t="s">
        <v>91</v>
      </c>
      <c r="D1427" t="s">
        <v>340</v>
      </c>
      <c r="E1427" t="s">
        <v>45</v>
      </c>
      <c r="F1427" t="s">
        <v>573</v>
      </c>
      <c r="G1427" s="50" t="s">
        <v>574</v>
      </c>
      <c r="H1427" s="50">
        <v>2</v>
      </c>
      <c r="I1427" s="100">
        <v>6.7391919697301583</v>
      </c>
      <c r="J1427" s="52">
        <v>3834.68</v>
      </c>
      <c r="K1427" s="67">
        <f t="shared" si="92"/>
        <v>111614.38229727202</v>
      </c>
      <c r="L1427" s="95">
        <f>+VLOOKUP(E1427,MARGEN!A:B,2,FALSE)</f>
        <v>0.1</v>
      </c>
      <c r="M1427" s="112">
        <f t="shared" si="89"/>
        <v>11161.438229727202</v>
      </c>
      <c r="N1427" s="113">
        <f t="shared" si="90"/>
        <v>446.45752918908806</v>
      </c>
      <c r="O1427" s="113">
        <f t="shared" si="91"/>
        <v>100006.48653835573</v>
      </c>
    </row>
    <row r="1428" spans="1:15" x14ac:dyDescent="0.25">
      <c r="A1428" s="13">
        <v>44463</v>
      </c>
      <c r="B1428" s="97">
        <v>4319</v>
      </c>
      <c r="C1428" t="s">
        <v>197</v>
      </c>
      <c r="D1428" t="s">
        <v>358</v>
      </c>
      <c r="E1428" t="s">
        <v>45</v>
      </c>
      <c r="F1428" t="s">
        <v>558</v>
      </c>
      <c r="G1428" s="50" t="s">
        <v>574</v>
      </c>
      <c r="H1428" s="50">
        <v>2</v>
      </c>
      <c r="I1428" s="100">
        <v>6.7391919697301583</v>
      </c>
      <c r="J1428" s="52">
        <v>3834.68</v>
      </c>
      <c r="K1428" s="67">
        <f t="shared" si="92"/>
        <v>111614.38229727202</v>
      </c>
      <c r="L1428" s="95">
        <f>+VLOOKUP(E1428,MARGEN!A:B,2,FALSE)</f>
        <v>0.1</v>
      </c>
      <c r="M1428" s="112">
        <f t="shared" si="89"/>
        <v>11161.438229727202</v>
      </c>
      <c r="N1428" s="113">
        <f t="shared" si="90"/>
        <v>446.45752918908806</v>
      </c>
      <c r="O1428" s="113">
        <f t="shared" si="91"/>
        <v>100006.48653835573</v>
      </c>
    </row>
    <row r="1429" spans="1:15" x14ac:dyDescent="0.25">
      <c r="A1429" s="13">
        <v>44463</v>
      </c>
      <c r="B1429" s="97">
        <v>4175</v>
      </c>
      <c r="C1429" t="s">
        <v>276</v>
      </c>
      <c r="D1429" t="s">
        <v>512</v>
      </c>
      <c r="E1429" t="s">
        <v>45</v>
      </c>
      <c r="F1429" t="s">
        <v>573</v>
      </c>
      <c r="G1429" s="50" t="s">
        <v>574</v>
      </c>
      <c r="H1429" s="50">
        <v>2</v>
      </c>
      <c r="I1429" s="100">
        <v>6.7391919697301583</v>
      </c>
      <c r="J1429" s="52">
        <v>3834.68</v>
      </c>
      <c r="K1429" s="67">
        <f t="shared" si="92"/>
        <v>107893.04146587422</v>
      </c>
      <c r="L1429" s="95">
        <f>+VLOOKUP(E1429,MARGEN!A:B,2,FALSE)</f>
        <v>0.1</v>
      </c>
      <c r="M1429" s="112">
        <f t="shared" si="89"/>
        <v>10789.304146587423</v>
      </c>
      <c r="N1429" s="113">
        <f t="shared" si="90"/>
        <v>431.57216586349688</v>
      </c>
      <c r="O1429" s="113">
        <f t="shared" si="91"/>
        <v>96672.165153423295</v>
      </c>
    </row>
    <row r="1430" spans="1:15" x14ac:dyDescent="0.25">
      <c r="A1430" s="13">
        <v>44463</v>
      </c>
      <c r="B1430" s="97">
        <v>4151</v>
      </c>
      <c r="C1430" t="s">
        <v>234</v>
      </c>
      <c r="D1430" t="s">
        <v>331</v>
      </c>
      <c r="E1430" t="s">
        <v>45</v>
      </c>
      <c r="F1430" t="s">
        <v>573</v>
      </c>
      <c r="G1430" s="50" t="s">
        <v>574</v>
      </c>
      <c r="H1430" s="50">
        <v>2</v>
      </c>
      <c r="I1430" s="100">
        <v>6.7391919697301583</v>
      </c>
      <c r="J1430" s="52">
        <v>3834.68</v>
      </c>
      <c r="K1430" s="67">
        <f t="shared" si="92"/>
        <v>107272.81799397458</v>
      </c>
      <c r="L1430" s="95">
        <f>+VLOOKUP(E1430,MARGEN!A:B,2,FALSE)</f>
        <v>0.1</v>
      </c>
      <c r="M1430" s="112">
        <f t="shared" si="89"/>
        <v>10727.281799397459</v>
      </c>
      <c r="N1430" s="113">
        <f t="shared" si="90"/>
        <v>429.09127197589828</v>
      </c>
      <c r="O1430" s="113">
        <f t="shared" si="91"/>
        <v>96116.444922601222</v>
      </c>
    </row>
    <row r="1431" spans="1:15" x14ac:dyDescent="0.25">
      <c r="A1431" s="13">
        <v>44463</v>
      </c>
      <c r="B1431" s="97">
        <v>4127</v>
      </c>
      <c r="C1431" t="s">
        <v>235</v>
      </c>
      <c r="D1431" t="s">
        <v>339</v>
      </c>
      <c r="E1431" t="s">
        <v>45</v>
      </c>
      <c r="F1431" t="s">
        <v>573</v>
      </c>
      <c r="G1431" s="50" t="s">
        <v>574</v>
      </c>
      <c r="H1431" s="50">
        <v>2</v>
      </c>
      <c r="I1431" s="100">
        <v>6.7391919697301583</v>
      </c>
      <c r="J1431" s="52">
        <v>3834.68</v>
      </c>
      <c r="K1431" s="67">
        <f t="shared" si="92"/>
        <v>106652.59452207494</v>
      </c>
      <c r="L1431" s="95">
        <f>+VLOOKUP(E1431,MARGEN!A:B,2,FALSE)</f>
        <v>0.1</v>
      </c>
      <c r="M1431" s="112">
        <f t="shared" si="89"/>
        <v>10665.259452207494</v>
      </c>
      <c r="N1431" s="113">
        <f t="shared" si="90"/>
        <v>426.61037808829974</v>
      </c>
      <c r="O1431" s="113">
        <f t="shared" si="91"/>
        <v>95560.724691779149</v>
      </c>
    </row>
    <row r="1432" spans="1:15" x14ac:dyDescent="0.25">
      <c r="A1432" s="13">
        <v>44463</v>
      </c>
      <c r="B1432" s="97">
        <v>3911</v>
      </c>
      <c r="C1432" t="s">
        <v>71</v>
      </c>
      <c r="D1432" t="s">
        <v>337</v>
      </c>
      <c r="E1432" t="s">
        <v>45</v>
      </c>
      <c r="F1432" t="s">
        <v>573</v>
      </c>
      <c r="G1432" s="50" t="s">
        <v>574</v>
      </c>
      <c r="H1432" s="50">
        <v>2</v>
      </c>
      <c r="I1432" s="100">
        <v>6.7391919697301583</v>
      </c>
      <c r="J1432" s="52">
        <v>3834.68</v>
      </c>
      <c r="K1432" s="67">
        <f t="shared" si="92"/>
        <v>101070.58327497823</v>
      </c>
      <c r="L1432" s="95">
        <f>+VLOOKUP(E1432,MARGEN!A:B,2,FALSE)</f>
        <v>0.1</v>
      </c>
      <c r="M1432" s="112">
        <f t="shared" si="89"/>
        <v>10107.058327497823</v>
      </c>
      <c r="N1432" s="113">
        <f t="shared" si="90"/>
        <v>404.28233309991293</v>
      </c>
      <c r="O1432" s="113">
        <f t="shared" si="91"/>
        <v>90559.242614380491</v>
      </c>
    </row>
    <row r="1433" spans="1:15" x14ac:dyDescent="0.25">
      <c r="A1433" s="43">
        <v>44463</v>
      </c>
      <c r="B1433" s="51">
        <v>3695</v>
      </c>
      <c r="C1433" s="66" t="s">
        <v>177</v>
      </c>
      <c r="D1433" s="66" t="s">
        <v>355</v>
      </c>
      <c r="E1433" t="s">
        <v>45</v>
      </c>
      <c r="F1433" s="50" t="s">
        <v>558</v>
      </c>
      <c r="G1433" s="50" t="s">
        <v>574</v>
      </c>
      <c r="H1433" s="50">
        <v>2</v>
      </c>
      <c r="I1433" s="100">
        <v>6.7391919697301583</v>
      </c>
      <c r="J1433" s="52">
        <v>3834.68</v>
      </c>
      <c r="K1433" s="67">
        <f t="shared" si="92"/>
        <v>95488.572027881484</v>
      </c>
      <c r="L1433" s="95">
        <f>+VLOOKUP(E1433,MARGEN!A:B,2,FALSE)</f>
        <v>0.1</v>
      </c>
      <c r="M1433" s="112">
        <f t="shared" si="89"/>
        <v>9548.8572027881492</v>
      </c>
      <c r="N1433" s="113">
        <f t="shared" si="90"/>
        <v>381.95428811152595</v>
      </c>
      <c r="O1433" s="113">
        <f t="shared" si="91"/>
        <v>85557.760536981819</v>
      </c>
    </row>
    <row r="1434" spans="1:15" x14ac:dyDescent="0.25">
      <c r="A1434" s="13">
        <v>44463</v>
      </c>
      <c r="B1434" s="97">
        <v>3359</v>
      </c>
      <c r="C1434" t="s">
        <v>269</v>
      </c>
      <c r="D1434" t="s">
        <v>520</v>
      </c>
      <c r="E1434" t="s">
        <v>45</v>
      </c>
      <c r="F1434" t="s">
        <v>558</v>
      </c>
      <c r="G1434" s="50" t="s">
        <v>574</v>
      </c>
      <c r="H1434" s="50">
        <v>2</v>
      </c>
      <c r="I1434" s="100">
        <v>6.7391919697301583</v>
      </c>
      <c r="J1434" s="52">
        <v>3834.68</v>
      </c>
      <c r="K1434" s="67">
        <f t="shared" si="92"/>
        <v>86805.443421286589</v>
      </c>
      <c r="L1434" s="95">
        <f>+VLOOKUP(E1434,MARGEN!A:B,2,FALSE)</f>
        <v>0.1</v>
      </c>
      <c r="M1434" s="112">
        <f t="shared" si="89"/>
        <v>8680.54434212866</v>
      </c>
      <c r="N1434" s="113">
        <f t="shared" si="90"/>
        <v>347.22177368514633</v>
      </c>
      <c r="O1434" s="113">
        <f t="shared" si="91"/>
        <v>77777.677305472782</v>
      </c>
    </row>
    <row r="1435" spans="1:15" x14ac:dyDescent="0.25">
      <c r="A1435" s="13">
        <v>44463</v>
      </c>
      <c r="B1435" s="97">
        <v>3143</v>
      </c>
      <c r="C1435" t="s">
        <v>277</v>
      </c>
      <c r="D1435" t="s">
        <v>513</v>
      </c>
      <c r="E1435" t="s">
        <v>45</v>
      </c>
      <c r="F1435" t="s">
        <v>573</v>
      </c>
      <c r="G1435" s="50" t="s">
        <v>574</v>
      </c>
      <c r="H1435" s="50">
        <v>2</v>
      </c>
      <c r="I1435" s="100">
        <v>6.7391919697301583</v>
      </c>
      <c r="J1435" s="52">
        <v>3834.68</v>
      </c>
      <c r="K1435" s="67">
        <f t="shared" si="92"/>
        <v>81223.43217418986</v>
      </c>
      <c r="L1435" s="95">
        <f>+VLOOKUP(E1435,MARGEN!A:B,2,FALSE)</f>
        <v>0.1</v>
      </c>
      <c r="M1435" s="112">
        <f t="shared" si="89"/>
        <v>8122.3432174189866</v>
      </c>
      <c r="N1435" s="113">
        <f t="shared" si="90"/>
        <v>324.89372869675947</v>
      </c>
      <c r="O1435" s="113">
        <f t="shared" si="91"/>
        <v>72776.195228074124</v>
      </c>
    </row>
    <row r="1436" spans="1:15" x14ac:dyDescent="0.25">
      <c r="A1436" s="13">
        <v>44463</v>
      </c>
      <c r="B1436" s="97">
        <v>2879</v>
      </c>
      <c r="C1436" t="s">
        <v>139</v>
      </c>
      <c r="D1436" t="s">
        <v>327</v>
      </c>
      <c r="E1436" t="s">
        <v>45</v>
      </c>
      <c r="F1436" t="s">
        <v>573</v>
      </c>
      <c r="G1436" s="50" t="s">
        <v>574</v>
      </c>
      <c r="H1436" s="50">
        <v>2</v>
      </c>
      <c r="I1436" s="100">
        <v>6.7391919697301583</v>
      </c>
      <c r="J1436" s="52">
        <v>3834.68</v>
      </c>
      <c r="K1436" s="67">
        <f t="shared" si="92"/>
        <v>74400.973983293865</v>
      </c>
      <c r="L1436" s="95">
        <f>+VLOOKUP(E1436,MARGEN!A:B,2,FALSE)</f>
        <v>0.1</v>
      </c>
      <c r="M1436" s="112">
        <f t="shared" si="89"/>
        <v>7440.097398329387</v>
      </c>
      <c r="N1436" s="113">
        <f t="shared" si="90"/>
        <v>297.60389593317547</v>
      </c>
      <c r="O1436" s="113">
        <f t="shared" si="91"/>
        <v>66663.272689031306</v>
      </c>
    </row>
    <row r="1437" spans="1:15" x14ac:dyDescent="0.25">
      <c r="A1437" s="13">
        <v>44463</v>
      </c>
      <c r="B1437" s="97">
        <v>2855</v>
      </c>
      <c r="C1437" t="s">
        <v>268</v>
      </c>
      <c r="D1437" t="s">
        <v>514</v>
      </c>
      <c r="E1437" t="s">
        <v>45</v>
      </c>
      <c r="F1437" t="s">
        <v>573</v>
      </c>
      <c r="G1437" s="50" t="s">
        <v>574</v>
      </c>
      <c r="H1437" s="50">
        <v>2</v>
      </c>
      <c r="I1437" s="100">
        <v>6.7391919697301583</v>
      </c>
      <c r="J1437" s="52">
        <v>3834.68</v>
      </c>
      <c r="K1437" s="67">
        <f t="shared" si="92"/>
        <v>73780.750511394232</v>
      </c>
      <c r="L1437" s="95">
        <f>+VLOOKUP(E1437,MARGEN!A:B,2,FALSE)</f>
        <v>0.1</v>
      </c>
      <c r="M1437" s="112">
        <f t="shared" si="89"/>
        <v>7378.0750511394235</v>
      </c>
      <c r="N1437" s="113">
        <f t="shared" si="90"/>
        <v>295.12300204557692</v>
      </c>
      <c r="O1437" s="113">
        <f t="shared" si="91"/>
        <v>66107.552458209218</v>
      </c>
    </row>
    <row r="1438" spans="1:15" x14ac:dyDescent="0.25">
      <c r="A1438" s="13">
        <v>44463</v>
      </c>
      <c r="B1438" s="97">
        <v>2855</v>
      </c>
      <c r="C1438" t="s">
        <v>99</v>
      </c>
      <c r="D1438" t="s">
        <v>366</v>
      </c>
      <c r="E1438" t="s">
        <v>45</v>
      </c>
      <c r="F1438" t="s">
        <v>558</v>
      </c>
      <c r="G1438" s="50" t="s">
        <v>574</v>
      </c>
      <c r="H1438" s="50">
        <v>2</v>
      </c>
      <c r="I1438" s="100">
        <v>6.7391919697301583</v>
      </c>
      <c r="J1438" s="52">
        <v>3834.68</v>
      </c>
      <c r="K1438" s="67">
        <f t="shared" si="92"/>
        <v>73780.750511394232</v>
      </c>
      <c r="L1438" s="95">
        <f>+VLOOKUP(E1438,MARGEN!A:B,2,FALSE)</f>
        <v>0.1</v>
      </c>
      <c r="M1438" s="112">
        <f t="shared" si="89"/>
        <v>7378.0750511394235</v>
      </c>
      <c r="N1438" s="113">
        <f t="shared" si="90"/>
        <v>295.12300204557692</v>
      </c>
      <c r="O1438" s="113">
        <f t="shared" si="91"/>
        <v>66107.552458209218</v>
      </c>
    </row>
    <row r="1439" spans="1:15" x14ac:dyDescent="0.25">
      <c r="A1439" s="13">
        <v>44463</v>
      </c>
      <c r="B1439" s="97">
        <v>2855</v>
      </c>
      <c r="C1439" t="s">
        <v>271</v>
      </c>
      <c r="D1439" t="s">
        <v>518</v>
      </c>
      <c r="E1439" t="s">
        <v>45</v>
      </c>
      <c r="F1439" t="s">
        <v>558</v>
      </c>
      <c r="G1439" s="50" t="s">
        <v>574</v>
      </c>
      <c r="H1439" s="50">
        <v>2</v>
      </c>
      <c r="I1439" s="100">
        <v>6.7391919697301583</v>
      </c>
      <c r="J1439" s="52">
        <v>3834.68</v>
      </c>
      <c r="K1439" s="67">
        <f t="shared" si="92"/>
        <v>73780.750511394232</v>
      </c>
      <c r="L1439" s="95">
        <f>+VLOOKUP(E1439,MARGEN!A:B,2,FALSE)</f>
        <v>0.1</v>
      </c>
      <c r="M1439" s="112">
        <f t="shared" si="89"/>
        <v>7378.0750511394235</v>
      </c>
      <c r="N1439" s="113">
        <f t="shared" si="90"/>
        <v>295.12300204557692</v>
      </c>
      <c r="O1439" s="113">
        <f t="shared" si="91"/>
        <v>66107.552458209218</v>
      </c>
    </row>
    <row r="1440" spans="1:15" x14ac:dyDescent="0.25">
      <c r="A1440" s="13">
        <v>44463</v>
      </c>
      <c r="B1440" s="97">
        <v>2807</v>
      </c>
      <c r="C1440" t="s">
        <v>178</v>
      </c>
      <c r="D1440" t="s">
        <v>370</v>
      </c>
      <c r="E1440" t="s">
        <v>45</v>
      </c>
      <c r="F1440" t="s">
        <v>573</v>
      </c>
      <c r="G1440" s="50" t="s">
        <v>574</v>
      </c>
      <c r="H1440" s="50">
        <v>2</v>
      </c>
      <c r="I1440" s="100">
        <v>6.7391919697301583</v>
      </c>
      <c r="J1440" s="52">
        <v>3834.68</v>
      </c>
      <c r="K1440" s="67">
        <f t="shared" si="92"/>
        <v>72540.303567594965</v>
      </c>
      <c r="L1440" s="95">
        <f>+VLOOKUP(E1440,MARGEN!A:B,2,FALSE)</f>
        <v>0.1</v>
      </c>
      <c r="M1440" s="112">
        <f t="shared" si="89"/>
        <v>7254.0303567594965</v>
      </c>
      <c r="N1440" s="113">
        <f t="shared" si="90"/>
        <v>290.16121427037984</v>
      </c>
      <c r="O1440" s="113">
        <f t="shared" si="91"/>
        <v>64996.111996565087</v>
      </c>
    </row>
    <row r="1441" spans="1:15" x14ac:dyDescent="0.25">
      <c r="A1441" s="13">
        <v>44463</v>
      </c>
      <c r="B1441" s="97">
        <v>2663</v>
      </c>
      <c r="C1441" t="s">
        <v>138</v>
      </c>
      <c r="D1441" t="s">
        <v>321</v>
      </c>
      <c r="E1441" t="s">
        <v>45</v>
      </c>
      <c r="F1441" t="s">
        <v>573</v>
      </c>
      <c r="G1441" s="50" t="s">
        <v>574</v>
      </c>
      <c r="H1441" s="50">
        <v>2</v>
      </c>
      <c r="I1441" s="100">
        <v>6.7391919697301583</v>
      </c>
      <c r="J1441" s="52">
        <v>3834.68</v>
      </c>
      <c r="K1441" s="67">
        <f t="shared" si="92"/>
        <v>68818.962736197136</v>
      </c>
      <c r="L1441" s="95">
        <f>+VLOOKUP(E1441,MARGEN!A:B,2,FALSE)</f>
        <v>0.1</v>
      </c>
      <c r="M1441" s="112">
        <f t="shared" si="89"/>
        <v>6881.8962736197136</v>
      </c>
      <c r="N1441" s="113">
        <f t="shared" si="90"/>
        <v>275.27585094478854</v>
      </c>
      <c r="O1441" s="113">
        <f t="shared" si="91"/>
        <v>61661.790611632634</v>
      </c>
    </row>
    <row r="1442" spans="1:15" x14ac:dyDescent="0.25">
      <c r="A1442" s="13">
        <v>44463</v>
      </c>
      <c r="B1442" s="97">
        <v>2231</v>
      </c>
      <c r="C1442" t="s">
        <v>246</v>
      </c>
      <c r="D1442" t="s">
        <v>373</v>
      </c>
      <c r="E1442" t="s">
        <v>45</v>
      </c>
      <c r="F1442" t="s">
        <v>558</v>
      </c>
      <c r="G1442" s="50" t="s">
        <v>574</v>
      </c>
      <c r="H1442" s="50">
        <v>2</v>
      </c>
      <c r="I1442" s="100">
        <v>6.7391919697301583</v>
      </c>
      <c r="J1442" s="52">
        <v>3834.68</v>
      </c>
      <c r="K1442" s="67">
        <f t="shared" si="92"/>
        <v>57654.940242003679</v>
      </c>
      <c r="L1442" s="95">
        <f>+VLOOKUP(E1442,MARGEN!A:B,2,FALSE)</f>
        <v>0.1</v>
      </c>
      <c r="M1442" s="112">
        <f t="shared" si="89"/>
        <v>5765.4940242003686</v>
      </c>
      <c r="N1442" s="113">
        <f t="shared" si="90"/>
        <v>230.6197609680147</v>
      </c>
      <c r="O1442" s="113">
        <f t="shared" si="91"/>
        <v>51658.826456835297</v>
      </c>
    </row>
    <row r="1443" spans="1:15" x14ac:dyDescent="0.25">
      <c r="A1443" s="13">
        <v>44463</v>
      </c>
      <c r="B1443" s="97">
        <v>2183</v>
      </c>
      <c r="C1443" t="s">
        <v>560</v>
      </c>
      <c r="D1443" t="s">
        <v>561</v>
      </c>
      <c r="E1443" t="s">
        <v>45</v>
      </c>
      <c r="F1443" t="s">
        <v>573</v>
      </c>
      <c r="G1443" s="50" t="s">
        <v>574</v>
      </c>
      <c r="H1443" s="50">
        <v>2</v>
      </c>
      <c r="I1443" s="100">
        <v>6.7391919697301583</v>
      </c>
      <c r="J1443" s="52">
        <v>3834.68</v>
      </c>
      <c r="K1443" s="67">
        <f t="shared" si="92"/>
        <v>56414.493298204405</v>
      </c>
      <c r="L1443" s="95">
        <f>+VLOOKUP(E1443,MARGEN!A:B,2,FALSE)</f>
        <v>0.1</v>
      </c>
      <c r="M1443" s="112">
        <f t="shared" si="89"/>
        <v>5641.4493298204407</v>
      </c>
      <c r="N1443" s="113">
        <f t="shared" si="90"/>
        <v>225.65797319281762</v>
      </c>
      <c r="O1443" s="113">
        <f t="shared" si="91"/>
        <v>50547.385995191151</v>
      </c>
    </row>
    <row r="1444" spans="1:15" x14ac:dyDescent="0.25">
      <c r="A1444" s="13">
        <v>44463</v>
      </c>
      <c r="B1444" s="97">
        <v>2183</v>
      </c>
      <c r="C1444" t="s">
        <v>93</v>
      </c>
      <c r="D1444" t="s">
        <v>353</v>
      </c>
      <c r="E1444" t="s">
        <v>45</v>
      </c>
      <c r="F1444" t="s">
        <v>558</v>
      </c>
      <c r="G1444" s="50" t="s">
        <v>574</v>
      </c>
      <c r="H1444" s="50">
        <v>2</v>
      </c>
      <c r="I1444" s="100">
        <v>6.7391919697301583</v>
      </c>
      <c r="J1444" s="52">
        <v>3834.68</v>
      </c>
      <c r="K1444" s="67">
        <f t="shared" si="92"/>
        <v>56414.493298204405</v>
      </c>
      <c r="L1444" s="95">
        <f>+VLOOKUP(E1444,MARGEN!A:B,2,FALSE)</f>
        <v>0.1</v>
      </c>
      <c r="M1444" s="112">
        <f t="shared" si="89"/>
        <v>5641.4493298204407</v>
      </c>
      <c r="N1444" s="113">
        <f t="shared" si="90"/>
        <v>225.65797319281762</v>
      </c>
      <c r="O1444" s="113">
        <f t="shared" si="91"/>
        <v>50547.385995191151</v>
      </c>
    </row>
    <row r="1445" spans="1:15" x14ac:dyDescent="0.25">
      <c r="A1445" s="13">
        <v>44463</v>
      </c>
      <c r="B1445" s="97">
        <v>2087</v>
      </c>
      <c r="C1445" t="s">
        <v>92</v>
      </c>
      <c r="D1445" t="s">
        <v>490</v>
      </c>
      <c r="E1445" t="s">
        <v>45</v>
      </c>
      <c r="F1445" t="s">
        <v>573</v>
      </c>
      <c r="G1445" s="50" t="s">
        <v>574</v>
      </c>
      <c r="H1445" s="50">
        <v>2</v>
      </c>
      <c r="I1445" s="100">
        <v>6.7391919697301583</v>
      </c>
      <c r="J1445" s="52">
        <v>3834.68</v>
      </c>
      <c r="K1445" s="67">
        <f t="shared" si="92"/>
        <v>53933.599410605872</v>
      </c>
      <c r="L1445" s="95">
        <f>+VLOOKUP(E1445,MARGEN!A:B,2,FALSE)</f>
        <v>0.1</v>
      </c>
      <c r="M1445" s="112">
        <f t="shared" si="89"/>
        <v>5393.3599410605875</v>
      </c>
      <c r="N1445" s="113">
        <f t="shared" si="90"/>
        <v>215.73439764242349</v>
      </c>
      <c r="O1445" s="113">
        <f t="shared" si="91"/>
        <v>48324.505071902859</v>
      </c>
    </row>
    <row r="1446" spans="1:15" x14ac:dyDescent="0.25">
      <c r="A1446" s="13">
        <v>44463</v>
      </c>
      <c r="B1446" s="97">
        <v>2087</v>
      </c>
      <c r="C1446" t="s">
        <v>103</v>
      </c>
      <c r="D1446" t="s">
        <v>342</v>
      </c>
      <c r="E1446" t="s">
        <v>45</v>
      </c>
      <c r="F1446" t="s">
        <v>558</v>
      </c>
      <c r="G1446" s="50" t="s">
        <v>574</v>
      </c>
      <c r="H1446" s="50">
        <v>2</v>
      </c>
      <c r="I1446" s="100">
        <v>6.7391919697301583</v>
      </c>
      <c r="J1446" s="52">
        <v>3834.68</v>
      </c>
      <c r="K1446" s="67">
        <f t="shared" si="92"/>
        <v>53933.599410605872</v>
      </c>
      <c r="L1446" s="95">
        <f>+VLOOKUP(E1446,MARGEN!A:B,2,FALSE)</f>
        <v>0.1</v>
      </c>
      <c r="M1446" s="112">
        <f t="shared" si="89"/>
        <v>5393.3599410605875</v>
      </c>
      <c r="N1446" s="113">
        <f t="shared" si="90"/>
        <v>215.73439764242349</v>
      </c>
      <c r="O1446" s="113">
        <f t="shared" si="91"/>
        <v>48324.505071902859</v>
      </c>
    </row>
    <row r="1447" spans="1:15" x14ac:dyDescent="0.25">
      <c r="A1447" s="13">
        <v>44463</v>
      </c>
      <c r="B1447" s="97">
        <v>1943</v>
      </c>
      <c r="C1447" t="s">
        <v>117</v>
      </c>
      <c r="D1447" t="s">
        <v>336</v>
      </c>
      <c r="E1447" t="s">
        <v>45</v>
      </c>
      <c r="F1447" t="s">
        <v>558</v>
      </c>
      <c r="G1447" s="50" t="s">
        <v>574</v>
      </c>
      <c r="H1447" s="50">
        <v>2</v>
      </c>
      <c r="I1447" s="100">
        <v>6.7391919697301583</v>
      </c>
      <c r="J1447" s="52">
        <v>3834.68</v>
      </c>
      <c r="K1447" s="67">
        <f t="shared" si="92"/>
        <v>50212.258579208043</v>
      </c>
      <c r="L1447" s="95">
        <f>+VLOOKUP(E1447,MARGEN!A:B,2,FALSE)</f>
        <v>0.1</v>
      </c>
      <c r="M1447" s="112">
        <f t="shared" si="89"/>
        <v>5021.2258579208046</v>
      </c>
      <c r="N1447" s="113">
        <f t="shared" si="90"/>
        <v>200.84903431683216</v>
      </c>
      <c r="O1447" s="113">
        <f t="shared" si="91"/>
        <v>44990.183686970406</v>
      </c>
    </row>
    <row r="1448" spans="1:15" x14ac:dyDescent="0.25">
      <c r="A1448" s="13">
        <v>44463</v>
      </c>
      <c r="B1448" s="97">
        <v>1871</v>
      </c>
      <c r="C1448" t="s">
        <v>198</v>
      </c>
      <c r="D1448" t="s">
        <v>326</v>
      </c>
      <c r="E1448" t="s">
        <v>45</v>
      </c>
      <c r="F1448" t="s">
        <v>573</v>
      </c>
      <c r="G1448" s="50" t="s">
        <v>574</v>
      </c>
      <c r="H1448" s="50">
        <v>2</v>
      </c>
      <c r="I1448" s="100">
        <v>6.7391919697301583</v>
      </c>
      <c r="J1448" s="52">
        <v>3834.68</v>
      </c>
      <c r="K1448" s="67">
        <f t="shared" si="92"/>
        <v>48351.588163509143</v>
      </c>
      <c r="L1448" s="95">
        <f>+VLOOKUP(E1448,MARGEN!A:B,2,FALSE)</f>
        <v>0.1</v>
      </c>
      <c r="M1448" s="112">
        <f t="shared" si="89"/>
        <v>4835.1588163509141</v>
      </c>
      <c r="N1448" s="113">
        <f t="shared" si="90"/>
        <v>193.40635265403657</v>
      </c>
      <c r="O1448" s="113">
        <f t="shared" si="91"/>
        <v>43323.022994504194</v>
      </c>
    </row>
    <row r="1449" spans="1:15" x14ac:dyDescent="0.25">
      <c r="A1449" s="13">
        <v>44463</v>
      </c>
      <c r="B1449" s="97">
        <v>1847</v>
      </c>
      <c r="C1449" t="s">
        <v>270</v>
      </c>
      <c r="D1449" t="s">
        <v>491</v>
      </c>
      <c r="E1449" t="s">
        <v>45</v>
      </c>
      <c r="F1449" t="s">
        <v>558</v>
      </c>
      <c r="G1449" s="50" t="s">
        <v>574</v>
      </c>
      <c r="H1449" s="50">
        <v>2</v>
      </c>
      <c r="I1449" s="100">
        <v>6.7391919697301583</v>
      </c>
      <c r="J1449" s="52">
        <v>3834.68</v>
      </c>
      <c r="K1449" s="67">
        <f t="shared" si="92"/>
        <v>47731.364691609502</v>
      </c>
      <c r="L1449" s="95">
        <f>+VLOOKUP(E1449,MARGEN!A:B,2,FALSE)</f>
        <v>0.1</v>
      </c>
      <c r="M1449" s="112">
        <f t="shared" si="89"/>
        <v>4773.1364691609506</v>
      </c>
      <c r="N1449" s="113">
        <f t="shared" si="90"/>
        <v>190.925458766438</v>
      </c>
      <c r="O1449" s="113">
        <f t="shared" si="91"/>
        <v>42767.302763682113</v>
      </c>
    </row>
    <row r="1450" spans="1:15" x14ac:dyDescent="0.25">
      <c r="A1450" s="13">
        <v>44463</v>
      </c>
      <c r="B1450" s="97">
        <v>1727</v>
      </c>
      <c r="C1450" t="s">
        <v>190</v>
      </c>
      <c r="D1450" t="s">
        <v>356</v>
      </c>
      <c r="E1450" t="s">
        <v>45</v>
      </c>
      <c r="F1450" t="s">
        <v>573</v>
      </c>
      <c r="G1450" s="50" t="s">
        <v>574</v>
      </c>
      <c r="H1450" s="50">
        <v>2</v>
      </c>
      <c r="I1450" s="100">
        <v>6.7391919697301583</v>
      </c>
      <c r="J1450" s="52">
        <v>3834.68</v>
      </c>
      <c r="K1450" s="67">
        <f t="shared" si="92"/>
        <v>44630.247332111321</v>
      </c>
      <c r="L1450" s="95">
        <f>+VLOOKUP(E1450,MARGEN!A:B,2,FALSE)</f>
        <v>0.1</v>
      </c>
      <c r="M1450" s="112">
        <f t="shared" si="89"/>
        <v>4463.0247332111321</v>
      </c>
      <c r="N1450" s="113">
        <f t="shared" si="90"/>
        <v>178.5209893284453</v>
      </c>
      <c r="O1450" s="113">
        <f t="shared" si="91"/>
        <v>39988.701609571741</v>
      </c>
    </row>
    <row r="1451" spans="1:15" x14ac:dyDescent="0.25">
      <c r="A1451" s="13">
        <v>44463</v>
      </c>
      <c r="B1451" s="97">
        <v>1535</v>
      </c>
      <c r="C1451" t="s">
        <v>273</v>
      </c>
      <c r="D1451" t="s">
        <v>515</v>
      </c>
      <c r="E1451" t="s">
        <v>45</v>
      </c>
      <c r="F1451" t="s">
        <v>573</v>
      </c>
      <c r="G1451" s="50" t="s">
        <v>574</v>
      </c>
      <c r="H1451" s="50">
        <v>2</v>
      </c>
      <c r="I1451" s="100">
        <v>6.7391919697301583</v>
      </c>
      <c r="J1451" s="52">
        <v>3834.68</v>
      </c>
      <c r="K1451" s="67">
        <f t="shared" si="92"/>
        <v>39668.459556914233</v>
      </c>
      <c r="L1451" s="95">
        <f>+VLOOKUP(E1451,MARGEN!A:B,2,FALSE)</f>
        <v>0.1</v>
      </c>
      <c r="M1451" s="112">
        <f t="shared" si="89"/>
        <v>3966.8459556914236</v>
      </c>
      <c r="N1451" s="113">
        <f t="shared" si="90"/>
        <v>158.67383822765694</v>
      </c>
      <c r="O1451" s="113">
        <f t="shared" si="91"/>
        <v>35542.939762995149</v>
      </c>
    </row>
    <row r="1452" spans="1:15" x14ac:dyDescent="0.25">
      <c r="A1452" s="13">
        <v>44463</v>
      </c>
      <c r="B1452" s="97">
        <v>1535</v>
      </c>
      <c r="C1452" t="s">
        <v>207</v>
      </c>
      <c r="D1452" t="s">
        <v>322</v>
      </c>
      <c r="E1452" t="s">
        <v>45</v>
      </c>
      <c r="F1452" t="s">
        <v>558</v>
      </c>
      <c r="G1452" s="50" t="s">
        <v>574</v>
      </c>
      <c r="H1452" s="50">
        <v>2</v>
      </c>
      <c r="I1452" s="100">
        <v>6.7391919697301583</v>
      </c>
      <c r="J1452" s="52">
        <v>3834.68</v>
      </c>
      <c r="K1452" s="67">
        <f t="shared" si="92"/>
        <v>39668.459556914233</v>
      </c>
      <c r="L1452" s="95">
        <f>+VLOOKUP(E1452,MARGEN!A:B,2,FALSE)</f>
        <v>0.1</v>
      </c>
      <c r="M1452" s="112">
        <f t="shared" si="89"/>
        <v>3966.8459556914236</v>
      </c>
      <c r="N1452" s="113">
        <f t="shared" si="90"/>
        <v>158.67383822765694</v>
      </c>
      <c r="O1452" s="113">
        <f t="shared" si="91"/>
        <v>35542.939762995149</v>
      </c>
    </row>
    <row r="1453" spans="1:15" x14ac:dyDescent="0.25">
      <c r="A1453" s="13">
        <v>44463</v>
      </c>
      <c r="B1453" s="97">
        <v>1487</v>
      </c>
      <c r="C1453" t="s">
        <v>250</v>
      </c>
      <c r="D1453" t="s">
        <v>333</v>
      </c>
      <c r="E1453" t="s">
        <v>45</v>
      </c>
      <c r="F1453" t="s">
        <v>558</v>
      </c>
      <c r="G1453" s="50" t="s">
        <v>574</v>
      </c>
      <c r="H1453" s="50">
        <v>2</v>
      </c>
      <c r="I1453" s="100">
        <v>6.7391919697301583</v>
      </c>
      <c r="J1453" s="52">
        <v>3834.68</v>
      </c>
      <c r="K1453" s="67">
        <f t="shared" si="92"/>
        <v>38428.012613114959</v>
      </c>
      <c r="L1453" s="95">
        <f>+VLOOKUP(E1453,MARGEN!A:B,2,FALSE)</f>
        <v>0.1</v>
      </c>
      <c r="M1453" s="112">
        <f t="shared" si="89"/>
        <v>3842.8012613114961</v>
      </c>
      <c r="N1453" s="113">
        <f t="shared" si="90"/>
        <v>153.71205045245983</v>
      </c>
      <c r="O1453" s="113">
        <f t="shared" si="91"/>
        <v>34431.499301351003</v>
      </c>
    </row>
    <row r="1454" spans="1:15" x14ac:dyDescent="0.25">
      <c r="A1454" s="13">
        <v>44463</v>
      </c>
      <c r="B1454" s="97">
        <v>1391</v>
      </c>
      <c r="C1454" t="s">
        <v>107</v>
      </c>
      <c r="D1454" t="s">
        <v>346</v>
      </c>
      <c r="E1454" t="s">
        <v>45</v>
      </c>
      <c r="F1454" t="s">
        <v>573</v>
      </c>
      <c r="G1454" s="50" t="s">
        <v>574</v>
      </c>
      <c r="H1454" s="50">
        <v>2</v>
      </c>
      <c r="I1454" s="100">
        <v>6.7391919697301583</v>
      </c>
      <c r="J1454" s="52">
        <v>3834.68</v>
      </c>
      <c r="K1454" s="67">
        <f t="shared" si="92"/>
        <v>35947.118725516419</v>
      </c>
      <c r="L1454" s="95">
        <f>+VLOOKUP(E1454,MARGEN!A:B,2,FALSE)</f>
        <v>0.1</v>
      </c>
      <c r="M1454" s="112">
        <f t="shared" si="89"/>
        <v>3594.711872551642</v>
      </c>
      <c r="N1454" s="113">
        <f t="shared" si="90"/>
        <v>143.78847490206567</v>
      </c>
      <c r="O1454" s="113">
        <f t="shared" si="91"/>
        <v>32208.618378062711</v>
      </c>
    </row>
    <row r="1455" spans="1:15" x14ac:dyDescent="0.25">
      <c r="A1455" s="13">
        <v>44463</v>
      </c>
      <c r="B1455" s="97">
        <v>1295</v>
      </c>
      <c r="C1455" t="s">
        <v>106</v>
      </c>
      <c r="D1455" t="s">
        <v>349</v>
      </c>
      <c r="E1455" t="s">
        <v>45</v>
      </c>
      <c r="F1455" t="s">
        <v>558</v>
      </c>
      <c r="G1455" s="50" t="s">
        <v>574</v>
      </c>
      <c r="H1455" s="50">
        <v>2</v>
      </c>
      <c r="I1455" s="100">
        <v>6.7391919697301583</v>
      </c>
      <c r="J1455" s="52">
        <v>3834.68</v>
      </c>
      <c r="K1455" s="67">
        <f t="shared" si="92"/>
        <v>33466.224837917871</v>
      </c>
      <c r="L1455" s="95">
        <f>+VLOOKUP(E1455,MARGEN!A:B,2,FALSE)</f>
        <v>0.1</v>
      </c>
      <c r="M1455" s="112">
        <f t="shared" si="89"/>
        <v>3346.6224837917871</v>
      </c>
      <c r="N1455" s="113">
        <f t="shared" si="90"/>
        <v>133.86489935167148</v>
      </c>
      <c r="O1455" s="113">
        <f t="shared" si="91"/>
        <v>29985.737454774411</v>
      </c>
    </row>
    <row r="1456" spans="1:15" x14ac:dyDescent="0.25">
      <c r="A1456" s="13">
        <v>44463</v>
      </c>
      <c r="B1456" s="97">
        <v>1151</v>
      </c>
      <c r="C1456" t="s">
        <v>274</v>
      </c>
      <c r="D1456" t="s">
        <v>517</v>
      </c>
      <c r="E1456" t="s">
        <v>45</v>
      </c>
      <c r="F1456" t="s">
        <v>558</v>
      </c>
      <c r="G1456" s="50" t="s">
        <v>574</v>
      </c>
      <c r="H1456" s="50">
        <v>2</v>
      </c>
      <c r="I1456" s="100">
        <v>6.7391919697301583</v>
      </c>
      <c r="J1456" s="52">
        <v>3834.68</v>
      </c>
      <c r="K1456" s="67">
        <f t="shared" si="92"/>
        <v>29744.884006520053</v>
      </c>
      <c r="L1456" s="95">
        <f>+VLOOKUP(E1456,MARGEN!A:B,2,FALSE)</f>
        <v>0.1</v>
      </c>
      <c r="M1456" s="112">
        <f t="shared" si="89"/>
        <v>2974.4884006520056</v>
      </c>
      <c r="N1456" s="113">
        <f t="shared" si="90"/>
        <v>118.97953602608021</v>
      </c>
      <c r="O1456" s="113">
        <f t="shared" si="91"/>
        <v>26651.416069841969</v>
      </c>
    </row>
    <row r="1457" spans="1:15" x14ac:dyDescent="0.25">
      <c r="A1457" s="13">
        <v>44464</v>
      </c>
      <c r="B1457" s="97">
        <v>16343</v>
      </c>
      <c r="C1457" t="s">
        <v>78</v>
      </c>
      <c r="D1457" t="s">
        <v>412</v>
      </c>
      <c r="E1457" t="s">
        <v>45</v>
      </c>
      <c r="F1457" t="s">
        <v>573</v>
      </c>
      <c r="G1457" s="50" t="s">
        <v>574</v>
      </c>
      <c r="H1457" s="50">
        <v>2</v>
      </c>
      <c r="I1457" s="100">
        <v>6.7391919697301583</v>
      </c>
      <c r="J1457" s="52">
        <v>3834.68</v>
      </c>
      <c r="K1457" s="67">
        <f t="shared" si="92"/>
        <v>422346.34171898977</v>
      </c>
      <c r="L1457" s="95">
        <f>+VLOOKUP(E1457,MARGEN!A:B,2,FALSE)</f>
        <v>0.1</v>
      </c>
      <c r="M1457" s="112">
        <f t="shared" si="89"/>
        <v>42234.634171898979</v>
      </c>
      <c r="N1457" s="113">
        <f t="shared" si="90"/>
        <v>1689.3853668759591</v>
      </c>
      <c r="O1457" s="113">
        <f t="shared" si="91"/>
        <v>378422.3221802148</v>
      </c>
    </row>
    <row r="1458" spans="1:15" x14ac:dyDescent="0.25">
      <c r="A1458" s="13">
        <v>44464</v>
      </c>
      <c r="B1458" s="97">
        <v>12815</v>
      </c>
      <c r="C1458" t="s">
        <v>73</v>
      </c>
      <c r="D1458" t="s">
        <v>338</v>
      </c>
      <c r="E1458" t="s">
        <v>45</v>
      </c>
      <c r="F1458" t="s">
        <v>573</v>
      </c>
      <c r="G1458" s="50" t="s">
        <v>574</v>
      </c>
      <c r="H1458" s="50">
        <v>2</v>
      </c>
      <c r="I1458" s="100">
        <v>6.7391919697301583</v>
      </c>
      <c r="J1458" s="52">
        <v>3834.68</v>
      </c>
      <c r="K1458" s="67">
        <f t="shared" si="92"/>
        <v>331173.49134974327</v>
      </c>
      <c r="L1458" s="95">
        <f>+VLOOKUP(E1458,MARGEN!A:B,2,FALSE)</f>
        <v>0.1</v>
      </c>
      <c r="M1458" s="112">
        <f t="shared" si="89"/>
        <v>33117.349134974327</v>
      </c>
      <c r="N1458" s="113">
        <f t="shared" si="90"/>
        <v>1324.693965398973</v>
      </c>
      <c r="O1458" s="113">
        <f t="shared" si="91"/>
        <v>296731.44824936992</v>
      </c>
    </row>
    <row r="1459" spans="1:15" x14ac:dyDescent="0.25">
      <c r="A1459" s="13">
        <v>44464</v>
      </c>
      <c r="B1459" s="97">
        <v>9935</v>
      </c>
      <c r="C1459" t="s">
        <v>95</v>
      </c>
      <c r="D1459" t="s">
        <v>510</v>
      </c>
      <c r="E1459" t="s">
        <v>45</v>
      </c>
      <c r="F1459" t="s">
        <v>573</v>
      </c>
      <c r="G1459" s="50" t="s">
        <v>574</v>
      </c>
      <c r="H1459" s="50">
        <v>2</v>
      </c>
      <c r="I1459" s="100">
        <v>6.7391919697301583</v>
      </c>
      <c r="J1459" s="52">
        <v>3834.68</v>
      </c>
      <c r="K1459" s="67">
        <f t="shared" si="92"/>
        <v>256746.6747217869</v>
      </c>
      <c r="L1459" s="95">
        <f>+VLOOKUP(E1459,MARGEN!A:B,2,FALSE)</f>
        <v>0.1</v>
      </c>
      <c r="M1459" s="112">
        <f t="shared" si="89"/>
        <v>25674.667472178691</v>
      </c>
      <c r="N1459" s="113">
        <f t="shared" si="90"/>
        <v>1026.9866988871477</v>
      </c>
      <c r="O1459" s="113">
        <f t="shared" si="91"/>
        <v>230045.02055072106</v>
      </c>
    </row>
    <row r="1460" spans="1:15" x14ac:dyDescent="0.25">
      <c r="A1460" s="13">
        <v>44464</v>
      </c>
      <c r="B1460" s="97">
        <v>8254</v>
      </c>
      <c r="C1460" t="s">
        <v>191</v>
      </c>
      <c r="D1460" t="s">
        <v>354</v>
      </c>
      <c r="E1460" t="s">
        <v>45</v>
      </c>
      <c r="F1460" t="s">
        <v>562</v>
      </c>
      <c r="G1460" s="50" t="s">
        <v>574</v>
      </c>
      <c r="H1460" s="50">
        <v>2</v>
      </c>
      <c r="I1460" s="100">
        <v>6.7391919697301583</v>
      </c>
      <c r="J1460" s="52">
        <v>3834.68</v>
      </c>
      <c r="K1460" s="67">
        <f t="shared" si="92"/>
        <v>213305.18904414988</v>
      </c>
      <c r="L1460" s="95">
        <f>+VLOOKUP(E1460,MARGEN!A:B,2,FALSE)</f>
        <v>0.1</v>
      </c>
      <c r="M1460" s="112">
        <f t="shared" si="89"/>
        <v>21330.518904414988</v>
      </c>
      <c r="N1460" s="113">
        <f t="shared" si="90"/>
        <v>853.22075617659948</v>
      </c>
      <c r="O1460" s="113">
        <f t="shared" si="91"/>
        <v>191121.4493835583</v>
      </c>
    </row>
    <row r="1461" spans="1:15" x14ac:dyDescent="0.25">
      <c r="A1461" s="13">
        <v>44464</v>
      </c>
      <c r="B1461" s="97">
        <v>8206</v>
      </c>
      <c r="C1461" t="s">
        <v>90</v>
      </c>
      <c r="D1461" t="s">
        <v>350</v>
      </c>
      <c r="E1461" t="s">
        <v>45</v>
      </c>
      <c r="F1461" t="s">
        <v>562</v>
      </c>
      <c r="G1461" s="50" t="s">
        <v>574</v>
      </c>
      <c r="H1461" s="50">
        <v>2</v>
      </c>
      <c r="I1461" s="100">
        <v>6.7391919697301583</v>
      </c>
      <c r="J1461" s="52">
        <v>3834.68</v>
      </c>
      <c r="K1461" s="67">
        <f t="shared" si="92"/>
        <v>212064.74210035062</v>
      </c>
      <c r="L1461" s="95">
        <f>+VLOOKUP(E1461,MARGEN!A:B,2,FALSE)</f>
        <v>0.1</v>
      </c>
      <c r="M1461" s="112">
        <f t="shared" si="89"/>
        <v>21206.474210035063</v>
      </c>
      <c r="N1461" s="113">
        <f t="shared" si="90"/>
        <v>848.25896840140251</v>
      </c>
      <c r="O1461" s="113">
        <f t="shared" si="91"/>
        <v>190010.00892191415</v>
      </c>
    </row>
    <row r="1462" spans="1:15" x14ac:dyDescent="0.25">
      <c r="A1462" s="13">
        <v>44464</v>
      </c>
      <c r="B1462" s="97">
        <v>7606</v>
      </c>
      <c r="C1462" t="s">
        <v>248</v>
      </c>
      <c r="D1462" t="s">
        <v>385</v>
      </c>
      <c r="E1462" t="s">
        <v>45</v>
      </c>
      <c r="F1462" t="s">
        <v>562</v>
      </c>
      <c r="G1462" s="50" t="s">
        <v>574</v>
      </c>
      <c r="H1462" s="50">
        <v>2</v>
      </c>
      <c r="I1462" s="100">
        <v>6.7391919697301583</v>
      </c>
      <c r="J1462" s="52">
        <v>3834.68</v>
      </c>
      <c r="K1462" s="67">
        <f t="shared" si="92"/>
        <v>196559.1553028597</v>
      </c>
      <c r="L1462" s="95">
        <f>+VLOOKUP(E1462,MARGEN!A:B,2,FALSE)</f>
        <v>0.1</v>
      </c>
      <c r="M1462" s="112">
        <f t="shared" si="89"/>
        <v>19655.915530285973</v>
      </c>
      <c r="N1462" s="113">
        <f t="shared" si="90"/>
        <v>786.23662121143877</v>
      </c>
      <c r="O1462" s="113">
        <f t="shared" si="91"/>
        <v>176117.0031513623</v>
      </c>
    </row>
    <row r="1463" spans="1:15" x14ac:dyDescent="0.25">
      <c r="A1463" s="13">
        <v>44464</v>
      </c>
      <c r="B1463" s="97">
        <v>7535</v>
      </c>
      <c r="C1463" t="s">
        <v>179</v>
      </c>
      <c r="D1463" t="s">
        <v>361</v>
      </c>
      <c r="E1463" t="s">
        <v>45</v>
      </c>
      <c r="F1463" t="s">
        <v>573</v>
      </c>
      <c r="G1463" s="50" t="s">
        <v>574</v>
      </c>
      <c r="H1463" s="50">
        <v>2</v>
      </c>
      <c r="I1463" s="100">
        <v>6.7391919697301583</v>
      </c>
      <c r="J1463" s="52">
        <v>3834.68</v>
      </c>
      <c r="K1463" s="67">
        <f t="shared" si="92"/>
        <v>194724.32753182328</v>
      </c>
      <c r="L1463" s="95">
        <f>+VLOOKUP(E1463,MARGEN!A:B,2,FALSE)</f>
        <v>0.1</v>
      </c>
      <c r="M1463" s="112">
        <f t="shared" si="89"/>
        <v>19472.432753182329</v>
      </c>
      <c r="N1463" s="113">
        <f t="shared" si="90"/>
        <v>778.89731012729305</v>
      </c>
      <c r="O1463" s="113">
        <f t="shared" si="91"/>
        <v>174472.99746851364</v>
      </c>
    </row>
    <row r="1464" spans="1:15" x14ac:dyDescent="0.25">
      <c r="A1464" s="13">
        <v>44464</v>
      </c>
      <c r="B1464" s="97">
        <v>7366</v>
      </c>
      <c r="C1464" t="s">
        <v>143</v>
      </c>
      <c r="D1464" t="s">
        <v>489</v>
      </c>
      <c r="E1464" t="s">
        <v>45</v>
      </c>
      <c r="F1464" t="s">
        <v>562</v>
      </c>
      <c r="G1464" s="50" t="s">
        <v>574</v>
      </c>
      <c r="H1464" s="50">
        <v>2</v>
      </c>
      <c r="I1464" s="100">
        <v>6.7391919697301583</v>
      </c>
      <c r="J1464" s="52">
        <v>3834.68</v>
      </c>
      <c r="K1464" s="67">
        <f t="shared" si="92"/>
        <v>190356.92058386334</v>
      </c>
      <c r="L1464" s="95">
        <f>+VLOOKUP(E1464,MARGEN!A:B,2,FALSE)</f>
        <v>0.1</v>
      </c>
      <c r="M1464" s="112">
        <f t="shared" si="89"/>
        <v>19035.692058386336</v>
      </c>
      <c r="N1464" s="113">
        <f t="shared" si="90"/>
        <v>761.42768233545337</v>
      </c>
      <c r="O1464" s="113">
        <f t="shared" si="91"/>
        <v>170559.80084314154</v>
      </c>
    </row>
    <row r="1465" spans="1:15" x14ac:dyDescent="0.25">
      <c r="A1465" s="13">
        <v>44464</v>
      </c>
      <c r="B1465" s="97">
        <v>5639</v>
      </c>
      <c r="C1465" t="s">
        <v>275</v>
      </c>
      <c r="D1465" t="s">
        <v>519</v>
      </c>
      <c r="E1465" t="s">
        <v>45</v>
      </c>
      <c r="F1465" t="s">
        <v>573</v>
      </c>
      <c r="G1465" s="50" t="s">
        <v>574</v>
      </c>
      <c r="H1465" s="50">
        <v>2</v>
      </c>
      <c r="I1465" s="100">
        <v>6.7391919697301583</v>
      </c>
      <c r="J1465" s="52">
        <v>3834.68</v>
      </c>
      <c r="K1465" s="67">
        <f t="shared" si="92"/>
        <v>145726.67325175201</v>
      </c>
      <c r="L1465" s="95">
        <f>+VLOOKUP(E1465,MARGEN!A:B,2,FALSE)</f>
        <v>0.1</v>
      </c>
      <c r="M1465" s="112">
        <f t="shared" si="89"/>
        <v>14572.667325175202</v>
      </c>
      <c r="N1465" s="113">
        <f t="shared" si="90"/>
        <v>582.90669300700802</v>
      </c>
      <c r="O1465" s="113">
        <f t="shared" si="91"/>
        <v>130571.09923356981</v>
      </c>
    </row>
    <row r="1466" spans="1:15" x14ac:dyDescent="0.25">
      <c r="A1466" s="13">
        <v>44464</v>
      </c>
      <c r="B1466" s="97">
        <v>5543</v>
      </c>
      <c r="C1466" t="s">
        <v>116</v>
      </c>
      <c r="D1466" t="s">
        <v>330</v>
      </c>
      <c r="E1466" t="s">
        <v>45</v>
      </c>
      <c r="F1466" t="s">
        <v>573</v>
      </c>
      <c r="G1466" s="50" t="s">
        <v>574</v>
      </c>
      <c r="H1466" s="50">
        <v>2</v>
      </c>
      <c r="I1466" s="100">
        <v>6.7391919697301583</v>
      </c>
      <c r="J1466" s="52">
        <v>3834.68</v>
      </c>
      <c r="K1466" s="67">
        <f t="shared" si="92"/>
        <v>143245.77936415351</v>
      </c>
      <c r="L1466" s="95">
        <f>+VLOOKUP(E1466,MARGEN!A:B,2,FALSE)</f>
        <v>0.1</v>
      </c>
      <c r="M1466" s="112">
        <f t="shared" si="89"/>
        <v>14324.577936415351</v>
      </c>
      <c r="N1466" s="113">
        <f t="shared" si="90"/>
        <v>572.98311745661408</v>
      </c>
      <c r="O1466" s="113">
        <f t="shared" si="91"/>
        <v>128348.21831028153</v>
      </c>
    </row>
    <row r="1467" spans="1:15" x14ac:dyDescent="0.25">
      <c r="A1467" s="13">
        <v>44464</v>
      </c>
      <c r="B1467" s="97">
        <v>4535</v>
      </c>
      <c r="C1467" t="s">
        <v>76</v>
      </c>
      <c r="D1467" t="s">
        <v>332</v>
      </c>
      <c r="E1467" t="s">
        <v>45</v>
      </c>
      <c r="F1467" t="s">
        <v>573</v>
      </c>
      <c r="G1467" s="50" t="s">
        <v>574</v>
      </c>
      <c r="H1467" s="50">
        <v>2</v>
      </c>
      <c r="I1467" s="100">
        <v>6.7391919697301583</v>
      </c>
      <c r="J1467" s="52">
        <v>3834.68</v>
      </c>
      <c r="K1467" s="67">
        <f t="shared" si="92"/>
        <v>117196.39354436877</v>
      </c>
      <c r="L1467" s="95">
        <f>+VLOOKUP(E1467,MARGEN!A:B,2,FALSE)</f>
        <v>0.1</v>
      </c>
      <c r="M1467" s="112">
        <f t="shared" si="89"/>
        <v>11719.639354436877</v>
      </c>
      <c r="N1467" s="113">
        <f t="shared" si="90"/>
        <v>468.78557417747504</v>
      </c>
      <c r="O1467" s="113">
        <f t="shared" si="91"/>
        <v>105007.96861575442</v>
      </c>
    </row>
    <row r="1468" spans="1:15" x14ac:dyDescent="0.25">
      <c r="A1468" s="13">
        <v>44464</v>
      </c>
      <c r="B1468" s="97">
        <v>4319</v>
      </c>
      <c r="C1468" t="s">
        <v>91</v>
      </c>
      <c r="D1468" t="s">
        <v>340</v>
      </c>
      <c r="E1468" t="s">
        <v>45</v>
      </c>
      <c r="F1468" t="s">
        <v>573</v>
      </c>
      <c r="G1468" s="50" t="s">
        <v>574</v>
      </c>
      <c r="H1468" s="50">
        <v>2</v>
      </c>
      <c r="I1468" s="100">
        <v>6.7391919697301583</v>
      </c>
      <c r="J1468" s="52">
        <v>3834.68</v>
      </c>
      <c r="K1468" s="67">
        <f t="shared" si="92"/>
        <v>111614.38229727202</v>
      </c>
      <c r="L1468" s="95">
        <f>+VLOOKUP(E1468,MARGEN!A:B,2,FALSE)</f>
        <v>0.1</v>
      </c>
      <c r="M1468" s="112">
        <f t="shared" si="89"/>
        <v>11161.438229727202</v>
      </c>
      <c r="N1468" s="113">
        <f t="shared" si="90"/>
        <v>446.45752918908806</v>
      </c>
      <c r="O1468" s="113">
        <f t="shared" si="91"/>
        <v>100006.48653835573</v>
      </c>
    </row>
    <row r="1469" spans="1:15" x14ac:dyDescent="0.25">
      <c r="A1469" s="13">
        <v>44464</v>
      </c>
      <c r="B1469" s="97">
        <v>4319</v>
      </c>
      <c r="C1469" t="s">
        <v>197</v>
      </c>
      <c r="D1469" t="s">
        <v>358</v>
      </c>
      <c r="E1469" t="s">
        <v>45</v>
      </c>
      <c r="F1469" t="s">
        <v>562</v>
      </c>
      <c r="G1469" s="50" t="s">
        <v>574</v>
      </c>
      <c r="H1469" s="50">
        <v>2</v>
      </c>
      <c r="I1469" s="100">
        <v>6.7391919697301583</v>
      </c>
      <c r="J1469" s="52">
        <v>3834.68</v>
      </c>
      <c r="K1469" s="67">
        <f t="shared" si="92"/>
        <v>111614.38229727202</v>
      </c>
      <c r="L1469" s="95">
        <f>+VLOOKUP(E1469,MARGEN!A:B,2,FALSE)</f>
        <v>0.1</v>
      </c>
      <c r="M1469" s="112">
        <f t="shared" si="89"/>
        <v>11161.438229727202</v>
      </c>
      <c r="N1469" s="113">
        <f t="shared" si="90"/>
        <v>446.45752918908806</v>
      </c>
      <c r="O1469" s="113">
        <f t="shared" si="91"/>
        <v>100006.48653835573</v>
      </c>
    </row>
    <row r="1470" spans="1:15" x14ac:dyDescent="0.25">
      <c r="A1470" s="13">
        <v>44464</v>
      </c>
      <c r="B1470" s="97">
        <v>4175</v>
      </c>
      <c r="C1470" t="s">
        <v>276</v>
      </c>
      <c r="D1470" t="s">
        <v>512</v>
      </c>
      <c r="E1470" t="s">
        <v>45</v>
      </c>
      <c r="F1470" t="s">
        <v>573</v>
      </c>
      <c r="G1470" s="50" t="s">
        <v>574</v>
      </c>
      <c r="H1470" s="50">
        <v>2</v>
      </c>
      <c r="I1470" s="100">
        <v>6.7391919697301583</v>
      </c>
      <c r="J1470" s="52">
        <v>3834.68</v>
      </c>
      <c r="K1470" s="67">
        <f t="shared" si="92"/>
        <v>107893.04146587422</v>
      </c>
      <c r="L1470" s="95">
        <f>+VLOOKUP(E1470,MARGEN!A:B,2,FALSE)</f>
        <v>0.1</v>
      </c>
      <c r="M1470" s="112">
        <f t="shared" si="89"/>
        <v>10789.304146587423</v>
      </c>
      <c r="N1470" s="113">
        <f t="shared" si="90"/>
        <v>431.57216586349688</v>
      </c>
      <c r="O1470" s="113">
        <f t="shared" si="91"/>
        <v>96672.165153423295</v>
      </c>
    </row>
    <row r="1471" spans="1:15" x14ac:dyDescent="0.25">
      <c r="A1471" s="13">
        <v>44464</v>
      </c>
      <c r="B1471" s="97">
        <v>4127</v>
      </c>
      <c r="C1471" t="s">
        <v>235</v>
      </c>
      <c r="D1471" t="s">
        <v>339</v>
      </c>
      <c r="E1471" t="s">
        <v>45</v>
      </c>
      <c r="F1471" t="s">
        <v>573</v>
      </c>
      <c r="G1471" s="50" t="s">
        <v>574</v>
      </c>
      <c r="H1471" s="50">
        <v>2</v>
      </c>
      <c r="I1471" s="100">
        <v>6.7391919697301583</v>
      </c>
      <c r="J1471" s="52">
        <v>3834.68</v>
      </c>
      <c r="K1471" s="67">
        <f t="shared" si="92"/>
        <v>106652.59452207494</v>
      </c>
      <c r="L1471" s="95">
        <f>+VLOOKUP(E1471,MARGEN!A:B,2,FALSE)</f>
        <v>0.1</v>
      </c>
      <c r="M1471" s="112">
        <f t="shared" si="89"/>
        <v>10665.259452207494</v>
      </c>
      <c r="N1471" s="113">
        <f t="shared" si="90"/>
        <v>426.61037808829974</v>
      </c>
      <c r="O1471" s="113">
        <f t="shared" si="91"/>
        <v>95560.724691779149</v>
      </c>
    </row>
    <row r="1472" spans="1:15" x14ac:dyDescent="0.25">
      <c r="A1472" s="13">
        <v>44464</v>
      </c>
      <c r="B1472" s="97">
        <v>4103</v>
      </c>
      <c r="C1472" t="s">
        <v>234</v>
      </c>
      <c r="D1472" t="s">
        <v>331</v>
      </c>
      <c r="E1472" t="s">
        <v>45</v>
      </c>
      <c r="F1472" t="s">
        <v>573</v>
      </c>
      <c r="G1472" s="50" t="s">
        <v>574</v>
      </c>
      <c r="H1472" s="50">
        <v>2</v>
      </c>
      <c r="I1472" s="100">
        <v>6.7391919697301583</v>
      </c>
      <c r="J1472" s="52">
        <v>3834.68</v>
      </c>
      <c r="K1472" s="67">
        <f t="shared" si="92"/>
        <v>106032.37105017531</v>
      </c>
      <c r="L1472" s="95">
        <f>+VLOOKUP(E1472,MARGEN!A:B,2,FALSE)</f>
        <v>0.1</v>
      </c>
      <c r="M1472" s="112">
        <f t="shared" si="89"/>
        <v>10603.237105017532</v>
      </c>
      <c r="N1472" s="113">
        <f t="shared" si="90"/>
        <v>424.12948420070126</v>
      </c>
      <c r="O1472" s="113">
        <f t="shared" si="91"/>
        <v>95005.004460957076</v>
      </c>
    </row>
    <row r="1473" spans="1:15" x14ac:dyDescent="0.25">
      <c r="A1473" s="13">
        <v>44464</v>
      </c>
      <c r="B1473" s="97">
        <v>3911</v>
      </c>
      <c r="C1473" t="s">
        <v>71</v>
      </c>
      <c r="D1473" t="s">
        <v>337</v>
      </c>
      <c r="E1473" t="s">
        <v>45</v>
      </c>
      <c r="F1473" t="s">
        <v>573</v>
      </c>
      <c r="G1473" s="50" t="s">
        <v>574</v>
      </c>
      <c r="H1473" s="50">
        <v>2</v>
      </c>
      <c r="I1473" s="100">
        <v>6.7391919697301583</v>
      </c>
      <c r="J1473" s="52">
        <v>3834.68</v>
      </c>
      <c r="K1473" s="67">
        <f t="shared" si="92"/>
        <v>101070.58327497823</v>
      </c>
      <c r="L1473" s="95">
        <f>+VLOOKUP(E1473,MARGEN!A:B,2,FALSE)</f>
        <v>0.1</v>
      </c>
      <c r="M1473" s="112">
        <f t="shared" si="89"/>
        <v>10107.058327497823</v>
      </c>
      <c r="N1473" s="113">
        <f t="shared" si="90"/>
        <v>404.28233309991293</v>
      </c>
      <c r="O1473" s="113">
        <f t="shared" si="91"/>
        <v>90559.242614380491</v>
      </c>
    </row>
    <row r="1474" spans="1:15" x14ac:dyDescent="0.25">
      <c r="A1474" s="13">
        <v>44464</v>
      </c>
      <c r="B1474" s="97">
        <v>3431</v>
      </c>
      <c r="C1474" t="s">
        <v>177</v>
      </c>
      <c r="D1474" t="s">
        <v>355</v>
      </c>
      <c r="E1474" t="s">
        <v>45</v>
      </c>
      <c r="F1474" t="s">
        <v>562</v>
      </c>
      <c r="G1474" s="50" t="s">
        <v>574</v>
      </c>
      <c r="H1474" s="50">
        <v>2</v>
      </c>
      <c r="I1474" s="100">
        <v>6.7391919697301583</v>
      </c>
      <c r="J1474" s="52">
        <v>3834.68</v>
      </c>
      <c r="K1474" s="67">
        <f t="shared" si="92"/>
        <v>88666.113836985489</v>
      </c>
      <c r="L1474" s="95">
        <f>+VLOOKUP(E1474,MARGEN!A:B,2,FALSE)</f>
        <v>0.1</v>
      </c>
      <c r="M1474" s="112">
        <f t="shared" si="89"/>
        <v>8866.6113836985496</v>
      </c>
      <c r="N1474" s="113">
        <f t="shared" si="90"/>
        <v>354.66445534794195</v>
      </c>
      <c r="O1474" s="113">
        <f t="shared" si="91"/>
        <v>79444.837997939001</v>
      </c>
    </row>
    <row r="1475" spans="1:15" x14ac:dyDescent="0.25">
      <c r="A1475" s="13">
        <v>44464</v>
      </c>
      <c r="B1475" s="97">
        <v>3215</v>
      </c>
      <c r="C1475" t="s">
        <v>269</v>
      </c>
      <c r="D1475" t="s">
        <v>520</v>
      </c>
      <c r="E1475" t="s">
        <v>45</v>
      </c>
      <c r="F1475" t="s">
        <v>562</v>
      </c>
      <c r="G1475" s="50" t="s">
        <v>574</v>
      </c>
      <c r="H1475" s="50">
        <v>2</v>
      </c>
      <c r="I1475" s="100">
        <v>6.7391919697301583</v>
      </c>
      <c r="J1475" s="52">
        <v>3834.68</v>
      </c>
      <c r="K1475" s="67">
        <f t="shared" si="92"/>
        <v>83084.10258988876</v>
      </c>
      <c r="L1475" s="95">
        <f>+VLOOKUP(E1475,MARGEN!A:B,2,FALSE)</f>
        <v>0.1</v>
      </c>
      <c r="M1475" s="112">
        <f t="shared" ref="M1475:M1538" si="93">+K1475*L1475</f>
        <v>8308.4102589888771</v>
      </c>
      <c r="N1475" s="113">
        <f t="shared" ref="N1475:N1538" si="94">+K1475*4/1000</f>
        <v>332.33641035955503</v>
      </c>
      <c r="O1475" s="113">
        <f t="shared" ref="O1475:O1538" si="95">+K1475-M1475-N1475</f>
        <v>74443.355920540329</v>
      </c>
    </row>
    <row r="1476" spans="1:15" x14ac:dyDescent="0.25">
      <c r="A1476" s="13">
        <v>44464</v>
      </c>
      <c r="B1476" s="97">
        <v>3143</v>
      </c>
      <c r="C1476" t="s">
        <v>277</v>
      </c>
      <c r="D1476" t="s">
        <v>513</v>
      </c>
      <c r="E1476" t="s">
        <v>45</v>
      </c>
      <c r="F1476" t="s">
        <v>573</v>
      </c>
      <c r="G1476" s="50" t="s">
        <v>574</v>
      </c>
      <c r="H1476" s="50">
        <v>2</v>
      </c>
      <c r="I1476" s="100">
        <v>6.7391919697301583</v>
      </c>
      <c r="J1476" s="52">
        <v>3834.68</v>
      </c>
      <c r="K1476" s="67">
        <f t="shared" si="92"/>
        <v>81223.43217418986</v>
      </c>
      <c r="L1476" s="95">
        <f>+VLOOKUP(E1476,MARGEN!A:B,2,FALSE)</f>
        <v>0.1</v>
      </c>
      <c r="M1476" s="112">
        <f t="shared" si="93"/>
        <v>8122.3432174189866</v>
      </c>
      <c r="N1476" s="113">
        <f t="shared" si="94"/>
        <v>324.89372869675947</v>
      </c>
      <c r="O1476" s="113">
        <f t="shared" si="95"/>
        <v>72776.195228074124</v>
      </c>
    </row>
    <row r="1477" spans="1:15" x14ac:dyDescent="0.25">
      <c r="A1477" s="13">
        <v>44464</v>
      </c>
      <c r="B1477" s="97">
        <v>2879</v>
      </c>
      <c r="C1477" t="s">
        <v>139</v>
      </c>
      <c r="D1477" t="s">
        <v>327</v>
      </c>
      <c r="E1477" t="s">
        <v>45</v>
      </c>
      <c r="F1477" t="s">
        <v>573</v>
      </c>
      <c r="G1477" s="50" t="s">
        <v>574</v>
      </c>
      <c r="H1477" s="50">
        <v>2</v>
      </c>
      <c r="I1477" s="100">
        <v>6.7391919697301583</v>
      </c>
      <c r="J1477" s="52">
        <v>3834.68</v>
      </c>
      <c r="K1477" s="67">
        <f t="shared" si="92"/>
        <v>74400.973983293865</v>
      </c>
      <c r="L1477" s="95">
        <f>+VLOOKUP(E1477,MARGEN!A:B,2,FALSE)</f>
        <v>0.1</v>
      </c>
      <c r="M1477" s="112">
        <f t="shared" si="93"/>
        <v>7440.097398329387</v>
      </c>
      <c r="N1477" s="113">
        <f t="shared" si="94"/>
        <v>297.60389593317547</v>
      </c>
      <c r="O1477" s="113">
        <f t="shared" si="95"/>
        <v>66663.272689031306</v>
      </c>
    </row>
    <row r="1478" spans="1:15" x14ac:dyDescent="0.25">
      <c r="A1478" s="13">
        <v>44464</v>
      </c>
      <c r="B1478" s="97">
        <v>2855</v>
      </c>
      <c r="C1478" t="s">
        <v>268</v>
      </c>
      <c r="D1478" t="s">
        <v>514</v>
      </c>
      <c r="E1478" t="s">
        <v>45</v>
      </c>
      <c r="F1478" t="s">
        <v>573</v>
      </c>
      <c r="G1478" s="50" t="s">
        <v>574</v>
      </c>
      <c r="H1478" s="50">
        <v>2</v>
      </c>
      <c r="I1478" s="100">
        <v>6.7391919697301583</v>
      </c>
      <c r="J1478" s="52">
        <v>3834.68</v>
      </c>
      <c r="K1478" s="67">
        <f t="shared" si="92"/>
        <v>73780.750511394232</v>
      </c>
      <c r="L1478" s="95">
        <f>+VLOOKUP(E1478,MARGEN!A:B,2,FALSE)</f>
        <v>0.1</v>
      </c>
      <c r="M1478" s="112">
        <f t="shared" si="93"/>
        <v>7378.0750511394235</v>
      </c>
      <c r="N1478" s="113">
        <f t="shared" si="94"/>
        <v>295.12300204557692</v>
      </c>
      <c r="O1478" s="113">
        <f t="shared" si="95"/>
        <v>66107.552458209218</v>
      </c>
    </row>
    <row r="1479" spans="1:15" x14ac:dyDescent="0.25">
      <c r="A1479" s="13">
        <v>44464</v>
      </c>
      <c r="B1479" s="97">
        <v>2855</v>
      </c>
      <c r="C1479" t="s">
        <v>99</v>
      </c>
      <c r="D1479" t="s">
        <v>366</v>
      </c>
      <c r="E1479" t="s">
        <v>45</v>
      </c>
      <c r="F1479" t="s">
        <v>562</v>
      </c>
      <c r="G1479" s="50" t="s">
        <v>574</v>
      </c>
      <c r="H1479" s="50">
        <v>2</v>
      </c>
      <c r="I1479" s="100">
        <v>6.7391919697301583</v>
      </c>
      <c r="J1479" s="52">
        <v>3834.68</v>
      </c>
      <c r="K1479" s="67">
        <f t="shared" si="92"/>
        <v>73780.750511394232</v>
      </c>
      <c r="L1479" s="95">
        <f>+VLOOKUP(E1479,MARGEN!A:B,2,FALSE)</f>
        <v>0.1</v>
      </c>
      <c r="M1479" s="112">
        <f t="shared" si="93"/>
        <v>7378.0750511394235</v>
      </c>
      <c r="N1479" s="113">
        <f t="shared" si="94"/>
        <v>295.12300204557692</v>
      </c>
      <c r="O1479" s="113">
        <f t="shared" si="95"/>
        <v>66107.552458209218</v>
      </c>
    </row>
    <row r="1480" spans="1:15" x14ac:dyDescent="0.25">
      <c r="A1480" s="13">
        <v>44464</v>
      </c>
      <c r="B1480" s="97">
        <v>2855</v>
      </c>
      <c r="C1480" t="s">
        <v>271</v>
      </c>
      <c r="D1480" t="s">
        <v>518</v>
      </c>
      <c r="E1480" t="s">
        <v>45</v>
      </c>
      <c r="F1480" t="s">
        <v>562</v>
      </c>
      <c r="G1480" s="50" t="s">
        <v>574</v>
      </c>
      <c r="H1480" s="50">
        <v>2</v>
      </c>
      <c r="I1480" s="100">
        <v>6.7391919697301583</v>
      </c>
      <c r="J1480" s="52">
        <v>3834.68</v>
      </c>
      <c r="K1480" s="67">
        <f t="shared" si="92"/>
        <v>73780.750511394232</v>
      </c>
      <c r="L1480" s="95">
        <f>+VLOOKUP(E1480,MARGEN!A:B,2,FALSE)</f>
        <v>0.1</v>
      </c>
      <c r="M1480" s="112">
        <f t="shared" si="93"/>
        <v>7378.0750511394235</v>
      </c>
      <c r="N1480" s="113">
        <f t="shared" si="94"/>
        <v>295.12300204557692</v>
      </c>
      <c r="O1480" s="113">
        <f t="shared" si="95"/>
        <v>66107.552458209218</v>
      </c>
    </row>
    <row r="1481" spans="1:15" x14ac:dyDescent="0.25">
      <c r="A1481" s="13">
        <v>44464</v>
      </c>
      <c r="B1481" s="97">
        <v>2807</v>
      </c>
      <c r="C1481" t="s">
        <v>178</v>
      </c>
      <c r="D1481" t="s">
        <v>370</v>
      </c>
      <c r="E1481" t="s">
        <v>45</v>
      </c>
      <c r="F1481" t="s">
        <v>573</v>
      </c>
      <c r="G1481" s="50" t="s">
        <v>574</v>
      </c>
      <c r="H1481" s="50">
        <v>2</v>
      </c>
      <c r="I1481" s="100">
        <v>6.7391919697301583</v>
      </c>
      <c r="J1481" s="52">
        <v>3834.68</v>
      </c>
      <c r="K1481" s="67">
        <f t="shared" ref="K1481:K1544" si="96">+B1481*I1481*J1481/1000</f>
        <v>72540.303567594965</v>
      </c>
      <c r="L1481" s="95">
        <f>+VLOOKUP(E1481,MARGEN!A:B,2,FALSE)</f>
        <v>0.1</v>
      </c>
      <c r="M1481" s="112">
        <f t="shared" si="93"/>
        <v>7254.0303567594965</v>
      </c>
      <c r="N1481" s="113">
        <f t="shared" si="94"/>
        <v>290.16121427037984</v>
      </c>
      <c r="O1481" s="113">
        <f t="shared" si="95"/>
        <v>64996.111996565087</v>
      </c>
    </row>
    <row r="1482" spans="1:15" x14ac:dyDescent="0.25">
      <c r="A1482" s="13">
        <v>44464</v>
      </c>
      <c r="B1482" s="97">
        <v>2663</v>
      </c>
      <c r="C1482" t="s">
        <v>138</v>
      </c>
      <c r="D1482" t="s">
        <v>321</v>
      </c>
      <c r="E1482" t="s">
        <v>45</v>
      </c>
      <c r="F1482" t="s">
        <v>573</v>
      </c>
      <c r="G1482" s="50" t="s">
        <v>574</v>
      </c>
      <c r="H1482" s="50">
        <v>2</v>
      </c>
      <c r="I1482" s="100">
        <v>6.7391919697301583</v>
      </c>
      <c r="J1482" s="52">
        <v>3834.68</v>
      </c>
      <c r="K1482" s="67">
        <f t="shared" si="96"/>
        <v>68818.962736197136</v>
      </c>
      <c r="L1482" s="95">
        <f>+VLOOKUP(E1482,MARGEN!A:B,2,FALSE)</f>
        <v>0.1</v>
      </c>
      <c r="M1482" s="112">
        <f t="shared" si="93"/>
        <v>6881.8962736197136</v>
      </c>
      <c r="N1482" s="113">
        <f t="shared" si="94"/>
        <v>275.27585094478854</v>
      </c>
      <c r="O1482" s="113">
        <f t="shared" si="95"/>
        <v>61661.790611632634</v>
      </c>
    </row>
    <row r="1483" spans="1:15" x14ac:dyDescent="0.25">
      <c r="A1483" s="13">
        <v>44464</v>
      </c>
      <c r="B1483" s="97">
        <v>2183</v>
      </c>
      <c r="C1483" t="s">
        <v>93</v>
      </c>
      <c r="D1483" t="s">
        <v>353</v>
      </c>
      <c r="E1483" t="s">
        <v>45</v>
      </c>
      <c r="F1483" t="s">
        <v>562</v>
      </c>
      <c r="G1483" s="50" t="s">
        <v>574</v>
      </c>
      <c r="H1483" s="50">
        <v>2</v>
      </c>
      <c r="I1483" s="100">
        <v>6.7391919697301583</v>
      </c>
      <c r="J1483" s="52">
        <v>3834.68</v>
      </c>
      <c r="K1483" s="67">
        <f t="shared" si="96"/>
        <v>56414.493298204405</v>
      </c>
      <c r="L1483" s="95">
        <f>+VLOOKUP(E1483,MARGEN!A:B,2,FALSE)</f>
        <v>0.1</v>
      </c>
      <c r="M1483" s="112">
        <f t="shared" si="93"/>
        <v>5641.4493298204407</v>
      </c>
      <c r="N1483" s="113">
        <f t="shared" si="94"/>
        <v>225.65797319281762</v>
      </c>
      <c r="O1483" s="113">
        <f t="shared" si="95"/>
        <v>50547.385995191151</v>
      </c>
    </row>
    <row r="1484" spans="1:15" x14ac:dyDescent="0.25">
      <c r="A1484" s="13">
        <v>44464</v>
      </c>
      <c r="B1484" s="97">
        <v>2183</v>
      </c>
      <c r="C1484" t="s">
        <v>560</v>
      </c>
      <c r="D1484" t="s">
        <v>561</v>
      </c>
      <c r="E1484" t="s">
        <v>45</v>
      </c>
      <c r="F1484" t="s">
        <v>573</v>
      </c>
      <c r="G1484" s="50" t="s">
        <v>574</v>
      </c>
      <c r="H1484" s="50">
        <v>2</v>
      </c>
      <c r="I1484" s="100">
        <v>6.7391919697301583</v>
      </c>
      <c r="J1484" s="52">
        <v>3834.68</v>
      </c>
      <c r="K1484" s="67">
        <f t="shared" si="96"/>
        <v>56414.493298204405</v>
      </c>
      <c r="L1484" s="95">
        <f>+VLOOKUP(E1484,MARGEN!A:B,2,FALSE)</f>
        <v>0.1</v>
      </c>
      <c r="M1484" s="112">
        <f t="shared" si="93"/>
        <v>5641.4493298204407</v>
      </c>
      <c r="N1484" s="113">
        <f t="shared" si="94"/>
        <v>225.65797319281762</v>
      </c>
      <c r="O1484" s="113">
        <f t="shared" si="95"/>
        <v>50547.385995191151</v>
      </c>
    </row>
    <row r="1485" spans="1:15" x14ac:dyDescent="0.25">
      <c r="A1485" s="13">
        <v>44464</v>
      </c>
      <c r="B1485" s="97">
        <v>2183</v>
      </c>
      <c r="C1485" t="s">
        <v>246</v>
      </c>
      <c r="D1485" t="s">
        <v>373</v>
      </c>
      <c r="E1485" t="s">
        <v>45</v>
      </c>
      <c r="F1485" t="s">
        <v>562</v>
      </c>
      <c r="G1485" s="50" t="s">
        <v>574</v>
      </c>
      <c r="H1485" s="50">
        <v>2</v>
      </c>
      <c r="I1485" s="100">
        <v>6.7391919697301583</v>
      </c>
      <c r="J1485" s="52">
        <v>3834.68</v>
      </c>
      <c r="K1485" s="67">
        <f t="shared" si="96"/>
        <v>56414.493298204405</v>
      </c>
      <c r="L1485" s="95">
        <f>+VLOOKUP(E1485,MARGEN!A:B,2,FALSE)</f>
        <v>0.1</v>
      </c>
      <c r="M1485" s="112">
        <f t="shared" si="93"/>
        <v>5641.4493298204407</v>
      </c>
      <c r="N1485" s="113">
        <f t="shared" si="94"/>
        <v>225.65797319281762</v>
      </c>
      <c r="O1485" s="113">
        <f t="shared" si="95"/>
        <v>50547.385995191151</v>
      </c>
    </row>
    <row r="1486" spans="1:15" x14ac:dyDescent="0.25">
      <c r="A1486" s="13">
        <v>44464</v>
      </c>
      <c r="B1486" s="97">
        <v>2087</v>
      </c>
      <c r="C1486" t="s">
        <v>103</v>
      </c>
      <c r="D1486" t="s">
        <v>342</v>
      </c>
      <c r="E1486" t="s">
        <v>45</v>
      </c>
      <c r="F1486" t="s">
        <v>573</v>
      </c>
      <c r="G1486" s="50" t="s">
        <v>574</v>
      </c>
      <c r="H1486" s="50">
        <v>2</v>
      </c>
      <c r="I1486" s="100">
        <v>6.7391919697301583</v>
      </c>
      <c r="J1486" s="52">
        <v>3834.68</v>
      </c>
      <c r="K1486" s="67">
        <f t="shared" si="96"/>
        <v>53933.599410605872</v>
      </c>
      <c r="L1486" s="95">
        <f>+VLOOKUP(E1486,MARGEN!A:B,2,FALSE)</f>
        <v>0.1</v>
      </c>
      <c r="M1486" s="112">
        <f t="shared" si="93"/>
        <v>5393.3599410605875</v>
      </c>
      <c r="N1486" s="113">
        <f t="shared" si="94"/>
        <v>215.73439764242349</v>
      </c>
      <c r="O1486" s="113">
        <f t="shared" si="95"/>
        <v>48324.505071902859</v>
      </c>
    </row>
    <row r="1487" spans="1:15" x14ac:dyDescent="0.25">
      <c r="A1487" s="13">
        <v>44464</v>
      </c>
      <c r="B1487" s="97">
        <v>2087</v>
      </c>
      <c r="C1487" t="s">
        <v>92</v>
      </c>
      <c r="D1487" t="s">
        <v>490</v>
      </c>
      <c r="E1487" t="s">
        <v>45</v>
      </c>
      <c r="F1487" t="s">
        <v>573</v>
      </c>
      <c r="G1487" s="50" t="s">
        <v>574</v>
      </c>
      <c r="H1487" s="50">
        <v>2</v>
      </c>
      <c r="I1487" s="100">
        <v>6.7391919697301583</v>
      </c>
      <c r="J1487" s="52">
        <v>3834.68</v>
      </c>
      <c r="K1487" s="67">
        <f t="shared" si="96"/>
        <v>53933.599410605872</v>
      </c>
      <c r="L1487" s="95">
        <f>+VLOOKUP(E1487,MARGEN!A:B,2,FALSE)</f>
        <v>0.1</v>
      </c>
      <c r="M1487" s="112">
        <f t="shared" si="93"/>
        <v>5393.3599410605875</v>
      </c>
      <c r="N1487" s="113">
        <f t="shared" si="94"/>
        <v>215.73439764242349</v>
      </c>
      <c r="O1487" s="113">
        <f t="shared" si="95"/>
        <v>48324.505071902859</v>
      </c>
    </row>
    <row r="1488" spans="1:15" x14ac:dyDescent="0.25">
      <c r="A1488" s="13">
        <v>44464</v>
      </c>
      <c r="B1488" s="97">
        <v>1943</v>
      </c>
      <c r="C1488" t="s">
        <v>117</v>
      </c>
      <c r="D1488" t="s">
        <v>336</v>
      </c>
      <c r="E1488" t="s">
        <v>45</v>
      </c>
      <c r="F1488" t="s">
        <v>562</v>
      </c>
      <c r="G1488" s="50" t="s">
        <v>574</v>
      </c>
      <c r="H1488" s="50">
        <v>2</v>
      </c>
      <c r="I1488" s="100">
        <v>6.7391919697301583</v>
      </c>
      <c r="J1488" s="52">
        <v>3834.68</v>
      </c>
      <c r="K1488" s="67">
        <f t="shared" si="96"/>
        <v>50212.258579208043</v>
      </c>
      <c r="L1488" s="95">
        <f>+VLOOKUP(E1488,MARGEN!A:B,2,FALSE)</f>
        <v>0.1</v>
      </c>
      <c r="M1488" s="112">
        <f t="shared" si="93"/>
        <v>5021.2258579208046</v>
      </c>
      <c r="N1488" s="113">
        <f t="shared" si="94"/>
        <v>200.84903431683216</v>
      </c>
      <c r="O1488" s="113">
        <f t="shared" si="95"/>
        <v>44990.183686970406</v>
      </c>
    </row>
    <row r="1489" spans="1:15" x14ac:dyDescent="0.25">
      <c r="A1489" s="13">
        <v>44464</v>
      </c>
      <c r="B1489" s="97">
        <v>1871</v>
      </c>
      <c r="C1489" t="s">
        <v>198</v>
      </c>
      <c r="D1489" t="s">
        <v>326</v>
      </c>
      <c r="E1489" t="s">
        <v>45</v>
      </c>
      <c r="F1489" t="s">
        <v>573</v>
      </c>
      <c r="G1489" s="50" t="s">
        <v>574</v>
      </c>
      <c r="H1489" s="50">
        <v>2</v>
      </c>
      <c r="I1489" s="100">
        <v>6.7391919697301583</v>
      </c>
      <c r="J1489" s="52">
        <v>3834.68</v>
      </c>
      <c r="K1489" s="67">
        <f t="shared" si="96"/>
        <v>48351.588163509143</v>
      </c>
      <c r="L1489" s="95">
        <f>+VLOOKUP(E1489,MARGEN!A:B,2,FALSE)</f>
        <v>0.1</v>
      </c>
      <c r="M1489" s="112">
        <f t="shared" si="93"/>
        <v>4835.1588163509141</v>
      </c>
      <c r="N1489" s="113">
        <f t="shared" si="94"/>
        <v>193.40635265403657</v>
      </c>
      <c r="O1489" s="113">
        <f t="shared" si="95"/>
        <v>43323.022994504194</v>
      </c>
    </row>
    <row r="1490" spans="1:15" x14ac:dyDescent="0.25">
      <c r="A1490" s="13">
        <v>44464</v>
      </c>
      <c r="B1490" s="97">
        <v>1847</v>
      </c>
      <c r="C1490" t="s">
        <v>270</v>
      </c>
      <c r="D1490" t="s">
        <v>491</v>
      </c>
      <c r="E1490" t="s">
        <v>45</v>
      </c>
      <c r="F1490" t="s">
        <v>562</v>
      </c>
      <c r="G1490" s="50" t="s">
        <v>574</v>
      </c>
      <c r="H1490" s="50">
        <v>2</v>
      </c>
      <c r="I1490" s="100">
        <v>6.7391919697301583</v>
      </c>
      <c r="J1490" s="52">
        <v>3834.68</v>
      </c>
      <c r="K1490" s="67">
        <f t="shared" si="96"/>
        <v>47731.364691609502</v>
      </c>
      <c r="L1490" s="95">
        <f>+VLOOKUP(E1490,MARGEN!A:B,2,FALSE)</f>
        <v>0.1</v>
      </c>
      <c r="M1490" s="112">
        <f t="shared" si="93"/>
        <v>4773.1364691609506</v>
      </c>
      <c r="N1490" s="113">
        <f t="shared" si="94"/>
        <v>190.925458766438</v>
      </c>
      <c r="O1490" s="113">
        <f t="shared" si="95"/>
        <v>42767.302763682113</v>
      </c>
    </row>
    <row r="1491" spans="1:15" x14ac:dyDescent="0.25">
      <c r="A1491" s="13">
        <v>44464</v>
      </c>
      <c r="B1491" s="97">
        <v>1727</v>
      </c>
      <c r="C1491" t="s">
        <v>190</v>
      </c>
      <c r="D1491" t="s">
        <v>356</v>
      </c>
      <c r="E1491" t="s">
        <v>45</v>
      </c>
      <c r="F1491" t="s">
        <v>573</v>
      </c>
      <c r="G1491" s="50" t="s">
        <v>574</v>
      </c>
      <c r="H1491" s="50">
        <v>2</v>
      </c>
      <c r="I1491" s="100">
        <v>6.7391919697301583</v>
      </c>
      <c r="J1491" s="52">
        <v>3834.68</v>
      </c>
      <c r="K1491" s="67">
        <f t="shared" si="96"/>
        <v>44630.247332111321</v>
      </c>
      <c r="L1491" s="95">
        <f>+VLOOKUP(E1491,MARGEN!A:B,2,FALSE)</f>
        <v>0.1</v>
      </c>
      <c r="M1491" s="112">
        <f t="shared" si="93"/>
        <v>4463.0247332111321</v>
      </c>
      <c r="N1491" s="113">
        <f t="shared" si="94"/>
        <v>178.5209893284453</v>
      </c>
      <c r="O1491" s="113">
        <f t="shared" si="95"/>
        <v>39988.701609571741</v>
      </c>
    </row>
    <row r="1492" spans="1:15" x14ac:dyDescent="0.25">
      <c r="A1492" s="13">
        <v>44464</v>
      </c>
      <c r="B1492" s="97">
        <v>1535</v>
      </c>
      <c r="C1492" t="s">
        <v>273</v>
      </c>
      <c r="D1492" t="s">
        <v>515</v>
      </c>
      <c r="E1492" t="s">
        <v>45</v>
      </c>
      <c r="F1492" t="s">
        <v>573</v>
      </c>
      <c r="G1492" s="50" t="s">
        <v>574</v>
      </c>
      <c r="H1492" s="50">
        <v>2</v>
      </c>
      <c r="I1492" s="100">
        <v>6.7391919697301583</v>
      </c>
      <c r="J1492" s="52">
        <v>3834.68</v>
      </c>
      <c r="K1492" s="67">
        <f t="shared" si="96"/>
        <v>39668.459556914233</v>
      </c>
      <c r="L1492" s="95">
        <f>+VLOOKUP(E1492,MARGEN!A:B,2,FALSE)</f>
        <v>0.1</v>
      </c>
      <c r="M1492" s="112">
        <f t="shared" si="93"/>
        <v>3966.8459556914236</v>
      </c>
      <c r="N1492" s="113">
        <f t="shared" si="94"/>
        <v>158.67383822765694</v>
      </c>
      <c r="O1492" s="113">
        <f t="shared" si="95"/>
        <v>35542.939762995149</v>
      </c>
    </row>
    <row r="1493" spans="1:15" x14ac:dyDescent="0.25">
      <c r="A1493" s="13">
        <v>44464</v>
      </c>
      <c r="B1493" s="97">
        <v>1535</v>
      </c>
      <c r="C1493" t="s">
        <v>207</v>
      </c>
      <c r="D1493" t="s">
        <v>322</v>
      </c>
      <c r="E1493" t="s">
        <v>45</v>
      </c>
      <c r="F1493" t="s">
        <v>562</v>
      </c>
      <c r="G1493" s="50" t="s">
        <v>574</v>
      </c>
      <c r="H1493" s="50">
        <v>2</v>
      </c>
      <c r="I1493" s="100">
        <v>6.7391919697301583</v>
      </c>
      <c r="J1493" s="52">
        <v>3834.68</v>
      </c>
      <c r="K1493" s="67">
        <f t="shared" si="96"/>
        <v>39668.459556914233</v>
      </c>
      <c r="L1493" s="95">
        <f>+VLOOKUP(E1493,MARGEN!A:B,2,FALSE)</f>
        <v>0.1</v>
      </c>
      <c r="M1493" s="112">
        <f t="shared" si="93"/>
        <v>3966.8459556914236</v>
      </c>
      <c r="N1493" s="113">
        <f t="shared" si="94"/>
        <v>158.67383822765694</v>
      </c>
      <c r="O1493" s="113">
        <f t="shared" si="95"/>
        <v>35542.939762995149</v>
      </c>
    </row>
    <row r="1494" spans="1:15" x14ac:dyDescent="0.25">
      <c r="A1494" s="13">
        <v>44464</v>
      </c>
      <c r="B1494" s="97">
        <v>1487</v>
      </c>
      <c r="C1494" t="s">
        <v>250</v>
      </c>
      <c r="D1494" t="s">
        <v>333</v>
      </c>
      <c r="E1494" t="s">
        <v>45</v>
      </c>
      <c r="F1494" t="s">
        <v>562</v>
      </c>
      <c r="G1494" s="50" t="s">
        <v>574</v>
      </c>
      <c r="H1494" s="50">
        <v>2</v>
      </c>
      <c r="I1494" s="100">
        <v>6.7391919697301583</v>
      </c>
      <c r="J1494" s="52">
        <v>3834.68</v>
      </c>
      <c r="K1494" s="67">
        <f t="shared" si="96"/>
        <v>38428.012613114959</v>
      </c>
      <c r="L1494" s="95">
        <f>+VLOOKUP(E1494,MARGEN!A:B,2,FALSE)</f>
        <v>0.1</v>
      </c>
      <c r="M1494" s="112">
        <f t="shared" si="93"/>
        <v>3842.8012613114961</v>
      </c>
      <c r="N1494" s="113">
        <f t="shared" si="94"/>
        <v>153.71205045245983</v>
      </c>
      <c r="O1494" s="113">
        <f t="shared" si="95"/>
        <v>34431.499301351003</v>
      </c>
    </row>
    <row r="1495" spans="1:15" x14ac:dyDescent="0.25">
      <c r="A1495" s="13">
        <v>44464</v>
      </c>
      <c r="B1495" s="97">
        <v>1391</v>
      </c>
      <c r="C1495" t="s">
        <v>107</v>
      </c>
      <c r="D1495" t="s">
        <v>346</v>
      </c>
      <c r="E1495" t="s">
        <v>45</v>
      </c>
      <c r="F1495" t="s">
        <v>573</v>
      </c>
      <c r="G1495" s="50" t="s">
        <v>574</v>
      </c>
      <c r="H1495" s="50">
        <v>2</v>
      </c>
      <c r="I1495" s="100">
        <v>6.7391919697301583</v>
      </c>
      <c r="J1495" s="52">
        <v>3834.68</v>
      </c>
      <c r="K1495" s="67">
        <f t="shared" si="96"/>
        <v>35947.118725516419</v>
      </c>
      <c r="L1495" s="95">
        <f>+VLOOKUP(E1495,MARGEN!A:B,2,FALSE)</f>
        <v>0.1</v>
      </c>
      <c r="M1495" s="112">
        <f t="shared" si="93"/>
        <v>3594.711872551642</v>
      </c>
      <c r="N1495" s="113">
        <f t="shared" si="94"/>
        <v>143.78847490206567</v>
      </c>
      <c r="O1495" s="113">
        <f t="shared" si="95"/>
        <v>32208.618378062711</v>
      </c>
    </row>
    <row r="1496" spans="1:15" x14ac:dyDescent="0.25">
      <c r="A1496" s="13">
        <v>44464</v>
      </c>
      <c r="B1496" s="97">
        <v>1295</v>
      </c>
      <c r="C1496" t="s">
        <v>106</v>
      </c>
      <c r="D1496" t="s">
        <v>349</v>
      </c>
      <c r="E1496" t="s">
        <v>45</v>
      </c>
      <c r="F1496" t="s">
        <v>562</v>
      </c>
      <c r="G1496" s="50" t="s">
        <v>574</v>
      </c>
      <c r="H1496" s="50">
        <v>2</v>
      </c>
      <c r="I1496" s="100">
        <v>6.7391919697301583</v>
      </c>
      <c r="J1496" s="52">
        <v>3834.68</v>
      </c>
      <c r="K1496" s="67">
        <f t="shared" si="96"/>
        <v>33466.224837917871</v>
      </c>
      <c r="L1496" s="95">
        <f>+VLOOKUP(E1496,MARGEN!A:B,2,FALSE)</f>
        <v>0.1</v>
      </c>
      <c r="M1496" s="112">
        <f t="shared" si="93"/>
        <v>3346.6224837917871</v>
      </c>
      <c r="N1496" s="113">
        <f t="shared" si="94"/>
        <v>133.86489935167148</v>
      </c>
      <c r="O1496" s="113">
        <f t="shared" si="95"/>
        <v>29985.737454774411</v>
      </c>
    </row>
    <row r="1497" spans="1:15" x14ac:dyDescent="0.25">
      <c r="A1497" s="43">
        <v>44464</v>
      </c>
      <c r="B1497" s="51">
        <v>1151</v>
      </c>
      <c r="C1497" s="88" t="s">
        <v>274</v>
      </c>
      <c r="D1497" s="88" t="s">
        <v>517</v>
      </c>
      <c r="E1497" t="s">
        <v>45</v>
      </c>
      <c r="F1497" s="88" t="s">
        <v>562</v>
      </c>
      <c r="G1497" s="50" t="s">
        <v>574</v>
      </c>
      <c r="H1497" s="50">
        <v>2</v>
      </c>
      <c r="I1497" s="100">
        <v>6.7391919697301583</v>
      </c>
      <c r="J1497" s="52">
        <v>3834.68</v>
      </c>
      <c r="K1497" s="67">
        <f t="shared" si="96"/>
        <v>29744.884006520053</v>
      </c>
      <c r="L1497" s="95">
        <f>+VLOOKUP(E1497,MARGEN!A:B,2,FALSE)</f>
        <v>0.1</v>
      </c>
      <c r="M1497" s="112">
        <f t="shared" si="93"/>
        <v>2974.4884006520056</v>
      </c>
      <c r="N1497" s="113">
        <f t="shared" si="94"/>
        <v>118.97953602608021</v>
      </c>
      <c r="O1497" s="113">
        <f t="shared" si="95"/>
        <v>26651.416069841969</v>
      </c>
    </row>
    <row r="1498" spans="1:15" x14ac:dyDescent="0.25">
      <c r="A1498" s="43">
        <v>44465</v>
      </c>
      <c r="B1498" s="51">
        <v>16343</v>
      </c>
      <c r="C1498" s="66" t="s">
        <v>78</v>
      </c>
      <c r="D1498" s="66" t="s">
        <v>412</v>
      </c>
      <c r="E1498" t="s">
        <v>45</v>
      </c>
      <c r="F1498" s="50" t="s">
        <v>573</v>
      </c>
      <c r="G1498" s="50" t="s">
        <v>574</v>
      </c>
      <c r="H1498" s="50">
        <v>2</v>
      </c>
      <c r="I1498" s="100">
        <v>6.7391919697301583</v>
      </c>
      <c r="J1498" s="52">
        <v>3834.68</v>
      </c>
      <c r="K1498" s="67">
        <f t="shared" si="96"/>
        <v>422346.34171898977</v>
      </c>
      <c r="L1498" s="95">
        <f>+VLOOKUP(E1498,MARGEN!A:B,2,FALSE)</f>
        <v>0.1</v>
      </c>
      <c r="M1498" s="112">
        <f t="shared" si="93"/>
        <v>42234.634171898979</v>
      </c>
      <c r="N1498" s="113">
        <f t="shared" si="94"/>
        <v>1689.3853668759591</v>
      </c>
      <c r="O1498" s="113">
        <f t="shared" si="95"/>
        <v>378422.3221802148</v>
      </c>
    </row>
    <row r="1499" spans="1:15" x14ac:dyDescent="0.25">
      <c r="A1499" s="43">
        <v>44465</v>
      </c>
      <c r="B1499" s="51">
        <v>12815</v>
      </c>
      <c r="C1499" s="66" t="s">
        <v>73</v>
      </c>
      <c r="D1499" s="66" t="s">
        <v>338</v>
      </c>
      <c r="E1499" t="s">
        <v>45</v>
      </c>
      <c r="F1499" s="50" t="s">
        <v>573</v>
      </c>
      <c r="G1499" s="50" t="s">
        <v>574</v>
      </c>
      <c r="H1499" s="50">
        <v>2</v>
      </c>
      <c r="I1499" s="100">
        <v>6.7391919697301583</v>
      </c>
      <c r="J1499" s="52">
        <v>3834.68</v>
      </c>
      <c r="K1499" s="67">
        <f t="shared" si="96"/>
        <v>331173.49134974327</v>
      </c>
      <c r="L1499" s="95">
        <f>+VLOOKUP(E1499,MARGEN!A:B,2,FALSE)</f>
        <v>0.1</v>
      </c>
      <c r="M1499" s="112">
        <f t="shared" si="93"/>
        <v>33117.349134974327</v>
      </c>
      <c r="N1499" s="113">
        <f t="shared" si="94"/>
        <v>1324.693965398973</v>
      </c>
      <c r="O1499" s="113">
        <f t="shared" si="95"/>
        <v>296731.44824936992</v>
      </c>
    </row>
    <row r="1500" spans="1:15" x14ac:dyDescent="0.25">
      <c r="A1500" s="13">
        <v>44465</v>
      </c>
      <c r="B1500" s="97">
        <v>9935</v>
      </c>
      <c r="C1500" t="s">
        <v>95</v>
      </c>
      <c r="D1500" t="s">
        <v>510</v>
      </c>
      <c r="E1500" t="s">
        <v>45</v>
      </c>
      <c r="F1500" t="s">
        <v>573</v>
      </c>
      <c r="G1500" s="50" t="s">
        <v>574</v>
      </c>
      <c r="H1500" s="50">
        <v>2</v>
      </c>
      <c r="I1500" s="100">
        <v>6.7391919697301583</v>
      </c>
      <c r="J1500" s="52">
        <v>3834.68</v>
      </c>
      <c r="K1500" s="67">
        <f t="shared" si="96"/>
        <v>256746.6747217869</v>
      </c>
      <c r="L1500" s="95">
        <f>+VLOOKUP(E1500,MARGEN!A:B,2,FALSE)</f>
        <v>0.1</v>
      </c>
      <c r="M1500" s="112">
        <f t="shared" si="93"/>
        <v>25674.667472178691</v>
      </c>
      <c r="N1500" s="113">
        <f t="shared" si="94"/>
        <v>1026.9866988871477</v>
      </c>
      <c r="O1500" s="113">
        <f t="shared" si="95"/>
        <v>230045.02055072106</v>
      </c>
    </row>
    <row r="1501" spans="1:15" x14ac:dyDescent="0.25">
      <c r="A1501" s="43">
        <v>44465</v>
      </c>
      <c r="B1501" s="51">
        <v>8159</v>
      </c>
      <c r="C1501" s="66" t="s">
        <v>191</v>
      </c>
      <c r="D1501" s="66" t="s">
        <v>354</v>
      </c>
      <c r="E1501" t="s">
        <v>45</v>
      </c>
      <c r="F1501" s="50" t="s">
        <v>573</v>
      </c>
      <c r="G1501" s="50" t="s">
        <v>574</v>
      </c>
      <c r="H1501" s="50">
        <v>2</v>
      </c>
      <c r="I1501" s="100">
        <v>6.7391919697301583</v>
      </c>
      <c r="J1501" s="52">
        <v>3834.68</v>
      </c>
      <c r="K1501" s="67">
        <f t="shared" si="96"/>
        <v>210850.13780121383</v>
      </c>
      <c r="L1501" s="95">
        <f>+VLOOKUP(E1501,MARGEN!A:B,2,FALSE)</f>
        <v>0.1</v>
      </c>
      <c r="M1501" s="112">
        <f t="shared" si="93"/>
        <v>21085.013780121386</v>
      </c>
      <c r="N1501" s="113">
        <f t="shared" si="94"/>
        <v>843.40055120485533</v>
      </c>
      <c r="O1501" s="113">
        <f t="shared" si="95"/>
        <v>188921.72346988757</v>
      </c>
    </row>
    <row r="1502" spans="1:15" x14ac:dyDescent="0.25">
      <c r="A1502" s="43">
        <v>44465</v>
      </c>
      <c r="B1502" s="51">
        <v>7607</v>
      </c>
      <c r="C1502" s="66" t="s">
        <v>248</v>
      </c>
      <c r="D1502" s="66" t="s">
        <v>385</v>
      </c>
      <c r="E1502" t="s">
        <v>45</v>
      </c>
      <c r="F1502" s="50" t="s">
        <v>573</v>
      </c>
      <c r="G1502" s="50" t="s">
        <v>574</v>
      </c>
      <c r="H1502" s="50">
        <v>2</v>
      </c>
      <c r="I1502" s="100">
        <v>6.7391919697301583</v>
      </c>
      <c r="J1502" s="52">
        <v>3834.68</v>
      </c>
      <c r="K1502" s="67">
        <f t="shared" si="96"/>
        <v>196584.99794752221</v>
      </c>
      <c r="L1502" s="95">
        <f>+VLOOKUP(E1502,MARGEN!A:B,2,FALSE)</f>
        <v>0.1</v>
      </c>
      <c r="M1502" s="112">
        <f t="shared" si="93"/>
        <v>19658.499794752221</v>
      </c>
      <c r="N1502" s="113">
        <f t="shared" si="94"/>
        <v>786.33999179008879</v>
      </c>
      <c r="O1502" s="113">
        <f t="shared" si="95"/>
        <v>176140.15816097989</v>
      </c>
    </row>
    <row r="1503" spans="1:15" x14ac:dyDescent="0.25">
      <c r="A1503" s="43">
        <v>44465</v>
      </c>
      <c r="B1503" s="51">
        <v>7582</v>
      </c>
      <c r="C1503" s="66" t="s">
        <v>90</v>
      </c>
      <c r="D1503" s="66" t="s">
        <v>350</v>
      </c>
      <c r="E1503" t="s">
        <v>45</v>
      </c>
      <c r="F1503" s="50" t="s">
        <v>566</v>
      </c>
      <c r="G1503" s="50" t="s">
        <v>574</v>
      </c>
      <c r="H1503" s="50">
        <v>2</v>
      </c>
      <c r="I1503" s="100">
        <v>6.7391919697301583</v>
      </c>
      <c r="J1503" s="52">
        <v>3834.68</v>
      </c>
      <c r="K1503" s="67">
        <f t="shared" si="96"/>
        <v>195938.93183096006</v>
      </c>
      <c r="L1503" s="95">
        <f>+VLOOKUP(E1503,MARGEN!A:B,2,FALSE)</f>
        <v>0.1</v>
      </c>
      <c r="M1503" s="112">
        <f t="shared" si="93"/>
        <v>19593.893183096006</v>
      </c>
      <c r="N1503" s="113">
        <f t="shared" si="94"/>
        <v>783.75572732384023</v>
      </c>
      <c r="O1503" s="113">
        <f t="shared" si="95"/>
        <v>175561.28292054022</v>
      </c>
    </row>
    <row r="1504" spans="1:15" x14ac:dyDescent="0.25">
      <c r="A1504" s="43">
        <v>44465</v>
      </c>
      <c r="B1504" s="51">
        <v>7151</v>
      </c>
      <c r="C1504" s="66" t="s">
        <v>179</v>
      </c>
      <c r="D1504" s="66" t="s">
        <v>361</v>
      </c>
      <c r="E1504" t="s">
        <v>45</v>
      </c>
      <c r="F1504" s="50" t="s">
        <v>573</v>
      </c>
      <c r="G1504" s="50" t="s">
        <v>574</v>
      </c>
      <c r="H1504" s="50">
        <v>2</v>
      </c>
      <c r="I1504" s="100">
        <v>6.7391919697301583</v>
      </c>
      <c r="J1504" s="52">
        <v>3834.68</v>
      </c>
      <c r="K1504" s="67">
        <f t="shared" si="96"/>
        <v>184800.75198142909</v>
      </c>
      <c r="L1504" s="95">
        <f>+VLOOKUP(E1504,MARGEN!A:B,2,FALSE)</f>
        <v>0.1</v>
      </c>
      <c r="M1504" s="112">
        <f t="shared" si="93"/>
        <v>18480.075198142909</v>
      </c>
      <c r="N1504" s="113">
        <f t="shared" si="94"/>
        <v>739.20300792571629</v>
      </c>
      <c r="O1504" s="113">
        <f t="shared" si="95"/>
        <v>165581.47377536047</v>
      </c>
    </row>
    <row r="1505" spans="1:15" x14ac:dyDescent="0.25">
      <c r="A1505" s="13">
        <v>44465</v>
      </c>
      <c r="B1505" s="97">
        <v>6910</v>
      </c>
      <c r="C1505" t="s">
        <v>143</v>
      </c>
      <c r="D1505" t="s">
        <v>489</v>
      </c>
      <c r="E1505" t="s">
        <v>45</v>
      </c>
      <c r="F1505" t="s">
        <v>566</v>
      </c>
      <c r="G1505" s="50" t="s">
        <v>574</v>
      </c>
      <c r="H1505" s="50">
        <v>2</v>
      </c>
      <c r="I1505" s="100">
        <v>6.7391919697301583</v>
      </c>
      <c r="J1505" s="52">
        <v>3834.68</v>
      </c>
      <c r="K1505" s="67">
        <f t="shared" si="96"/>
        <v>178572.67461777024</v>
      </c>
      <c r="L1505" s="95">
        <f>+VLOOKUP(E1505,MARGEN!A:B,2,FALSE)</f>
        <v>0.1</v>
      </c>
      <c r="M1505" s="112">
        <f t="shared" si="93"/>
        <v>17857.267461777024</v>
      </c>
      <c r="N1505" s="113">
        <f t="shared" si="94"/>
        <v>714.29069847108099</v>
      </c>
      <c r="O1505" s="113">
        <f t="shared" si="95"/>
        <v>160001.11645752215</v>
      </c>
    </row>
    <row r="1506" spans="1:15" x14ac:dyDescent="0.25">
      <c r="A1506" s="43">
        <v>44465</v>
      </c>
      <c r="B1506" s="51">
        <v>5639</v>
      </c>
      <c r="C1506" s="66" t="s">
        <v>275</v>
      </c>
      <c r="D1506" s="66" t="s">
        <v>519</v>
      </c>
      <c r="E1506" t="s">
        <v>45</v>
      </c>
      <c r="F1506" s="50" t="s">
        <v>573</v>
      </c>
      <c r="G1506" s="50" t="s">
        <v>574</v>
      </c>
      <c r="H1506" s="50">
        <v>2</v>
      </c>
      <c r="I1506" s="100">
        <v>6.7391919697301583</v>
      </c>
      <c r="J1506" s="52">
        <v>3834.68</v>
      </c>
      <c r="K1506" s="67">
        <f t="shared" si="96"/>
        <v>145726.67325175201</v>
      </c>
      <c r="L1506" s="95">
        <f>+VLOOKUP(E1506,MARGEN!A:B,2,FALSE)</f>
        <v>0.1</v>
      </c>
      <c r="M1506" s="112">
        <f t="shared" si="93"/>
        <v>14572.667325175202</v>
      </c>
      <c r="N1506" s="113">
        <f t="shared" si="94"/>
        <v>582.90669300700802</v>
      </c>
      <c r="O1506" s="113">
        <f t="shared" si="95"/>
        <v>130571.09923356981</v>
      </c>
    </row>
    <row r="1507" spans="1:15" x14ac:dyDescent="0.25">
      <c r="A1507" s="43">
        <v>44465</v>
      </c>
      <c r="B1507" s="51">
        <v>5543</v>
      </c>
      <c r="C1507" s="66" t="s">
        <v>116</v>
      </c>
      <c r="D1507" s="66" t="s">
        <v>330</v>
      </c>
      <c r="E1507" t="s">
        <v>45</v>
      </c>
      <c r="F1507" s="50" t="s">
        <v>573</v>
      </c>
      <c r="G1507" s="50" t="s">
        <v>574</v>
      </c>
      <c r="H1507" s="50">
        <v>2</v>
      </c>
      <c r="I1507" s="100">
        <v>6.7391919697301583</v>
      </c>
      <c r="J1507" s="52">
        <v>3834.68</v>
      </c>
      <c r="K1507" s="67">
        <f t="shared" si="96"/>
        <v>143245.77936415351</v>
      </c>
      <c r="L1507" s="95">
        <f>+VLOOKUP(E1507,MARGEN!A:B,2,FALSE)</f>
        <v>0.1</v>
      </c>
      <c r="M1507" s="112">
        <f t="shared" si="93"/>
        <v>14324.577936415351</v>
      </c>
      <c r="N1507" s="113">
        <f t="shared" si="94"/>
        <v>572.98311745661408</v>
      </c>
      <c r="O1507" s="113">
        <f t="shared" si="95"/>
        <v>128348.21831028153</v>
      </c>
    </row>
    <row r="1508" spans="1:15" x14ac:dyDescent="0.25">
      <c r="A1508" s="43">
        <v>44465</v>
      </c>
      <c r="B1508" s="51">
        <v>4535</v>
      </c>
      <c r="C1508" s="66" t="s">
        <v>76</v>
      </c>
      <c r="D1508" s="66" t="s">
        <v>332</v>
      </c>
      <c r="E1508" t="s">
        <v>45</v>
      </c>
      <c r="F1508" s="50" t="s">
        <v>573</v>
      </c>
      <c r="G1508" s="50" t="s">
        <v>574</v>
      </c>
      <c r="H1508" s="50">
        <v>2</v>
      </c>
      <c r="I1508" s="100">
        <v>6.7391919697301583</v>
      </c>
      <c r="J1508" s="52">
        <v>3834.68</v>
      </c>
      <c r="K1508" s="67">
        <f t="shared" si="96"/>
        <v>117196.39354436877</v>
      </c>
      <c r="L1508" s="95">
        <f>+VLOOKUP(E1508,MARGEN!A:B,2,FALSE)</f>
        <v>0.1</v>
      </c>
      <c r="M1508" s="112">
        <f t="shared" si="93"/>
        <v>11719.639354436877</v>
      </c>
      <c r="N1508" s="113">
        <f t="shared" si="94"/>
        <v>468.78557417747504</v>
      </c>
      <c r="O1508" s="113">
        <f t="shared" si="95"/>
        <v>105007.96861575442</v>
      </c>
    </row>
    <row r="1509" spans="1:15" x14ac:dyDescent="0.25">
      <c r="A1509" s="43">
        <v>44465</v>
      </c>
      <c r="B1509" s="51">
        <v>4319</v>
      </c>
      <c r="C1509" s="66" t="s">
        <v>91</v>
      </c>
      <c r="D1509" s="66" t="s">
        <v>340</v>
      </c>
      <c r="E1509" t="s">
        <v>45</v>
      </c>
      <c r="F1509" s="50" t="s">
        <v>573</v>
      </c>
      <c r="G1509" s="50" t="s">
        <v>574</v>
      </c>
      <c r="H1509" s="50">
        <v>2</v>
      </c>
      <c r="I1509" s="100">
        <v>6.7391919697301583</v>
      </c>
      <c r="J1509" s="52">
        <v>3834.68</v>
      </c>
      <c r="K1509" s="67">
        <f t="shared" si="96"/>
        <v>111614.38229727202</v>
      </c>
      <c r="L1509" s="95">
        <f>+VLOOKUP(E1509,MARGEN!A:B,2,FALSE)</f>
        <v>0.1</v>
      </c>
      <c r="M1509" s="112">
        <f t="shared" si="93"/>
        <v>11161.438229727202</v>
      </c>
      <c r="N1509" s="113">
        <f t="shared" si="94"/>
        <v>446.45752918908806</v>
      </c>
      <c r="O1509" s="113">
        <f t="shared" si="95"/>
        <v>100006.48653835573</v>
      </c>
    </row>
    <row r="1510" spans="1:15" x14ac:dyDescent="0.25">
      <c r="A1510" s="43">
        <v>44465</v>
      </c>
      <c r="B1510" s="51">
        <v>4127</v>
      </c>
      <c r="C1510" s="66" t="s">
        <v>276</v>
      </c>
      <c r="D1510" s="66" t="s">
        <v>512</v>
      </c>
      <c r="E1510" t="s">
        <v>45</v>
      </c>
      <c r="F1510" s="50" t="s">
        <v>573</v>
      </c>
      <c r="G1510" s="50" t="s">
        <v>574</v>
      </c>
      <c r="H1510" s="50">
        <v>2</v>
      </c>
      <c r="I1510" s="100">
        <v>6.7391919697301583</v>
      </c>
      <c r="J1510" s="52">
        <v>3834.68</v>
      </c>
      <c r="K1510" s="67">
        <f t="shared" si="96"/>
        <v>106652.59452207494</v>
      </c>
      <c r="L1510" s="95">
        <f>+VLOOKUP(E1510,MARGEN!A:B,2,FALSE)</f>
        <v>0.1</v>
      </c>
      <c r="M1510" s="112">
        <f t="shared" si="93"/>
        <v>10665.259452207494</v>
      </c>
      <c r="N1510" s="113">
        <f t="shared" si="94"/>
        <v>426.61037808829974</v>
      </c>
      <c r="O1510" s="113">
        <f t="shared" si="95"/>
        <v>95560.724691779149</v>
      </c>
    </row>
    <row r="1511" spans="1:15" x14ac:dyDescent="0.25">
      <c r="A1511" s="43">
        <v>44465</v>
      </c>
      <c r="B1511" s="51">
        <v>4127</v>
      </c>
      <c r="C1511" s="66" t="s">
        <v>235</v>
      </c>
      <c r="D1511" s="66" t="s">
        <v>339</v>
      </c>
      <c r="E1511" t="s">
        <v>45</v>
      </c>
      <c r="F1511" s="50" t="s">
        <v>573</v>
      </c>
      <c r="G1511" s="50" t="s">
        <v>574</v>
      </c>
      <c r="H1511" s="50">
        <v>2</v>
      </c>
      <c r="I1511" s="100">
        <v>6.7391919697301583</v>
      </c>
      <c r="J1511" s="52">
        <v>3834.68</v>
      </c>
      <c r="K1511" s="67">
        <f t="shared" si="96"/>
        <v>106652.59452207494</v>
      </c>
      <c r="L1511" s="95">
        <f>+VLOOKUP(E1511,MARGEN!A:B,2,FALSE)</f>
        <v>0.1</v>
      </c>
      <c r="M1511" s="112">
        <f t="shared" si="93"/>
        <v>10665.259452207494</v>
      </c>
      <c r="N1511" s="113">
        <f t="shared" si="94"/>
        <v>426.61037808829974</v>
      </c>
      <c r="O1511" s="113">
        <f t="shared" si="95"/>
        <v>95560.724691779149</v>
      </c>
    </row>
    <row r="1512" spans="1:15" x14ac:dyDescent="0.25">
      <c r="A1512" s="43">
        <v>44465</v>
      </c>
      <c r="B1512" s="51">
        <v>4103</v>
      </c>
      <c r="C1512" s="66" t="s">
        <v>234</v>
      </c>
      <c r="D1512" s="66" t="s">
        <v>331</v>
      </c>
      <c r="E1512" t="s">
        <v>45</v>
      </c>
      <c r="F1512" s="50" t="s">
        <v>573</v>
      </c>
      <c r="G1512" s="50" t="s">
        <v>574</v>
      </c>
      <c r="H1512" s="50">
        <v>2</v>
      </c>
      <c r="I1512" s="100">
        <v>6.7391919697301583</v>
      </c>
      <c r="J1512" s="52">
        <v>3834.68</v>
      </c>
      <c r="K1512" s="67">
        <f t="shared" si="96"/>
        <v>106032.37105017531</v>
      </c>
      <c r="L1512" s="95">
        <f>+VLOOKUP(E1512,MARGEN!A:B,2,FALSE)</f>
        <v>0.1</v>
      </c>
      <c r="M1512" s="112">
        <f t="shared" si="93"/>
        <v>10603.237105017532</v>
      </c>
      <c r="N1512" s="113">
        <f t="shared" si="94"/>
        <v>424.12948420070126</v>
      </c>
      <c r="O1512" s="113">
        <f t="shared" si="95"/>
        <v>95005.004460957076</v>
      </c>
    </row>
    <row r="1513" spans="1:15" x14ac:dyDescent="0.25">
      <c r="A1513" s="43">
        <v>44465</v>
      </c>
      <c r="B1513" s="51">
        <v>3911</v>
      </c>
      <c r="C1513" s="66" t="s">
        <v>71</v>
      </c>
      <c r="D1513" s="66" t="s">
        <v>337</v>
      </c>
      <c r="E1513" t="s">
        <v>45</v>
      </c>
      <c r="F1513" s="50" t="s">
        <v>573</v>
      </c>
      <c r="G1513" s="50" t="s">
        <v>574</v>
      </c>
      <c r="H1513" s="50">
        <v>2</v>
      </c>
      <c r="I1513" s="100">
        <v>6.7391919697301583</v>
      </c>
      <c r="J1513" s="52">
        <v>3834.68</v>
      </c>
      <c r="K1513" s="67">
        <f t="shared" si="96"/>
        <v>101070.58327497823</v>
      </c>
      <c r="L1513" s="95">
        <f>+VLOOKUP(E1513,MARGEN!A:B,2,FALSE)</f>
        <v>0.1</v>
      </c>
      <c r="M1513" s="112">
        <f t="shared" si="93"/>
        <v>10107.058327497823</v>
      </c>
      <c r="N1513" s="113">
        <f t="shared" si="94"/>
        <v>404.28233309991293</v>
      </c>
      <c r="O1513" s="113">
        <f t="shared" si="95"/>
        <v>90559.242614380491</v>
      </c>
    </row>
    <row r="1514" spans="1:15" x14ac:dyDescent="0.25">
      <c r="A1514" s="13">
        <v>44465</v>
      </c>
      <c r="B1514" s="97">
        <v>3767</v>
      </c>
      <c r="C1514" t="s">
        <v>197</v>
      </c>
      <c r="D1514" t="s">
        <v>358</v>
      </c>
      <c r="E1514" t="s">
        <v>45</v>
      </c>
      <c r="F1514" t="s">
        <v>566</v>
      </c>
      <c r="G1514" s="50" t="s">
        <v>574</v>
      </c>
      <c r="H1514" s="50">
        <v>2</v>
      </c>
      <c r="I1514" s="100">
        <v>6.7391919697301583</v>
      </c>
      <c r="J1514" s="52">
        <v>3834.68</v>
      </c>
      <c r="K1514" s="67">
        <f t="shared" si="96"/>
        <v>97349.242443580399</v>
      </c>
      <c r="L1514" s="95">
        <f>+VLOOKUP(E1514,MARGEN!A:B,2,FALSE)</f>
        <v>0.1</v>
      </c>
      <c r="M1514" s="112">
        <f t="shared" si="93"/>
        <v>9734.9242443580406</v>
      </c>
      <c r="N1514" s="113">
        <f t="shared" si="94"/>
        <v>389.39696977432158</v>
      </c>
      <c r="O1514" s="113">
        <f t="shared" si="95"/>
        <v>87224.921229448039</v>
      </c>
    </row>
    <row r="1515" spans="1:15" x14ac:dyDescent="0.25">
      <c r="A1515" s="43">
        <v>44465</v>
      </c>
      <c r="B1515" s="51">
        <v>3143</v>
      </c>
      <c r="C1515" s="66" t="s">
        <v>277</v>
      </c>
      <c r="D1515" s="66" t="s">
        <v>513</v>
      </c>
      <c r="E1515" t="s">
        <v>45</v>
      </c>
      <c r="F1515" s="50" t="s">
        <v>573</v>
      </c>
      <c r="G1515" s="50" t="s">
        <v>574</v>
      </c>
      <c r="H1515" s="50">
        <v>2</v>
      </c>
      <c r="I1515" s="100">
        <v>6.7391919697301583</v>
      </c>
      <c r="J1515" s="52">
        <v>3834.68</v>
      </c>
      <c r="K1515" s="67">
        <f t="shared" si="96"/>
        <v>81223.43217418986</v>
      </c>
      <c r="L1515" s="95">
        <f>+VLOOKUP(E1515,MARGEN!A:B,2,FALSE)</f>
        <v>0.1</v>
      </c>
      <c r="M1515" s="112">
        <f t="shared" si="93"/>
        <v>8122.3432174189866</v>
      </c>
      <c r="N1515" s="113">
        <f t="shared" si="94"/>
        <v>324.89372869675947</v>
      </c>
      <c r="O1515" s="113">
        <f t="shared" si="95"/>
        <v>72776.195228074124</v>
      </c>
    </row>
    <row r="1516" spans="1:15" x14ac:dyDescent="0.25">
      <c r="A1516" s="13">
        <v>44465</v>
      </c>
      <c r="B1516" s="97">
        <v>2879</v>
      </c>
      <c r="C1516" t="s">
        <v>139</v>
      </c>
      <c r="D1516" t="s">
        <v>327</v>
      </c>
      <c r="E1516" t="s">
        <v>45</v>
      </c>
      <c r="F1516" t="s">
        <v>573</v>
      </c>
      <c r="G1516" s="50" t="s">
        <v>574</v>
      </c>
      <c r="H1516" s="50">
        <v>2</v>
      </c>
      <c r="I1516" s="100">
        <v>6.7391919697301583</v>
      </c>
      <c r="J1516" s="52">
        <v>3834.68</v>
      </c>
      <c r="K1516" s="67">
        <f t="shared" si="96"/>
        <v>74400.973983293865</v>
      </c>
      <c r="L1516" s="95">
        <f>+VLOOKUP(E1516,MARGEN!A:B,2,FALSE)</f>
        <v>0.1</v>
      </c>
      <c r="M1516" s="112">
        <f t="shared" si="93"/>
        <v>7440.097398329387</v>
      </c>
      <c r="N1516" s="113">
        <f t="shared" si="94"/>
        <v>297.60389593317547</v>
      </c>
      <c r="O1516" s="113">
        <f t="shared" si="95"/>
        <v>66663.272689031306</v>
      </c>
    </row>
    <row r="1517" spans="1:15" x14ac:dyDescent="0.25">
      <c r="A1517" s="43">
        <v>44465</v>
      </c>
      <c r="B1517" s="51">
        <v>2855</v>
      </c>
      <c r="C1517" s="66" t="s">
        <v>268</v>
      </c>
      <c r="D1517" s="66" t="s">
        <v>514</v>
      </c>
      <c r="E1517" t="s">
        <v>45</v>
      </c>
      <c r="F1517" s="50" t="s">
        <v>573</v>
      </c>
      <c r="G1517" s="50" t="s">
        <v>574</v>
      </c>
      <c r="H1517" s="50">
        <v>2</v>
      </c>
      <c r="I1517" s="100">
        <v>6.7391919697301583</v>
      </c>
      <c r="J1517" s="52">
        <v>3834.68</v>
      </c>
      <c r="K1517" s="67">
        <f t="shared" si="96"/>
        <v>73780.750511394232</v>
      </c>
      <c r="L1517" s="95">
        <f>+VLOOKUP(E1517,MARGEN!A:B,2,FALSE)</f>
        <v>0.1</v>
      </c>
      <c r="M1517" s="112">
        <f t="shared" si="93"/>
        <v>7378.0750511394235</v>
      </c>
      <c r="N1517" s="113">
        <f t="shared" si="94"/>
        <v>295.12300204557692</v>
      </c>
      <c r="O1517" s="113">
        <f t="shared" si="95"/>
        <v>66107.552458209218</v>
      </c>
    </row>
    <row r="1518" spans="1:15" x14ac:dyDescent="0.25">
      <c r="A1518" s="13">
        <v>44465</v>
      </c>
      <c r="B1518" s="97">
        <v>2831</v>
      </c>
      <c r="C1518" t="s">
        <v>269</v>
      </c>
      <c r="D1518" t="s">
        <v>520</v>
      </c>
      <c r="E1518" t="s">
        <v>45</v>
      </c>
      <c r="F1518" t="s">
        <v>566</v>
      </c>
      <c r="G1518" s="50" t="s">
        <v>574</v>
      </c>
      <c r="H1518" s="50">
        <v>2</v>
      </c>
      <c r="I1518" s="100">
        <v>6.7391919697301583</v>
      </c>
      <c r="J1518" s="52">
        <v>3834.68</v>
      </c>
      <c r="K1518" s="67">
        <f t="shared" si="96"/>
        <v>73160.527039494584</v>
      </c>
      <c r="L1518" s="95">
        <f>+VLOOKUP(E1518,MARGEN!A:B,2,FALSE)</f>
        <v>0.1</v>
      </c>
      <c r="M1518" s="112">
        <f t="shared" si="93"/>
        <v>7316.0527039494591</v>
      </c>
      <c r="N1518" s="113">
        <f t="shared" si="94"/>
        <v>292.64210815797833</v>
      </c>
      <c r="O1518" s="113">
        <f t="shared" si="95"/>
        <v>65551.832227387145</v>
      </c>
    </row>
    <row r="1519" spans="1:15" x14ac:dyDescent="0.25">
      <c r="A1519" s="43">
        <v>44465</v>
      </c>
      <c r="B1519" s="51">
        <v>2807</v>
      </c>
      <c r="C1519" s="66" t="s">
        <v>178</v>
      </c>
      <c r="D1519" s="66" t="s">
        <v>370</v>
      </c>
      <c r="E1519" t="s">
        <v>45</v>
      </c>
      <c r="F1519" s="50" t="s">
        <v>573</v>
      </c>
      <c r="G1519" s="50" t="s">
        <v>574</v>
      </c>
      <c r="H1519" s="50">
        <v>2</v>
      </c>
      <c r="I1519" s="100">
        <v>6.7391919697301583</v>
      </c>
      <c r="J1519" s="52">
        <v>3834.68</v>
      </c>
      <c r="K1519" s="67">
        <f t="shared" si="96"/>
        <v>72540.303567594965</v>
      </c>
      <c r="L1519" s="95">
        <f>+VLOOKUP(E1519,MARGEN!A:B,2,FALSE)</f>
        <v>0.1</v>
      </c>
      <c r="M1519" s="112">
        <f t="shared" si="93"/>
        <v>7254.0303567594965</v>
      </c>
      <c r="N1519" s="113">
        <f t="shared" si="94"/>
        <v>290.16121427037984</v>
      </c>
      <c r="O1519" s="113">
        <f t="shared" si="95"/>
        <v>64996.111996565087</v>
      </c>
    </row>
    <row r="1520" spans="1:15" x14ac:dyDescent="0.25">
      <c r="A1520" s="43">
        <v>44465</v>
      </c>
      <c r="B1520" s="51">
        <v>2759</v>
      </c>
      <c r="C1520" s="66" t="s">
        <v>271</v>
      </c>
      <c r="D1520" s="66" t="s">
        <v>518</v>
      </c>
      <c r="E1520" t="s">
        <v>45</v>
      </c>
      <c r="F1520" s="50" t="s">
        <v>566</v>
      </c>
      <c r="G1520" s="50" t="s">
        <v>574</v>
      </c>
      <c r="H1520" s="50">
        <v>2</v>
      </c>
      <c r="I1520" s="100">
        <v>6.7391919697301583</v>
      </c>
      <c r="J1520" s="52">
        <v>3834.68</v>
      </c>
      <c r="K1520" s="67">
        <f t="shared" si="96"/>
        <v>71299.856623795669</v>
      </c>
      <c r="L1520" s="95">
        <f>+VLOOKUP(E1520,MARGEN!A:B,2,FALSE)</f>
        <v>0.1</v>
      </c>
      <c r="M1520" s="112">
        <f t="shared" si="93"/>
        <v>7129.9856623795677</v>
      </c>
      <c r="N1520" s="113">
        <f t="shared" si="94"/>
        <v>285.19942649518265</v>
      </c>
      <c r="O1520" s="113">
        <f t="shared" si="95"/>
        <v>63884.671534920926</v>
      </c>
    </row>
    <row r="1521" spans="1:15" x14ac:dyDescent="0.25">
      <c r="A1521" s="43">
        <v>44465</v>
      </c>
      <c r="B1521" s="51">
        <v>2735</v>
      </c>
      <c r="C1521" s="66" t="s">
        <v>99</v>
      </c>
      <c r="D1521" s="66" t="s">
        <v>366</v>
      </c>
      <c r="E1521" t="s">
        <v>45</v>
      </c>
      <c r="F1521" s="50" t="s">
        <v>566</v>
      </c>
      <c r="G1521" s="50" t="s">
        <v>574</v>
      </c>
      <c r="H1521" s="50">
        <v>2</v>
      </c>
      <c r="I1521" s="100">
        <v>6.7391919697301583</v>
      </c>
      <c r="J1521" s="52">
        <v>3834.68</v>
      </c>
      <c r="K1521" s="67">
        <f t="shared" si="96"/>
        <v>70679.633151896051</v>
      </c>
      <c r="L1521" s="95">
        <f>+VLOOKUP(E1521,MARGEN!A:B,2,FALSE)</f>
        <v>0.1</v>
      </c>
      <c r="M1521" s="112">
        <f t="shared" si="93"/>
        <v>7067.9633151896051</v>
      </c>
      <c r="N1521" s="113">
        <f t="shared" si="94"/>
        <v>282.71853260758422</v>
      </c>
      <c r="O1521" s="113">
        <f t="shared" si="95"/>
        <v>63328.95130409886</v>
      </c>
    </row>
    <row r="1522" spans="1:15" x14ac:dyDescent="0.25">
      <c r="A1522" s="43">
        <v>44465</v>
      </c>
      <c r="B1522" s="51">
        <v>2663</v>
      </c>
      <c r="C1522" s="66" t="s">
        <v>138</v>
      </c>
      <c r="D1522" s="66" t="s">
        <v>321</v>
      </c>
      <c r="E1522" t="s">
        <v>45</v>
      </c>
      <c r="F1522" s="50" t="s">
        <v>573</v>
      </c>
      <c r="G1522" s="50" t="s">
        <v>574</v>
      </c>
      <c r="H1522" s="50">
        <v>2</v>
      </c>
      <c r="I1522" s="100">
        <v>6.7391919697301583</v>
      </c>
      <c r="J1522" s="52">
        <v>3834.68</v>
      </c>
      <c r="K1522" s="67">
        <f t="shared" si="96"/>
        <v>68818.962736197136</v>
      </c>
      <c r="L1522" s="95">
        <f>+VLOOKUP(E1522,MARGEN!A:B,2,FALSE)</f>
        <v>0.1</v>
      </c>
      <c r="M1522" s="112">
        <f t="shared" si="93"/>
        <v>6881.8962736197136</v>
      </c>
      <c r="N1522" s="113">
        <f t="shared" si="94"/>
        <v>275.27585094478854</v>
      </c>
      <c r="O1522" s="113">
        <f t="shared" si="95"/>
        <v>61661.790611632634</v>
      </c>
    </row>
    <row r="1523" spans="1:15" x14ac:dyDescent="0.25">
      <c r="A1523" s="13">
        <v>44465</v>
      </c>
      <c r="B1523" s="97">
        <v>2159</v>
      </c>
      <c r="C1523" t="s">
        <v>93</v>
      </c>
      <c r="D1523" t="s">
        <v>353</v>
      </c>
      <c r="E1523" t="s">
        <v>45</v>
      </c>
      <c r="F1523" t="s">
        <v>566</v>
      </c>
      <c r="G1523" s="50" t="s">
        <v>574</v>
      </c>
      <c r="H1523" s="50">
        <v>2</v>
      </c>
      <c r="I1523" s="100">
        <v>6.7391919697301583</v>
      </c>
      <c r="J1523" s="52">
        <v>3834.68</v>
      </c>
      <c r="K1523" s="67">
        <f t="shared" si="96"/>
        <v>55794.269826304779</v>
      </c>
      <c r="L1523" s="95">
        <f>+VLOOKUP(E1523,MARGEN!A:B,2,FALSE)</f>
        <v>0.1</v>
      </c>
      <c r="M1523" s="112">
        <f t="shared" si="93"/>
        <v>5579.4269826304781</v>
      </c>
      <c r="N1523" s="113">
        <f t="shared" si="94"/>
        <v>223.17707930521911</v>
      </c>
      <c r="O1523" s="113">
        <f t="shared" si="95"/>
        <v>49991.665764369078</v>
      </c>
    </row>
    <row r="1524" spans="1:15" x14ac:dyDescent="0.25">
      <c r="A1524" s="43">
        <v>44465</v>
      </c>
      <c r="B1524" s="51">
        <v>2159</v>
      </c>
      <c r="C1524" s="66" t="s">
        <v>560</v>
      </c>
      <c r="D1524" s="66" t="s">
        <v>561</v>
      </c>
      <c r="E1524" t="s">
        <v>45</v>
      </c>
      <c r="F1524" s="50" t="s">
        <v>573</v>
      </c>
      <c r="G1524" s="50" t="s">
        <v>574</v>
      </c>
      <c r="H1524" s="50">
        <v>2</v>
      </c>
      <c r="I1524" s="100">
        <v>6.7391919697301583</v>
      </c>
      <c r="J1524" s="52">
        <v>3834.68</v>
      </c>
      <c r="K1524" s="67">
        <f t="shared" si="96"/>
        <v>55794.269826304779</v>
      </c>
      <c r="L1524" s="95">
        <f>+VLOOKUP(E1524,MARGEN!A:B,2,FALSE)</f>
        <v>0.1</v>
      </c>
      <c r="M1524" s="112">
        <f t="shared" si="93"/>
        <v>5579.4269826304781</v>
      </c>
      <c r="N1524" s="113">
        <f t="shared" si="94"/>
        <v>223.17707930521911</v>
      </c>
      <c r="O1524" s="113">
        <f t="shared" si="95"/>
        <v>49991.665764369078</v>
      </c>
    </row>
    <row r="1525" spans="1:15" x14ac:dyDescent="0.25">
      <c r="A1525" s="43">
        <v>44465</v>
      </c>
      <c r="B1525" s="51">
        <v>2039</v>
      </c>
      <c r="C1525" s="66" t="s">
        <v>92</v>
      </c>
      <c r="D1525" s="66" t="s">
        <v>490</v>
      </c>
      <c r="E1525" t="s">
        <v>45</v>
      </c>
      <c r="F1525" s="50" t="s">
        <v>573</v>
      </c>
      <c r="G1525" s="50" t="s">
        <v>574</v>
      </c>
      <c r="H1525" s="50">
        <v>2</v>
      </c>
      <c r="I1525" s="100">
        <v>6.7391919697301583</v>
      </c>
      <c r="J1525" s="52">
        <v>3834.68</v>
      </c>
      <c r="K1525" s="67">
        <f t="shared" si="96"/>
        <v>52693.152466806598</v>
      </c>
      <c r="L1525" s="95">
        <f>+VLOOKUP(E1525,MARGEN!A:B,2,FALSE)</f>
        <v>0.1</v>
      </c>
      <c r="M1525" s="112">
        <f t="shared" si="93"/>
        <v>5269.3152466806605</v>
      </c>
      <c r="N1525" s="113">
        <f t="shared" si="94"/>
        <v>210.77260986722638</v>
      </c>
      <c r="O1525" s="113">
        <f t="shared" si="95"/>
        <v>47213.064610258705</v>
      </c>
    </row>
    <row r="1526" spans="1:15" x14ac:dyDescent="0.25">
      <c r="A1526" s="43">
        <v>44465</v>
      </c>
      <c r="B1526" s="51">
        <v>2039</v>
      </c>
      <c r="C1526" s="66" t="s">
        <v>103</v>
      </c>
      <c r="D1526" s="66" t="s">
        <v>342</v>
      </c>
      <c r="E1526" t="s">
        <v>45</v>
      </c>
      <c r="F1526" s="50" t="s">
        <v>573</v>
      </c>
      <c r="G1526" s="50" t="s">
        <v>574</v>
      </c>
      <c r="H1526" s="50">
        <v>2</v>
      </c>
      <c r="I1526" s="100">
        <v>6.7391919697301583</v>
      </c>
      <c r="J1526" s="52">
        <v>3834.68</v>
      </c>
      <c r="K1526" s="67">
        <f t="shared" si="96"/>
        <v>52693.152466806598</v>
      </c>
      <c r="L1526" s="95">
        <f>+VLOOKUP(E1526,MARGEN!A:B,2,FALSE)</f>
        <v>0.1</v>
      </c>
      <c r="M1526" s="112">
        <f t="shared" si="93"/>
        <v>5269.3152466806605</v>
      </c>
      <c r="N1526" s="113">
        <f t="shared" si="94"/>
        <v>210.77260986722638</v>
      </c>
      <c r="O1526" s="113">
        <f t="shared" si="95"/>
        <v>47213.064610258705</v>
      </c>
    </row>
    <row r="1527" spans="1:15" x14ac:dyDescent="0.25">
      <c r="A1527" s="43">
        <v>44465</v>
      </c>
      <c r="B1527" s="51">
        <v>1871</v>
      </c>
      <c r="C1527" s="66" t="s">
        <v>117</v>
      </c>
      <c r="D1527" s="66" t="s">
        <v>336</v>
      </c>
      <c r="E1527" t="s">
        <v>45</v>
      </c>
      <c r="F1527" s="50" t="s">
        <v>566</v>
      </c>
      <c r="G1527" s="50" t="s">
        <v>574</v>
      </c>
      <c r="H1527" s="50">
        <v>2</v>
      </c>
      <c r="I1527" s="100">
        <v>6.7391919697301583</v>
      </c>
      <c r="J1527" s="52">
        <v>3834.68</v>
      </c>
      <c r="K1527" s="67">
        <f t="shared" si="96"/>
        <v>48351.588163509143</v>
      </c>
      <c r="L1527" s="95">
        <f>+VLOOKUP(E1527,MARGEN!A:B,2,FALSE)</f>
        <v>0.1</v>
      </c>
      <c r="M1527" s="112">
        <f t="shared" si="93"/>
        <v>4835.1588163509141</v>
      </c>
      <c r="N1527" s="113">
        <f t="shared" si="94"/>
        <v>193.40635265403657</v>
      </c>
      <c r="O1527" s="113">
        <f t="shared" si="95"/>
        <v>43323.022994504194</v>
      </c>
    </row>
    <row r="1528" spans="1:15" x14ac:dyDescent="0.25">
      <c r="A1528" s="43">
        <v>44465</v>
      </c>
      <c r="B1528" s="51">
        <v>1871</v>
      </c>
      <c r="C1528" s="66" t="s">
        <v>198</v>
      </c>
      <c r="D1528" s="66" t="s">
        <v>326</v>
      </c>
      <c r="E1528" t="s">
        <v>45</v>
      </c>
      <c r="F1528" s="50" t="s">
        <v>573</v>
      </c>
      <c r="G1528" s="50" t="s">
        <v>574</v>
      </c>
      <c r="H1528" s="50">
        <v>2</v>
      </c>
      <c r="I1528" s="100">
        <v>6.7391919697301583</v>
      </c>
      <c r="J1528" s="52">
        <v>3834.68</v>
      </c>
      <c r="K1528" s="67">
        <f t="shared" si="96"/>
        <v>48351.588163509143</v>
      </c>
      <c r="L1528" s="95">
        <f>+VLOOKUP(E1528,MARGEN!A:B,2,FALSE)</f>
        <v>0.1</v>
      </c>
      <c r="M1528" s="112">
        <f t="shared" si="93"/>
        <v>4835.1588163509141</v>
      </c>
      <c r="N1528" s="113">
        <f t="shared" si="94"/>
        <v>193.40635265403657</v>
      </c>
      <c r="O1528" s="113">
        <f t="shared" si="95"/>
        <v>43323.022994504194</v>
      </c>
    </row>
    <row r="1529" spans="1:15" x14ac:dyDescent="0.25">
      <c r="A1529" s="43">
        <v>44465</v>
      </c>
      <c r="B1529" s="51">
        <v>1847</v>
      </c>
      <c r="C1529" s="66" t="s">
        <v>270</v>
      </c>
      <c r="D1529" s="66" t="s">
        <v>491</v>
      </c>
      <c r="E1529" t="s">
        <v>45</v>
      </c>
      <c r="F1529" s="50" t="s">
        <v>566</v>
      </c>
      <c r="G1529" s="50" t="s">
        <v>574</v>
      </c>
      <c r="H1529" s="50">
        <v>2</v>
      </c>
      <c r="I1529" s="100">
        <v>6.7391919697301583</v>
      </c>
      <c r="J1529" s="52">
        <v>3834.68</v>
      </c>
      <c r="K1529" s="67">
        <f t="shared" si="96"/>
        <v>47731.364691609502</v>
      </c>
      <c r="L1529" s="95">
        <f>+VLOOKUP(E1529,MARGEN!A:B,2,FALSE)</f>
        <v>0.1</v>
      </c>
      <c r="M1529" s="112">
        <f t="shared" si="93"/>
        <v>4773.1364691609506</v>
      </c>
      <c r="N1529" s="113">
        <f t="shared" si="94"/>
        <v>190.925458766438</v>
      </c>
      <c r="O1529" s="113">
        <f t="shared" si="95"/>
        <v>42767.302763682113</v>
      </c>
    </row>
    <row r="1530" spans="1:15" x14ac:dyDescent="0.25">
      <c r="A1530" s="43">
        <v>44465</v>
      </c>
      <c r="B1530" s="51">
        <v>1679</v>
      </c>
      <c r="C1530" s="66" t="s">
        <v>190</v>
      </c>
      <c r="D1530" s="66" t="s">
        <v>356</v>
      </c>
      <c r="E1530" t="s">
        <v>45</v>
      </c>
      <c r="F1530" s="50" t="s">
        <v>573</v>
      </c>
      <c r="G1530" s="50" t="s">
        <v>574</v>
      </c>
      <c r="H1530" s="50">
        <v>2</v>
      </c>
      <c r="I1530" s="100">
        <v>6.7391919697301583</v>
      </c>
      <c r="J1530" s="52">
        <v>3834.68</v>
      </c>
      <c r="K1530" s="67">
        <f t="shared" si="96"/>
        <v>43389.800388312047</v>
      </c>
      <c r="L1530" s="95">
        <f>+VLOOKUP(E1530,MARGEN!A:B,2,FALSE)</f>
        <v>0.1</v>
      </c>
      <c r="M1530" s="112">
        <f t="shared" si="93"/>
        <v>4338.9800388312051</v>
      </c>
      <c r="N1530" s="113">
        <f t="shared" si="94"/>
        <v>173.55920155324819</v>
      </c>
      <c r="O1530" s="113">
        <f t="shared" si="95"/>
        <v>38877.261147927595</v>
      </c>
    </row>
    <row r="1531" spans="1:15" x14ac:dyDescent="0.25">
      <c r="A1531" s="43">
        <v>44465</v>
      </c>
      <c r="B1531" s="51">
        <v>1535</v>
      </c>
      <c r="C1531" s="66" t="s">
        <v>273</v>
      </c>
      <c r="D1531" s="66" t="s">
        <v>515</v>
      </c>
      <c r="E1531" t="s">
        <v>45</v>
      </c>
      <c r="F1531" s="50" t="s">
        <v>573</v>
      </c>
      <c r="G1531" s="50" t="s">
        <v>574</v>
      </c>
      <c r="H1531" s="50">
        <v>2</v>
      </c>
      <c r="I1531" s="100">
        <v>6.7391919697301583</v>
      </c>
      <c r="J1531" s="52">
        <v>3834.68</v>
      </c>
      <c r="K1531" s="67">
        <f t="shared" si="96"/>
        <v>39668.459556914233</v>
      </c>
      <c r="L1531" s="95">
        <f>+VLOOKUP(E1531,MARGEN!A:B,2,FALSE)</f>
        <v>0.1</v>
      </c>
      <c r="M1531" s="112">
        <f t="shared" si="93"/>
        <v>3966.8459556914236</v>
      </c>
      <c r="N1531" s="113">
        <f t="shared" si="94"/>
        <v>158.67383822765694</v>
      </c>
      <c r="O1531" s="113">
        <f t="shared" si="95"/>
        <v>35542.939762995149</v>
      </c>
    </row>
    <row r="1532" spans="1:15" x14ac:dyDescent="0.25">
      <c r="A1532" s="43">
        <v>44465</v>
      </c>
      <c r="B1532" s="51">
        <v>1487</v>
      </c>
      <c r="C1532" s="66" t="s">
        <v>207</v>
      </c>
      <c r="D1532" s="66" t="s">
        <v>322</v>
      </c>
      <c r="E1532" t="s">
        <v>45</v>
      </c>
      <c r="F1532" s="50" t="s">
        <v>566</v>
      </c>
      <c r="G1532" s="50" t="s">
        <v>574</v>
      </c>
      <c r="H1532" s="50">
        <v>2</v>
      </c>
      <c r="I1532" s="100">
        <v>6.7391919697301583</v>
      </c>
      <c r="J1532" s="52">
        <v>3834.68</v>
      </c>
      <c r="K1532" s="67">
        <f t="shared" si="96"/>
        <v>38428.012613114959</v>
      </c>
      <c r="L1532" s="95">
        <f>+VLOOKUP(E1532,MARGEN!A:B,2,FALSE)</f>
        <v>0.1</v>
      </c>
      <c r="M1532" s="112">
        <f t="shared" si="93"/>
        <v>3842.8012613114961</v>
      </c>
      <c r="N1532" s="113">
        <f t="shared" si="94"/>
        <v>153.71205045245983</v>
      </c>
      <c r="O1532" s="113">
        <f t="shared" si="95"/>
        <v>34431.499301351003</v>
      </c>
    </row>
    <row r="1533" spans="1:15" x14ac:dyDescent="0.25">
      <c r="A1533" s="43">
        <v>44465</v>
      </c>
      <c r="B1533" s="51">
        <v>1439</v>
      </c>
      <c r="C1533" s="66" t="s">
        <v>250</v>
      </c>
      <c r="D1533" s="66" t="s">
        <v>333</v>
      </c>
      <c r="E1533" t="s">
        <v>45</v>
      </c>
      <c r="F1533" s="50" t="s">
        <v>566</v>
      </c>
      <c r="G1533" s="50" t="s">
        <v>574</v>
      </c>
      <c r="H1533" s="50">
        <v>2</v>
      </c>
      <c r="I1533" s="100">
        <v>6.7391919697301583</v>
      </c>
      <c r="J1533" s="52">
        <v>3834.68</v>
      </c>
      <c r="K1533" s="67">
        <f t="shared" si="96"/>
        <v>37187.565669315685</v>
      </c>
      <c r="L1533" s="95">
        <f>+VLOOKUP(E1533,MARGEN!A:B,2,FALSE)</f>
        <v>0.1</v>
      </c>
      <c r="M1533" s="112">
        <f t="shared" si="93"/>
        <v>3718.7565669315686</v>
      </c>
      <c r="N1533" s="113">
        <f t="shared" si="94"/>
        <v>148.75026267726275</v>
      </c>
      <c r="O1533" s="113">
        <f t="shared" si="95"/>
        <v>33320.058839706857</v>
      </c>
    </row>
    <row r="1534" spans="1:15" x14ac:dyDescent="0.25">
      <c r="A1534" s="43">
        <v>44465</v>
      </c>
      <c r="B1534" s="51">
        <v>1391</v>
      </c>
      <c r="C1534" s="66" t="s">
        <v>107</v>
      </c>
      <c r="D1534" s="66" t="s">
        <v>346</v>
      </c>
      <c r="E1534" t="s">
        <v>45</v>
      </c>
      <c r="F1534" s="50" t="s">
        <v>573</v>
      </c>
      <c r="G1534" s="50" t="s">
        <v>574</v>
      </c>
      <c r="H1534" s="50">
        <v>2</v>
      </c>
      <c r="I1534" s="100">
        <v>6.7391919697301583</v>
      </c>
      <c r="J1534" s="52">
        <v>3834.68</v>
      </c>
      <c r="K1534" s="67">
        <f t="shared" si="96"/>
        <v>35947.118725516419</v>
      </c>
      <c r="L1534" s="95">
        <f>+VLOOKUP(E1534,MARGEN!A:B,2,FALSE)</f>
        <v>0.1</v>
      </c>
      <c r="M1534" s="112">
        <f t="shared" si="93"/>
        <v>3594.711872551642</v>
      </c>
      <c r="N1534" s="113">
        <f t="shared" si="94"/>
        <v>143.78847490206567</v>
      </c>
      <c r="O1534" s="113">
        <f t="shared" si="95"/>
        <v>32208.618378062711</v>
      </c>
    </row>
    <row r="1535" spans="1:15" x14ac:dyDescent="0.25">
      <c r="A1535" s="13">
        <v>44465</v>
      </c>
      <c r="B1535" s="97">
        <v>1295</v>
      </c>
      <c r="C1535" t="s">
        <v>106</v>
      </c>
      <c r="D1535" t="s">
        <v>349</v>
      </c>
      <c r="E1535" t="s">
        <v>45</v>
      </c>
      <c r="F1535" t="s">
        <v>566</v>
      </c>
      <c r="G1535" s="50" t="s">
        <v>574</v>
      </c>
      <c r="H1535" s="50">
        <v>2</v>
      </c>
      <c r="I1535" s="100">
        <v>6.7391919697301583</v>
      </c>
      <c r="J1535" s="52">
        <v>3834.68</v>
      </c>
      <c r="K1535" s="67">
        <f t="shared" si="96"/>
        <v>33466.224837917871</v>
      </c>
      <c r="L1535" s="95">
        <f>+VLOOKUP(E1535,MARGEN!A:B,2,FALSE)</f>
        <v>0.1</v>
      </c>
      <c r="M1535" s="112">
        <f t="shared" si="93"/>
        <v>3346.6224837917871</v>
      </c>
      <c r="N1535" s="113">
        <f t="shared" si="94"/>
        <v>133.86489935167148</v>
      </c>
      <c r="O1535" s="113">
        <f t="shared" si="95"/>
        <v>29985.737454774411</v>
      </c>
    </row>
    <row r="1536" spans="1:15" x14ac:dyDescent="0.25">
      <c r="A1536" s="43">
        <v>44465</v>
      </c>
      <c r="B1536" s="51">
        <v>1127</v>
      </c>
      <c r="C1536" s="66" t="s">
        <v>274</v>
      </c>
      <c r="D1536" s="66" t="s">
        <v>517</v>
      </c>
      <c r="E1536" t="s">
        <v>45</v>
      </c>
      <c r="F1536" s="50" t="s">
        <v>566</v>
      </c>
      <c r="G1536" s="50" t="s">
        <v>574</v>
      </c>
      <c r="H1536" s="50">
        <v>2</v>
      </c>
      <c r="I1536" s="100">
        <v>6.7391919697301583</v>
      </c>
      <c r="J1536" s="52">
        <v>3834.68</v>
      </c>
      <c r="K1536" s="67">
        <f t="shared" si="96"/>
        <v>29124.660534620416</v>
      </c>
      <c r="L1536" s="95">
        <f>+VLOOKUP(E1536,MARGEN!A:B,2,FALSE)</f>
        <v>0.1</v>
      </c>
      <c r="M1536" s="112">
        <f t="shared" si="93"/>
        <v>2912.4660534620416</v>
      </c>
      <c r="N1536" s="113">
        <f t="shared" si="94"/>
        <v>116.49864213848167</v>
      </c>
      <c r="O1536" s="113">
        <f t="shared" si="95"/>
        <v>26095.695839019892</v>
      </c>
    </row>
    <row r="1537" spans="1:15" x14ac:dyDescent="0.25">
      <c r="A1537" s="43">
        <v>44466</v>
      </c>
      <c r="B1537" s="51">
        <v>16343</v>
      </c>
      <c r="C1537" s="66" t="s">
        <v>78</v>
      </c>
      <c r="D1537" s="66" t="s">
        <v>412</v>
      </c>
      <c r="E1537" t="s">
        <v>45</v>
      </c>
      <c r="F1537" s="50" t="s">
        <v>573</v>
      </c>
      <c r="G1537" s="50" t="s">
        <v>574</v>
      </c>
      <c r="H1537" s="50">
        <v>2</v>
      </c>
      <c r="I1537" s="100">
        <v>6.7391919697301583</v>
      </c>
      <c r="J1537" s="52">
        <v>3834.68</v>
      </c>
      <c r="K1537" s="67">
        <f t="shared" si="96"/>
        <v>422346.34171898977</v>
      </c>
      <c r="L1537" s="95">
        <f>+VLOOKUP(E1537,MARGEN!A:B,2,FALSE)</f>
        <v>0.1</v>
      </c>
      <c r="M1537" s="112">
        <f t="shared" si="93"/>
        <v>42234.634171898979</v>
      </c>
      <c r="N1537" s="113">
        <f t="shared" si="94"/>
        <v>1689.3853668759591</v>
      </c>
      <c r="O1537" s="113">
        <f t="shared" si="95"/>
        <v>378422.3221802148</v>
      </c>
    </row>
    <row r="1538" spans="1:15" x14ac:dyDescent="0.25">
      <c r="A1538" s="43">
        <v>44466</v>
      </c>
      <c r="B1538" s="51">
        <v>12815</v>
      </c>
      <c r="C1538" s="66" t="s">
        <v>73</v>
      </c>
      <c r="D1538" s="66" t="s">
        <v>338</v>
      </c>
      <c r="E1538" t="s">
        <v>45</v>
      </c>
      <c r="F1538" s="50" t="s">
        <v>573</v>
      </c>
      <c r="G1538" s="50" t="s">
        <v>574</v>
      </c>
      <c r="H1538" s="50">
        <v>2</v>
      </c>
      <c r="I1538" s="100">
        <v>6.7391919697301583</v>
      </c>
      <c r="J1538" s="52">
        <v>3834.68</v>
      </c>
      <c r="K1538" s="67">
        <f t="shared" si="96"/>
        <v>331173.49134974327</v>
      </c>
      <c r="L1538" s="95">
        <f>+VLOOKUP(E1538,MARGEN!A:B,2,FALSE)</f>
        <v>0.1</v>
      </c>
      <c r="M1538" s="112">
        <f t="shared" si="93"/>
        <v>33117.349134974327</v>
      </c>
      <c r="N1538" s="113">
        <f t="shared" si="94"/>
        <v>1324.693965398973</v>
      </c>
      <c r="O1538" s="113">
        <f t="shared" si="95"/>
        <v>296731.44824936992</v>
      </c>
    </row>
    <row r="1539" spans="1:15" x14ac:dyDescent="0.25">
      <c r="A1539" s="43">
        <v>44466</v>
      </c>
      <c r="B1539" s="51">
        <v>9935</v>
      </c>
      <c r="C1539" s="66" t="s">
        <v>95</v>
      </c>
      <c r="D1539" s="66" t="s">
        <v>510</v>
      </c>
      <c r="E1539" t="s">
        <v>45</v>
      </c>
      <c r="F1539" s="50" t="s">
        <v>573</v>
      </c>
      <c r="G1539" s="50" t="s">
        <v>574</v>
      </c>
      <c r="H1539" s="50">
        <v>2</v>
      </c>
      <c r="I1539" s="100">
        <v>6.7391919697301583</v>
      </c>
      <c r="J1539" s="52">
        <v>3834.68</v>
      </c>
      <c r="K1539" s="67">
        <f t="shared" si="96"/>
        <v>256746.6747217869</v>
      </c>
      <c r="L1539" s="95">
        <f>+VLOOKUP(E1539,MARGEN!A:B,2,FALSE)</f>
        <v>0.1</v>
      </c>
      <c r="M1539" s="112">
        <f t="shared" ref="M1539:M1602" si="97">+K1539*L1539</f>
        <v>25674.667472178691</v>
      </c>
      <c r="N1539" s="113">
        <f t="shared" ref="N1539:N1602" si="98">+K1539*4/1000</f>
        <v>1026.9866988871477</v>
      </c>
      <c r="O1539" s="113">
        <f t="shared" ref="O1539:O1602" si="99">+K1539-M1539-N1539</f>
        <v>230045.02055072106</v>
      </c>
    </row>
    <row r="1540" spans="1:15" x14ac:dyDescent="0.25">
      <c r="A1540" s="43">
        <v>44466</v>
      </c>
      <c r="B1540" s="51">
        <v>8255</v>
      </c>
      <c r="C1540" s="66" t="s">
        <v>191</v>
      </c>
      <c r="D1540" s="66" t="s">
        <v>354</v>
      </c>
      <c r="E1540" t="s">
        <v>45</v>
      </c>
      <c r="F1540" s="50" t="s">
        <v>573</v>
      </c>
      <c r="G1540" s="50" t="s">
        <v>574</v>
      </c>
      <c r="H1540" s="50">
        <v>2</v>
      </c>
      <c r="I1540" s="100">
        <v>6.7391919697301583</v>
      </c>
      <c r="J1540" s="52">
        <v>3834.68</v>
      </c>
      <c r="K1540" s="67">
        <f t="shared" si="96"/>
        <v>213331.03168881236</v>
      </c>
      <c r="L1540" s="95">
        <f>+VLOOKUP(E1540,MARGEN!A:B,2,FALSE)</f>
        <v>0.1</v>
      </c>
      <c r="M1540" s="112">
        <f t="shared" si="97"/>
        <v>21333.103168881236</v>
      </c>
      <c r="N1540" s="113">
        <f t="shared" si="98"/>
        <v>853.32412675524949</v>
      </c>
      <c r="O1540" s="113">
        <f t="shared" si="99"/>
        <v>191144.60439317589</v>
      </c>
    </row>
    <row r="1541" spans="1:15" x14ac:dyDescent="0.25">
      <c r="A1541" s="43">
        <v>44466</v>
      </c>
      <c r="B1541" s="51">
        <v>8230</v>
      </c>
      <c r="C1541" s="66" t="s">
        <v>90</v>
      </c>
      <c r="D1541" s="66" t="s">
        <v>350</v>
      </c>
      <c r="E1541" t="s">
        <v>45</v>
      </c>
      <c r="F1541" s="50" t="s">
        <v>558</v>
      </c>
      <c r="G1541" s="50" t="s">
        <v>574</v>
      </c>
      <c r="H1541" s="50">
        <v>2</v>
      </c>
      <c r="I1541" s="100">
        <v>6.7391919697301583</v>
      </c>
      <c r="J1541" s="52">
        <v>3834.68</v>
      </c>
      <c r="K1541" s="67">
        <f t="shared" si="96"/>
        <v>212684.96557225028</v>
      </c>
      <c r="L1541" s="95">
        <f>+VLOOKUP(E1541,MARGEN!A:B,2,FALSE)</f>
        <v>0.1</v>
      </c>
      <c r="M1541" s="112">
        <f t="shared" si="97"/>
        <v>21268.496557225029</v>
      </c>
      <c r="N1541" s="113">
        <f t="shared" si="98"/>
        <v>850.73986228900117</v>
      </c>
      <c r="O1541" s="113">
        <f t="shared" si="99"/>
        <v>190565.72915273625</v>
      </c>
    </row>
    <row r="1542" spans="1:15" x14ac:dyDescent="0.25">
      <c r="A1542" s="43">
        <v>44466</v>
      </c>
      <c r="B1542" s="51">
        <v>7607</v>
      </c>
      <c r="C1542" s="66" t="s">
        <v>248</v>
      </c>
      <c r="D1542" s="66" t="s">
        <v>385</v>
      </c>
      <c r="E1542" t="s">
        <v>45</v>
      </c>
      <c r="F1542" s="50" t="s">
        <v>573</v>
      </c>
      <c r="G1542" s="50" t="s">
        <v>574</v>
      </c>
      <c r="H1542" s="50">
        <v>2</v>
      </c>
      <c r="I1542" s="100">
        <v>6.7391919697301583</v>
      </c>
      <c r="J1542" s="52">
        <v>3834.68</v>
      </c>
      <c r="K1542" s="67">
        <f t="shared" si="96"/>
        <v>196584.99794752221</v>
      </c>
      <c r="L1542" s="95">
        <f>+VLOOKUP(E1542,MARGEN!A:B,2,FALSE)</f>
        <v>0.1</v>
      </c>
      <c r="M1542" s="112">
        <f t="shared" si="97"/>
        <v>19658.499794752221</v>
      </c>
      <c r="N1542" s="113">
        <f t="shared" si="98"/>
        <v>786.33999179008879</v>
      </c>
      <c r="O1542" s="113">
        <f t="shared" si="99"/>
        <v>176140.15816097989</v>
      </c>
    </row>
    <row r="1543" spans="1:15" x14ac:dyDescent="0.25">
      <c r="A1543" s="43">
        <v>44466</v>
      </c>
      <c r="B1543" s="51">
        <v>7535</v>
      </c>
      <c r="C1543" s="66" t="s">
        <v>179</v>
      </c>
      <c r="D1543" s="66" t="s">
        <v>361</v>
      </c>
      <c r="E1543" t="s">
        <v>45</v>
      </c>
      <c r="F1543" s="50" t="s">
        <v>573</v>
      </c>
      <c r="G1543" s="50" t="s">
        <v>574</v>
      </c>
      <c r="H1543" s="50">
        <v>2</v>
      </c>
      <c r="I1543" s="100">
        <v>6.7391919697301583</v>
      </c>
      <c r="J1543" s="52">
        <v>3834.68</v>
      </c>
      <c r="K1543" s="67">
        <f t="shared" si="96"/>
        <v>194724.32753182328</v>
      </c>
      <c r="L1543" s="95">
        <f>+VLOOKUP(E1543,MARGEN!A:B,2,FALSE)</f>
        <v>0.1</v>
      </c>
      <c r="M1543" s="112">
        <f t="shared" si="97"/>
        <v>19472.432753182329</v>
      </c>
      <c r="N1543" s="113">
        <f t="shared" si="98"/>
        <v>778.89731012729305</v>
      </c>
      <c r="O1543" s="113">
        <f t="shared" si="99"/>
        <v>174472.99746851364</v>
      </c>
    </row>
    <row r="1544" spans="1:15" x14ac:dyDescent="0.25">
      <c r="A1544" s="43">
        <v>44466</v>
      </c>
      <c r="B1544" s="51">
        <v>5639</v>
      </c>
      <c r="C1544" s="66" t="s">
        <v>275</v>
      </c>
      <c r="D1544" s="66" t="s">
        <v>519</v>
      </c>
      <c r="E1544" t="s">
        <v>45</v>
      </c>
      <c r="F1544" s="50" t="s">
        <v>573</v>
      </c>
      <c r="G1544" s="50" t="s">
        <v>574</v>
      </c>
      <c r="H1544" s="50">
        <v>2</v>
      </c>
      <c r="I1544" s="100">
        <v>6.7391919697301583</v>
      </c>
      <c r="J1544" s="52">
        <v>3834.68</v>
      </c>
      <c r="K1544" s="67">
        <f t="shared" si="96"/>
        <v>145726.67325175201</v>
      </c>
      <c r="L1544" s="95">
        <f>+VLOOKUP(E1544,MARGEN!A:B,2,FALSE)</f>
        <v>0.1</v>
      </c>
      <c r="M1544" s="112">
        <f t="shared" si="97"/>
        <v>14572.667325175202</v>
      </c>
      <c r="N1544" s="113">
        <f t="shared" si="98"/>
        <v>582.90669300700802</v>
      </c>
      <c r="O1544" s="113">
        <f t="shared" si="99"/>
        <v>130571.09923356981</v>
      </c>
    </row>
    <row r="1545" spans="1:15" x14ac:dyDescent="0.25">
      <c r="A1545" s="43">
        <v>44466</v>
      </c>
      <c r="B1545" s="51">
        <v>5543</v>
      </c>
      <c r="C1545" s="66" t="s">
        <v>116</v>
      </c>
      <c r="D1545" s="66" t="s">
        <v>330</v>
      </c>
      <c r="E1545" t="s">
        <v>45</v>
      </c>
      <c r="F1545" s="50" t="s">
        <v>573</v>
      </c>
      <c r="G1545" s="50" t="s">
        <v>574</v>
      </c>
      <c r="H1545" s="50">
        <v>2</v>
      </c>
      <c r="I1545" s="100">
        <v>6.7391919697301583</v>
      </c>
      <c r="J1545" s="52">
        <v>3834.68</v>
      </c>
      <c r="K1545" s="67">
        <f t="shared" ref="K1545:K1608" si="100">+B1545*I1545*J1545/1000</f>
        <v>143245.77936415351</v>
      </c>
      <c r="L1545" s="95">
        <f>+VLOOKUP(E1545,MARGEN!A:B,2,FALSE)</f>
        <v>0.1</v>
      </c>
      <c r="M1545" s="112">
        <f t="shared" si="97"/>
        <v>14324.577936415351</v>
      </c>
      <c r="N1545" s="113">
        <f t="shared" si="98"/>
        <v>572.98311745661408</v>
      </c>
      <c r="O1545" s="113">
        <f t="shared" si="99"/>
        <v>128348.21831028153</v>
      </c>
    </row>
    <row r="1546" spans="1:15" x14ac:dyDescent="0.25">
      <c r="A1546" s="43">
        <v>44466</v>
      </c>
      <c r="B1546" s="51">
        <v>4535</v>
      </c>
      <c r="C1546" s="66" t="s">
        <v>76</v>
      </c>
      <c r="D1546" s="66" t="s">
        <v>332</v>
      </c>
      <c r="E1546" t="s">
        <v>45</v>
      </c>
      <c r="F1546" s="50" t="s">
        <v>573</v>
      </c>
      <c r="G1546" s="50" t="s">
        <v>574</v>
      </c>
      <c r="H1546" s="50">
        <v>2</v>
      </c>
      <c r="I1546" s="100">
        <v>6.7391919697301583</v>
      </c>
      <c r="J1546" s="52">
        <v>3834.68</v>
      </c>
      <c r="K1546" s="67">
        <f t="shared" si="100"/>
        <v>117196.39354436877</v>
      </c>
      <c r="L1546" s="95">
        <f>+VLOOKUP(E1546,MARGEN!A:B,2,FALSE)</f>
        <v>0.1</v>
      </c>
      <c r="M1546" s="112">
        <f t="shared" si="97"/>
        <v>11719.639354436877</v>
      </c>
      <c r="N1546" s="113">
        <f t="shared" si="98"/>
        <v>468.78557417747504</v>
      </c>
      <c r="O1546" s="113">
        <f t="shared" si="99"/>
        <v>105007.96861575442</v>
      </c>
    </row>
    <row r="1547" spans="1:15" x14ac:dyDescent="0.25">
      <c r="A1547" s="43">
        <v>44466</v>
      </c>
      <c r="B1547" s="51">
        <v>4319</v>
      </c>
      <c r="C1547" s="66" t="s">
        <v>91</v>
      </c>
      <c r="D1547" s="66" t="s">
        <v>340</v>
      </c>
      <c r="E1547" t="s">
        <v>45</v>
      </c>
      <c r="F1547" s="50" t="s">
        <v>573</v>
      </c>
      <c r="G1547" s="50" t="s">
        <v>574</v>
      </c>
      <c r="H1547" s="50">
        <v>2</v>
      </c>
      <c r="I1547" s="100">
        <v>6.7391919697301583</v>
      </c>
      <c r="J1547" s="52">
        <v>3834.68</v>
      </c>
      <c r="K1547" s="67">
        <f t="shared" si="100"/>
        <v>111614.38229727202</v>
      </c>
      <c r="L1547" s="95">
        <f>+VLOOKUP(E1547,MARGEN!A:B,2,FALSE)</f>
        <v>0.1</v>
      </c>
      <c r="M1547" s="112">
        <f t="shared" si="97"/>
        <v>11161.438229727202</v>
      </c>
      <c r="N1547" s="113">
        <f t="shared" si="98"/>
        <v>446.45752918908806</v>
      </c>
      <c r="O1547" s="113">
        <f t="shared" si="99"/>
        <v>100006.48653835573</v>
      </c>
    </row>
    <row r="1548" spans="1:15" x14ac:dyDescent="0.25">
      <c r="A1548" s="43">
        <v>44466</v>
      </c>
      <c r="B1548" s="51">
        <v>4319</v>
      </c>
      <c r="C1548" s="66" t="s">
        <v>197</v>
      </c>
      <c r="D1548" s="66" t="s">
        <v>358</v>
      </c>
      <c r="E1548" t="s">
        <v>45</v>
      </c>
      <c r="F1548" s="50" t="s">
        <v>558</v>
      </c>
      <c r="G1548" s="50" t="s">
        <v>574</v>
      </c>
      <c r="H1548" s="50">
        <v>2</v>
      </c>
      <c r="I1548" s="100">
        <v>6.7391919697301583</v>
      </c>
      <c r="J1548" s="52">
        <v>3834.68</v>
      </c>
      <c r="K1548" s="67">
        <f t="shared" si="100"/>
        <v>111614.38229727202</v>
      </c>
      <c r="L1548" s="95">
        <f>+VLOOKUP(E1548,MARGEN!A:B,2,FALSE)</f>
        <v>0.1</v>
      </c>
      <c r="M1548" s="112">
        <f t="shared" si="97"/>
        <v>11161.438229727202</v>
      </c>
      <c r="N1548" s="113">
        <f t="shared" si="98"/>
        <v>446.45752918908806</v>
      </c>
      <c r="O1548" s="113">
        <f t="shared" si="99"/>
        <v>100006.48653835573</v>
      </c>
    </row>
    <row r="1549" spans="1:15" x14ac:dyDescent="0.25">
      <c r="A1549" s="43">
        <v>44466</v>
      </c>
      <c r="B1549" s="51">
        <v>4175</v>
      </c>
      <c r="C1549" s="66" t="s">
        <v>276</v>
      </c>
      <c r="D1549" s="66" t="s">
        <v>512</v>
      </c>
      <c r="E1549" t="s">
        <v>45</v>
      </c>
      <c r="F1549" s="50" t="s">
        <v>573</v>
      </c>
      <c r="G1549" s="50" t="s">
        <v>574</v>
      </c>
      <c r="H1549" s="50">
        <v>2</v>
      </c>
      <c r="I1549" s="100">
        <v>6.7391919697301583</v>
      </c>
      <c r="J1549" s="52">
        <v>3834.68</v>
      </c>
      <c r="K1549" s="67">
        <f t="shared" si="100"/>
        <v>107893.04146587422</v>
      </c>
      <c r="L1549" s="95">
        <f>+VLOOKUP(E1549,MARGEN!A:B,2,FALSE)</f>
        <v>0.1</v>
      </c>
      <c r="M1549" s="112">
        <f t="shared" si="97"/>
        <v>10789.304146587423</v>
      </c>
      <c r="N1549" s="113">
        <f t="shared" si="98"/>
        <v>431.57216586349688</v>
      </c>
      <c r="O1549" s="113">
        <f t="shared" si="99"/>
        <v>96672.165153423295</v>
      </c>
    </row>
    <row r="1550" spans="1:15" x14ac:dyDescent="0.25">
      <c r="A1550" s="43">
        <v>44466</v>
      </c>
      <c r="B1550" s="51">
        <v>4127</v>
      </c>
      <c r="C1550" s="66" t="s">
        <v>235</v>
      </c>
      <c r="D1550" s="66" t="s">
        <v>339</v>
      </c>
      <c r="E1550" t="s">
        <v>45</v>
      </c>
      <c r="F1550" s="50" t="s">
        <v>573</v>
      </c>
      <c r="G1550" s="50" t="s">
        <v>574</v>
      </c>
      <c r="H1550" s="50">
        <v>2</v>
      </c>
      <c r="I1550" s="100">
        <v>6.7391919697301583</v>
      </c>
      <c r="J1550" s="52">
        <v>3834.68</v>
      </c>
      <c r="K1550" s="67">
        <f t="shared" si="100"/>
        <v>106652.59452207494</v>
      </c>
      <c r="L1550" s="95">
        <f>+VLOOKUP(E1550,MARGEN!A:B,2,FALSE)</f>
        <v>0.1</v>
      </c>
      <c r="M1550" s="112">
        <f t="shared" si="97"/>
        <v>10665.259452207494</v>
      </c>
      <c r="N1550" s="113">
        <f t="shared" si="98"/>
        <v>426.61037808829974</v>
      </c>
      <c r="O1550" s="113">
        <f t="shared" si="99"/>
        <v>95560.724691779149</v>
      </c>
    </row>
    <row r="1551" spans="1:15" x14ac:dyDescent="0.25">
      <c r="A1551" s="43">
        <v>44466</v>
      </c>
      <c r="B1551" s="51">
        <v>4103</v>
      </c>
      <c r="C1551" s="66" t="s">
        <v>234</v>
      </c>
      <c r="D1551" s="66" t="s">
        <v>331</v>
      </c>
      <c r="E1551" t="s">
        <v>45</v>
      </c>
      <c r="F1551" s="50" t="s">
        <v>573</v>
      </c>
      <c r="G1551" s="50" t="s">
        <v>574</v>
      </c>
      <c r="H1551" s="50">
        <v>2</v>
      </c>
      <c r="I1551" s="100">
        <v>6.7391919697301583</v>
      </c>
      <c r="J1551" s="52">
        <v>3834.68</v>
      </c>
      <c r="K1551" s="67">
        <f t="shared" si="100"/>
        <v>106032.37105017531</v>
      </c>
      <c r="L1551" s="95">
        <f>+VLOOKUP(E1551,MARGEN!A:B,2,FALSE)</f>
        <v>0.1</v>
      </c>
      <c r="M1551" s="112">
        <f t="shared" si="97"/>
        <v>10603.237105017532</v>
      </c>
      <c r="N1551" s="113">
        <f t="shared" si="98"/>
        <v>424.12948420070126</v>
      </c>
      <c r="O1551" s="113">
        <f t="shared" si="99"/>
        <v>95005.004460957076</v>
      </c>
    </row>
    <row r="1552" spans="1:15" x14ac:dyDescent="0.25">
      <c r="A1552" s="43">
        <v>44466</v>
      </c>
      <c r="B1552" s="51">
        <v>3911</v>
      </c>
      <c r="C1552" s="66" t="s">
        <v>71</v>
      </c>
      <c r="D1552" s="66" t="s">
        <v>337</v>
      </c>
      <c r="E1552" t="s">
        <v>45</v>
      </c>
      <c r="F1552" s="50" t="s">
        <v>573</v>
      </c>
      <c r="G1552" s="50" t="s">
        <v>574</v>
      </c>
      <c r="H1552" s="50">
        <v>2</v>
      </c>
      <c r="I1552" s="100">
        <v>6.7391919697301583</v>
      </c>
      <c r="J1552" s="52">
        <v>3834.68</v>
      </c>
      <c r="K1552" s="67">
        <f t="shared" si="100"/>
        <v>101070.58327497823</v>
      </c>
      <c r="L1552" s="95">
        <f>+VLOOKUP(E1552,MARGEN!A:B,2,FALSE)</f>
        <v>0.1</v>
      </c>
      <c r="M1552" s="112">
        <f t="shared" si="97"/>
        <v>10107.058327497823</v>
      </c>
      <c r="N1552" s="113">
        <f t="shared" si="98"/>
        <v>404.28233309991293</v>
      </c>
      <c r="O1552" s="113">
        <f t="shared" si="99"/>
        <v>90559.242614380491</v>
      </c>
    </row>
    <row r="1553" spans="1:15" x14ac:dyDescent="0.25">
      <c r="A1553" s="43">
        <v>44466</v>
      </c>
      <c r="B1553" s="51">
        <v>3527</v>
      </c>
      <c r="C1553" s="66" t="s">
        <v>269</v>
      </c>
      <c r="D1553" s="66" t="s">
        <v>520</v>
      </c>
      <c r="E1553" t="s">
        <v>45</v>
      </c>
      <c r="F1553" s="50" t="s">
        <v>558</v>
      </c>
      <c r="G1553" s="50" t="s">
        <v>574</v>
      </c>
      <c r="H1553" s="50">
        <v>2</v>
      </c>
      <c r="I1553" s="100">
        <v>6.7391919697301583</v>
      </c>
      <c r="J1553" s="52">
        <v>3834.68</v>
      </c>
      <c r="K1553" s="67">
        <f t="shared" si="100"/>
        <v>91147.007724584022</v>
      </c>
      <c r="L1553" s="95">
        <f>+VLOOKUP(E1553,MARGEN!A:B,2,FALSE)</f>
        <v>0.1</v>
      </c>
      <c r="M1553" s="112">
        <f t="shared" si="97"/>
        <v>9114.7007724584018</v>
      </c>
      <c r="N1553" s="113">
        <f t="shared" si="98"/>
        <v>364.58803089833611</v>
      </c>
      <c r="O1553" s="113">
        <f t="shared" si="99"/>
        <v>81667.718921227293</v>
      </c>
    </row>
    <row r="1554" spans="1:15" x14ac:dyDescent="0.25">
      <c r="A1554" s="43">
        <v>44466</v>
      </c>
      <c r="B1554" s="51">
        <v>3143</v>
      </c>
      <c r="C1554" s="66" t="s">
        <v>277</v>
      </c>
      <c r="D1554" s="66" t="s">
        <v>513</v>
      </c>
      <c r="E1554" t="s">
        <v>45</v>
      </c>
      <c r="F1554" s="50" t="s">
        <v>573</v>
      </c>
      <c r="G1554" s="50" t="s">
        <v>574</v>
      </c>
      <c r="H1554" s="50">
        <v>2</v>
      </c>
      <c r="I1554" s="100">
        <v>6.7391919697301583</v>
      </c>
      <c r="J1554" s="52">
        <v>3834.68</v>
      </c>
      <c r="K1554" s="67">
        <f t="shared" si="100"/>
        <v>81223.43217418986</v>
      </c>
      <c r="L1554" s="95">
        <f>+VLOOKUP(E1554,MARGEN!A:B,2,FALSE)</f>
        <v>0.1</v>
      </c>
      <c r="M1554" s="112">
        <f t="shared" si="97"/>
        <v>8122.3432174189866</v>
      </c>
      <c r="N1554" s="113">
        <f t="shared" si="98"/>
        <v>324.89372869675947</v>
      </c>
      <c r="O1554" s="113">
        <f t="shared" si="99"/>
        <v>72776.195228074124</v>
      </c>
    </row>
    <row r="1555" spans="1:15" x14ac:dyDescent="0.25">
      <c r="A1555" s="43">
        <v>44466</v>
      </c>
      <c r="B1555" s="51">
        <v>2879</v>
      </c>
      <c r="C1555" s="66" t="s">
        <v>139</v>
      </c>
      <c r="D1555" s="66" t="s">
        <v>327</v>
      </c>
      <c r="E1555" t="s">
        <v>45</v>
      </c>
      <c r="F1555" s="50" t="s">
        <v>573</v>
      </c>
      <c r="G1555" s="50" t="s">
        <v>574</v>
      </c>
      <c r="H1555" s="50">
        <v>2</v>
      </c>
      <c r="I1555" s="100">
        <v>6.7391919697301583</v>
      </c>
      <c r="J1555" s="52">
        <v>3834.68</v>
      </c>
      <c r="K1555" s="67">
        <f t="shared" si="100"/>
        <v>74400.973983293865</v>
      </c>
      <c r="L1555" s="95">
        <f>+VLOOKUP(E1555,MARGEN!A:B,2,FALSE)</f>
        <v>0.1</v>
      </c>
      <c r="M1555" s="112">
        <f t="shared" si="97"/>
        <v>7440.097398329387</v>
      </c>
      <c r="N1555" s="113">
        <f t="shared" si="98"/>
        <v>297.60389593317547</v>
      </c>
      <c r="O1555" s="113">
        <f t="shared" si="99"/>
        <v>66663.272689031306</v>
      </c>
    </row>
    <row r="1556" spans="1:15" x14ac:dyDescent="0.25">
      <c r="A1556" s="43">
        <v>44466</v>
      </c>
      <c r="B1556" s="51">
        <v>2855</v>
      </c>
      <c r="C1556" s="66" t="s">
        <v>268</v>
      </c>
      <c r="D1556" s="66" t="s">
        <v>514</v>
      </c>
      <c r="E1556" t="s">
        <v>45</v>
      </c>
      <c r="F1556" s="50" t="s">
        <v>573</v>
      </c>
      <c r="G1556" s="50" t="s">
        <v>574</v>
      </c>
      <c r="H1556" s="50">
        <v>2</v>
      </c>
      <c r="I1556" s="100">
        <v>6.7391919697301583</v>
      </c>
      <c r="J1556" s="52">
        <v>3834.68</v>
      </c>
      <c r="K1556" s="67">
        <f t="shared" si="100"/>
        <v>73780.750511394232</v>
      </c>
      <c r="L1556" s="95">
        <f>+VLOOKUP(E1556,MARGEN!A:B,2,FALSE)</f>
        <v>0.1</v>
      </c>
      <c r="M1556" s="112">
        <f t="shared" si="97"/>
        <v>7378.0750511394235</v>
      </c>
      <c r="N1556" s="113">
        <f t="shared" si="98"/>
        <v>295.12300204557692</v>
      </c>
      <c r="O1556" s="113">
        <f t="shared" si="99"/>
        <v>66107.552458209218</v>
      </c>
    </row>
    <row r="1557" spans="1:15" x14ac:dyDescent="0.25">
      <c r="A1557" s="43">
        <v>44466</v>
      </c>
      <c r="B1557" s="51">
        <v>2831</v>
      </c>
      <c r="C1557" s="66" t="s">
        <v>99</v>
      </c>
      <c r="D1557" s="66" t="s">
        <v>366</v>
      </c>
      <c r="E1557" t="s">
        <v>45</v>
      </c>
      <c r="F1557" s="50" t="s">
        <v>558</v>
      </c>
      <c r="G1557" s="50" t="s">
        <v>574</v>
      </c>
      <c r="H1557" s="50">
        <v>2</v>
      </c>
      <c r="I1557" s="100">
        <v>6.7391919697301583</v>
      </c>
      <c r="J1557" s="52">
        <v>3834.68</v>
      </c>
      <c r="K1557" s="67">
        <f t="shared" si="100"/>
        <v>73160.527039494584</v>
      </c>
      <c r="L1557" s="95">
        <f>+VLOOKUP(E1557,MARGEN!A:B,2,FALSE)</f>
        <v>0.1</v>
      </c>
      <c r="M1557" s="112">
        <f t="shared" si="97"/>
        <v>7316.0527039494591</v>
      </c>
      <c r="N1557" s="113">
        <f t="shared" si="98"/>
        <v>292.64210815797833</v>
      </c>
      <c r="O1557" s="113">
        <f t="shared" si="99"/>
        <v>65551.832227387145</v>
      </c>
    </row>
    <row r="1558" spans="1:15" x14ac:dyDescent="0.25">
      <c r="A1558" s="43">
        <v>44466</v>
      </c>
      <c r="B1558" s="51">
        <v>2807</v>
      </c>
      <c r="C1558" s="66" t="s">
        <v>178</v>
      </c>
      <c r="D1558" s="66" t="s">
        <v>370</v>
      </c>
      <c r="E1558" t="s">
        <v>45</v>
      </c>
      <c r="F1558" s="50" t="s">
        <v>573</v>
      </c>
      <c r="G1558" s="50" t="s">
        <v>574</v>
      </c>
      <c r="H1558" s="50">
        <v>2</v>
      </c>
      <c r="I1558" s="100">
        <v>6.7391919697301583</v>
      </c>
      <c r="J1558" s="52">
        <v>3834.68</v>
      </c>
      <c r="K1558" s="67">
        <f t="shared" si="100"/>
        <v>72540.303567594965</v>
      </c>
      <c r="L1558" s="95">
        <f>+VLOOKUP(E1558,MARGEN!A:B,2,FALSE)</f>
        <v>0.1</v>
      </c>
      <c r="M1558" s="112">
        <f t="shared" si="97"/>
        <v>7254.0303567594965</v>
      </c>
      <c r="N1558" s="113">
        <f t="shared" si="98"/>
        <v>290.16121427037984</v>
      </c>
      <c r="O1558" s="113">
        <f t="shared" si="99"/>
        <v>64996.111996565087</v>
      </c>
    </row>
    <row r="1559" spans="1:15" x14ac:dyDescent="0.25">
      <c r="A1559" s="43">
        <v>44466</v>
      </c>
      <c r="B1559" s="51">
        <v>2783</v>
      </c>
      <c r="C1559" s="66" t="s">
        <v>271</v>
      </c>
      <c r="D1559" s="66" t="s">
        <v>518</v>
      </c>
      <c r="E1559" t="s">
        <v>45</v>
      </c>
      <c r="F1559" s="50" t="s">
        <v>558</v>
      </c>
      <c r="G1559" s="50" t="s">
        <v>574</v>
      </c>
      <c r="H1559" s="50">
        <v>2</v>
      </c>
      <c r="I1559" s="100">
        <v>6.7391919697301583</v>
      </c>
      <c r="J1559" s="52">
        <v>3834.68</v>
      </c>
      <c r="K1559" s="67">
        <f t="shared" si="100"/>
        <v>71920.080095695317</v>
      </c>
      <c r="L1559" s="95">
        <f>+VLOOKUP(E1559,MARGEN!A:B,2,FALSE)</f>
        <v>0.1</v>
      </c>
      <c r="M1559" s="112">
        <f t="shared" si="97"/>
        <v>7192.0080095695321</v>
      </c>
      <c r="N1559" s="113">
        <f t="shared" si="98"/>
        <v>287.68032038278125</v>
      </c>
      <c r="O1559" s="113">
        <f t="shared" si="99"/>
        <v>64440.391765743007</v>
      </c>
    </row>
    <row r="1560" spans="1:15" x14ac:dyDescent="0.25">
      <c r="A1560" s="43">
        <v>44466</v>
      </c>
      <c r="B1560" s="51">
        <v>2663</v>
      </c>
      <c r="C1560" s="66" t="s">
        <v>138</v>
      </c>
      <c r="D1560" s="66" t="s">
        <v>321</v>
      </c>
      <c r="E1560" t="s">
        <v>45</v>
      </c>
      <c r="F1560" s="50" t="s">
        <v>573</v>
      </c>
      <c r="G1560" s="50" t="s">
        <v>574</v>
      </c>
      <c r="H1560" s="50">
        <v>2</v>
      </c>
      <c r="I1560" s="100">
        <v>6.7391919697301583</v>
      </c>
      <c r="J1560" s="52">
        <v>3834.68</v>
      </c>
      <c r="K1560" s="67">
        <f t="shared" si="100"/>
        <v>68818.962736197136</v>
      </c>
      <c r="L1560" s="95">
        <f>+VLOOKUP(E1560,MARGEN!A:B,2,FALSE)</f>
        <v>0.1</v>
      </c>
      <c r="M1560" s="112">
        <f t="shared" si="97"/>
        <v>6881.8962736197136</v>
      </c>
      <c r="N1560" s="113">
        <f t="shared" si="98"/>
        <v>275.27585094478854</v>
      </c>
      <c r="O1560" s="113">
        <f t="shared" si="99"/>
        <v>61661.790611632634</v>
      </c>
    </row>
    <row r="1561" spans="1:15" x14ac:dyDescent="0.25">
      <c r="A1561" s="43">
        <v>44466</v>
      </c>
      <c r="B1561" s="51">
        <v>2183</v>
      </c>
      <c r="C1561" s="66" t="s">
        <v>560</v>
      </c>
      <c r="D1561" s="66" t="s">
        <v>561</v>
      </c>
      <c r="E1561" t="s">
        <v>45</v>
      </c>
      <c r="F1561" s="50" t="s">
        <v>573</v>
      </c>
      <c r="G1561" s="50" t="s">
        <v>574</v>
      </c>
      <c r="H1561" s="50">
        <v>2</v>
      </c>
      <c r="I1561" s="100">
        <v>6.7391919697301583</v>
      </c>
      <c r="J1561" s="52">
        <v>3834.68</v>
      </c>
      <c r="K1561" s="67">
        <f t="shared" si="100"/>
        <v>56414.493298204405</v>
      </c>
      <c r="L1561" s="95">
        <f>+VLOOKUP(E1561,MARGEN!A:B,2,FALSE)</f>
        <v>0.1</v>
      </c>
      <c r="M1561" s="112">
        <f t="shared" si="97"/>
        <v>5641.4493298204407</v>
      </c>
      <c r="N1561" s="113">
        <f t="shared" si="98"/>
        <v>225.65797319281762</v>
      </c>
      <c r="O1561" s="113">
        <f t="shared" si="99"/>
        <v>50547.385995191151</v>
      </c>
    </row>
    <row r="1562" spans="1:15" x14ac:dyDescent="0.25">
      <c r="A1562" s="43">
        <v>44466</v>
      </c>
      <c r="B1562" s="51">
        <v>2159</v>
      </c>
      <c r="C1562" s="66" t="s">
        <v>93</v>
      </c>
      <c r="D1562" s="66" t="s">
        <v>353</v>
      </c>
      <c r="E1562" t="s">
        <v>45</v>
      </c>
      <c r="F1562" s="50" t="s">
        <v>558</v>
      </c>
      <c r="G1562" s="50" t="s">
        <v>574</v>
      </c>
      <c r="H1562" s="50">
        <v>2</v>
      </c>
      <c r="I1562" s="100">
        <v>6.7391919697301583</v>
      </c>
      <c r="J1562" s="52">
        <v>3834.68</v>
      </c>
      <c r="K1562" s="67">
        <f t="shared" si="100"/>
        <v>55794.269826304779</v>
      </c>
      <c r="L1562" s="95">
        <f>+VLOOKUP(E1562,MARGEN!A:B,2,FALSE)</f>
        <v>0.1</v>
      </c>
      <c r="M1562" s="112">
        <f t="shared" si="97"/>
        <v>5579.4269826304781</v>
      </c>
      <c r="N1562" s="113">
        <f t="shared" si="98"/>
        <v>223.17707930521911</v>
      </c>
      <c r="O1562" s="113">
        <f t="shared" si="99"/>
        <v>49991.665764369078</v>
      </c>
    </row>
    <row r="1563" spans="1:15" x14ac:dyDescent="0.25">
      <c r="A1563" s="43">
        <v>44466</v>
      </c>
      <c r="B1563" s="51">
        <v>2135</v>
      </c>
      <c r="C1563" s="66" t="s">
        <v>246</v>
      </c>
      <c r="D1563" s="66" t="s">
        <v>373</v>
      </c>
      <c r="E1563" t="s">
        <v>45</v>
      </c>
      <c r="F1563" s="50" t="s">
        <v>558</v>
      </c>
      <c r="G1563" s="50" t="s">
        <v>574</v>
      </c>
      <c r="H1563" s="50">
        <v>2</v>
      </c>
      <c r="I1563" s="100">
        <v>6.7391919697301583</v>
      </c>
      <c r="J1563" s="52">
        <v>3834.68</v>
      </c>
      <c r="K1563" s="67">
        <f t="shared" si="100"/>
        <v>55174.046354405145</v>
      </c>
      <c r="L1563" s="95">
        <f>+VLOOKUP(E1563,MARGEN!A:B,2,FALSE)</f>
        <v>0.1</v>
      </c>
      <c r="M1563" s="112">
        <f t="shared" si="97"/>
        <v>5517.4046354405145</v>
      </c>
      <c r="N1563" s="113">
        <f t="shared" si="98"/>
        <v>220.69618541762057</v>
      </c>
      <c r="O1563" s="113">
        <f t="shared" si="99"/>
        <v>49435.945533547012</v>
      </c>
    </row>
    <row r="1564" spans="1:15" x14ac:dyDescent="0.25">
      <c r="A1564" s="43">
        <v>44466</v>
      </c>
      <c r="B1564" s="51">
        <v>2087</v>
      </c>
      <c r="C1564" s="66" t="s">
        <v>103</v>
      </c>
      <c r="D1564" s="66" t="s">
        <v>342</v>
      </c>
      <c r="E1564" t="s">
        <v>45</v>
      </c>
      <c r="F1564" s="50" t="s">
        <v>573</v>
      </c>
      <c r="G1564" s="50" t="s">
        <v>574</v>
      </c>
      <c r="H1564" s="50">
        <v>2</v>
      </c>
      <c r="I1564" s="100">
        <v>6.7391919697301583</v>
      </c>
      <c r="J1564" s="52">
        <v>3834.68</v>
      </c>
      <c r="K1564" s="67">
        <f t="shared" si="100"/>
        <v>53933.599410605872</v>
      </c>
      <c r="L1564" s="95">
        <f>+VLOOKUP(E1564,MARGEN!A:B,2,FALSE)</f>
        <v>0.1</v>
      </c>
      <c r="M1564" s="112">
        <f t="shared" si="97"/>
        <v>5393.3599410605875</v>
      </c>
      <c r="N1564" s="113">
        <f t="shared" si="98"/>
        <v>215.73439764242349</v>
      </c>
      <c r="O1564" s="113">
        <f t="shared" si="99"/>
        <v>48324.505071902859</v>
      </c>
    </row>
    <row r="1565" spans="1:15" x14ac:dyDescent="0.25">
      <c r="A1565" s="43">
        <v>44466</v>
      </c>
      <c r="B1565" s="51">
        <v>1943</v>
      </c>
      <c r="C1565" s="66" t="s">
        <v>117</v>
      </c>
      <c r="D1565" s="66" t="s">
        <v>336</v>
      </c>
      <c r="E1565" t="s">
        <v>45</v>
      </c>
      <c r="F1565" s="50" t="s">
        <v>558</v>
      </c>
      <c r="G1565" s="50" t="s">
        <v>574</v>
      </c>
      <c r="H1565" s="50">
        <v>2</v>
      </c>
      <c r="I1565" s="100">
        <v>6.7391919697301583</v>
      </c>
      <c r="J1565" s="52">
        <v>3834.68</v>
      </c>
      <c r="K1565" s="67">
        <f t="shared" si="100"/>
        <v>50212.258579208043</v>
      </c>
      <c r="L1565" s="95">
        <f>+VLOOKUP(E1565,MARGEN!A:B,2,FALSE)</f>
        <v>0.1</v>
      </c>
      <c r="M1565" s="112">
        <f t="shared" si="97"/>
        <v>5021.2258579208046</v>
      </c>
      <c r="N1565" s="113">
        <f t="shared" si="98"/>
        <v>200.84903431683216</v>
      </c>
      <c r="O1565" s="113">
        <f t="shared" si="99"/>
        <v>44990.183686970406</v>
      </c>
    </row>
    <row r="1566" spans="1:15" x14ac:dyDescent="0.25">
      <c r="A1566" s="43">
        <v>44466</v>
      </c>
      <c r="B1566" s="51">
        <v>1871</v>
      </c>
      <c r="C1566" s="66" t="s">
        <v>198</v>
      </c>
      <c r="D1566" s="66" t="s">
        <v>326</v>
      </c>
      <c r="E1566" t="s">
        <v>45</v>
      </c>
      <c r="F1566" s="50" t="s">
        <v>573</v>
      </c>
      <c r="G1566" s="50" t="s">
        <v>574</v>
      </c>
      <c r="H1566" s="50">
        <v>2</v>
      </c>
      <c r="I1566" s="100">
        <v>6.7391919697301583</v>
      </c>
      <c r="J1566" s="52">
        <v>3834.68</v>
      </c>
      <c r="K1566" s="67">
        <f t="shared" si="100"/>
        <v>48351.588163509143</v>
      </c>
      <c r="L1566" s="95">
        <f>+VLOOKUP(E1566,MARGEN!A:B,2,FALSE)</f>
        <v>0.1</v>
      </c>
      <c r="M1566" s="112">
        <f t="shared" si="97"/>
        <v>4835.1588163509141</v>
      </c>
      <c r="N1566" s="113">
        <f t="shared" si="98"/>
        <v>193.40635265403657</v>
      </c>
      <c r="O1566" s="113">
        <f t="shared" si="99"/>
        <v>43323.022994504194</v>
      </c>
    </row>
    <row r="1567" spans="1:15" x14ac:dyDescent="0.25">
      <c r="A1567" s="43">
        <v>44466</v>
      </c>
      <c r="B1567" s="51">
        <v>1847</v>
      </c>
      <c r="C1567" s="66" t="s">
        <v>270</v>
      </c>
      <c r="D1567" s="66" t="s">
        <v>491</v>
      </c>
      <c r="E1567" t="s">
        <v>45</v>
      </c>
      <c r="F1567" s="50" t="s">
        <v>558</v>
      </c>
      <c r="G1567" s="50" t="s">
        <v>574</v>
      </c>
      <c r="H1567" s="50">
        <v>2</v>
      </c>
      <c r="I1567" s="100">
        <v>6.7391919697301583</v>
      </c>
      <c r="J1567" s="52">
        <v>3834.68</v>
      </c>
      <c r="K1567" s="67">
        <f t="shared" si="100"/>
        <v>47731.364691609502</v>
      </c>
      <c r="L1567" s="95">
        <f>+VLOOKUP(E1567,MARGEN!A:B,2,FALSE)</f>
        <v>0.1</v>
      </c>
      <c r="M1567" s="112">
        <f t="shared" si="97"/>
        <v>4773.1364691609506</v>
      </c>
      <c r="N1567" s="113">
        <f t="shared" si="98"/>
        <v>190.925458766438</v>
      </c>
      <c r="O1567" s="113">
        <f t="shared" si="99"/>
        <v>42767.302763682113</v>
      </c>
    </row>
    <row r="1568" spans="1:15" x14ac:dyDescent="0.25">
      <c r="A1568" s="43">
        <v>44466</v>
      </c>
      <c r="B1568" s="51">
        <v>1727</v>
      </c>
      <c r="C1568" s="66" t="s">
        <v>190</v>
      </c>
      <c r="D1568" s="66" t="s">
        <v>356</v>
      </c>
      <c r="E1568" t="s">
        <v>45</v>
      </c>
      <c r="F1568" s="50" t="s">
        <v>573</v>
      </c>
      <c r="G1568" s="50" t="s">
        <v>574</v>
      </c>
      <c r="H1568" s="50">
        <v>2</v>
      </c>
      <c r="I1568" s="100">
        <v>6.7391919697301583</v>
      </c>
      <c r="J1568" s="52">
        <v>3834.68</v>
      </c>
      <c r="K1568" s="67">
        <f t="shared" si="100"/>
        <v>44630.247332111321</v>
      </c>
      <c r="L1568" s="95">
        <f>+VLOOKUP(E1568,MARGEN!A:B,2,FALSE)</f>
        <v>0.1</v>
      </c>
      <c r="M1568" s="112">
        <f t="shared" si="97"/>
        <v>4463.0247332111321</v>
      </c>
      <c r="N1568" s="113">
        <f t="shared" si="98"/>
        <v>178.5209893284453</v>
      </c>
      <c r="O1568" s="113">
        <f t="shared" si="99"/>
        <v>39988.701609571741</v>
      </c>
    </row>
    <row r="1569" spans="1:15" x14ac:dyDescent="0.25">
      <c r="A1569" s="43">
        <v>44466</v>
      </c>
      <c r="B1569" s="51">
        <v>1535</v>
      </c>
      <c r="C1569" s="66" t="s">
        <v>207</v>
      </c>
      <c r="D1569" s="66" t="s">
        <v>322</v>
      </c>
      <c r="E1569" t="s">
        <v>45</v>
      </c>
      <c r="F1569" s="50" t="s">
        <v>558</v>
      </c>
      <c r="G1569" s="50" t="s">
        <v>574</v>
      </c>
      <c r="H1569" s="50">
        <v>2</v>
      </c>
      <c r="I1569" s="100">
        <v>6.7391919697301583</v>
      </c>
      <c r="J1569" s="52">
        <v>3834.68</v>
      </c>
      <c r="K1569" s="67">
        <f t="shared" si="100"/>
        <v>39668.459556914233</v>
      </c>
      <c r="L1569" s="95">
        <f>+VLOOKUP(E1569,MARGEN!A:B,2,FALSE)</f>
        <v>0.1</v>
      </c>
      <c r="M1569" s="112">
        <f t="shared" si="97"/>
        <v>3966.8459556914236</v>
      </c>
      <c r="N1569" s="113">
        <f t="shared" si="98"/>
        <v>158.67383822765694</v>
      </c>
      <c r="O1569" s="113">
        <f t="shared" si="99"/>
        <v>35542.939762995149</v>
      </c>
    </row>
    <row r="1570" spans="1:15" x14ac:dyDescent="0.25">
      <c r="A1570" s="43">
        <v>44466</v>
      </c>
      <c r="B1570" s="51">
        <v>1535</v>
      </c>
      <c r="C1570" s="66" t="s">
        <v>273</v>
      </c>
      <c r="D1570" s="66" t="s">
        <v>515</v>
      </c>
      <c r="E1570" t="s">
        <v>45</v>
      </c>
      <c r="F1570" s="50" t="s">
        <v>573</v>
      </c>
      <c r="G1570" s="50" t="s">
        <v>574</v>
      </c>
      <c r="H1570" s="50">
        <v>2</v>
      </c>
      <c r="I1570" s="100">
        <v>6.7391919697301583</v>
      </c>
      <c r="J1570" s="52">
        <v>3834.68</v>
      </c>
      <c r="K1570" s="67">
        <f t="shared" si="100"/>
        <v>39668.459556914233</v>
      </c>
      <c r="L1570" s="95">
        <f>+VLOOKUP(E1570,MARGEN!A:B,2,FALSE)</f>
        <v>0.1</v>
      </c>
      <c r="M1570" s="112">
        <f t="shared" si="97"/>
        <v>3966.8459556914236</v>
      </c>
      <c r="N1570" s="113">
        <f t="shared" si="98"/>
        <v>158.67383822765694</v>
      </c>
      <c r="O1570" s="113">
        <f t="shared" si="99"/>
        <v>35542.939762995149</v>
      </c>
    </row>
    <row r="1571" spans="1:15" x14ac:dyDescent="0.25">
      <c r="A1571" s="43">
        <v>44466</v>
      </c>
      <c r="B1571" s="51">
        <v>1487</v>
      </c>
      <c r="C1571" s="66" t="s">
        <v>250</v>
      </c>
      <c r="D1571" s="66" t="s">
        <v>333</v>
      </c>
      <c r="E1571" t="s">
        <v>45</v>
      </c>
      <c r="F1571" s="50" t="s">
        <v>558</v>
      </c>
      <c r="G1571" s="50" t="s">
        <v>574</v>
      </c>
      <c r="H1571" s="50">
        <v>2</v>
      </c>
      <c r="I1571" s="100">
        <v>6.7391919697301583</v>
      </c>
      <c r="J1571" s="52">
        <v>3834.68</v>
      </c>
      <c r="K1571" s="67">
        <f t="shared" si="100"/>
        <v>38428.012613114959</v>
      </c>
      <c r="L1571" s="95">
        <f>+VLOOKUP(E1571,MARGEN!A:B,2,FALSE)</f>
        <v>0.1</v>
      </c>
      <c r="M1571" s="112">
        <f t="shared" si="97"/>
        <v>3842.8012613114961</v>
      </c>
      <c r="N1571" s="113">
        <f t="shared" si="98"/>
        <v>153.71205045245983</v>
      </c>
      <c r="O1571" s="113">
        <f t="shared" si="99"/>
        <v>34431.499301351003</v>
      </c>
    </row>
    <row r="1572" spans="1:15" x14ac:dyDescent="0.25">
      <c r="A1572" s="43">
        <v>44466</v>
      </c>
      <c r="B1572" s="51">
        <v>1391</v>
      </c>
      <c r="C1572" s="66" t="s">
        <v>107</v>
      </c>
      <c r="D1572" s="66" t="s">
        <v>346</v>
      </c>
      <c r="E1572" t="s">
        <v>45</v>
      </c>
      <c r="F1572" s="50" t="s">
        <v>573</v>
      </c>
      <c r="G1572" s="50" t="s">
        <v>574</v>
      </c>
      <c r="H1572" s="50">
        <v>2</v>
      </c>
      <c r="I1572" s="100">
        <v>6.7391919697301583</v>
      </c>
      <c r="J1572" s="52">
        <v>3834.68</v>
      </c>
      <c r="K1572" s="67">
        <f t="shared" si="100"/>
        <v>35947.118725516419</v>
      </c>
      <c r="L1572" s="95">
        <f>+VLOOKUP(E1572,MARGEN!A:B,2,FALSE)</f>
        <v>0.1</v>
      </c>
      <c r="M1572" s="112">
        <f t="shared" si="97"/>
        <v>3594.711872551642</v>
      </c>
      <c r="N1572" s="113">
        <f t="shared" si="98"/>
        <v>143.78847490206567</v>
      </c>
      <c r="O1572" s="113">
        <f t="shared" si="99"/>
        <v>32208.618378062711</v>
      </c>
    </row>
    <row r="1573" spans="1:15" x14ac:dyDescent="0.25">
      <c r="A1573" s="43">
        <v>44466</v>
      </c>
      <c r="B1573" s="51">
        <v>1295</v>
      </c>
      <c r="C1573" s="66" t="s">
        <v>106</v>
      </c>
      <c r="D1573" s="66" t="s">
        <v>349</v>
      </c>
      <c r="E1573" t="s">
        <v>45</v>
      </c>
      <c r="F1573" s="50" t="s">
        <v>558</v>
      </c>
      <c r="G1573" s="50" t="s">
        <v>574</v>
      </c>
      <c r="H1573" s="50">
        <v>2</v>
      </c>
      <c r="I1573" s="100">
        <v>6.7391919697301583</v>
      </c>
      <c r="J1573" s="52">
        <v>3834.68</v>
      </c>
      <c r="K1573" s="67">
        <f t="shared" si="100"/>
        <v>33466.224837917871</v>
      </c>
      <c r="L1573" s="95">
        <f>+VLOOKUP(E1573,MARGEN!A:B,2,FALSE)</f>
        <v>0.1</v>
      </c>
      <c r="M1573" s="112">
        <f t="shared" si="97"/>
        <v>3346.6224837917871</v>
      </c>
      <c r="N1573" s="113">
        <f t="shared" si="98"/>
        <v>133.86489935167148</v>
      </c>
      <c r="O1573" s="113">
        <f t="shared" si="99"/>
        <v>29985.737454774411</v>
      </c>
    </row>
    <row r="1574" spans="1:15" x14ac:dyDescent="0.25">
      <c r="A1574" s="43">
        <v>44466</v>
      </c>
      <c r="B1574" s="51">
        <v>1151</v>
      </c>
      <c r="C1574" s="66" t="s">
        <v>274</v>
      </c>
      <c r="D1574" s="66" t="s">
        <v>517</v>
      </c>
      <c r="E1574" t="s">
        <v>45</v>
      </c>
      <c r="F1574" s="50" t="s">
        <v>558</v>
      </c>
      <c r="G1574" s="50" t="s">
        <v>574</v>
      </c>
      <c r="H1574" s="50">
        <v>2</v>
      </c>
      <c r="I1574" s="100">
        <v>6.7391919697301583</v>
      </c>
      <c r="J1574" s="52">
        <v>3834.68</v>
      </c>
      <c r="K1574" s="67">
        <f t="shared" si="100"/>
        <v>29744.884006520053</v>
      </c>
      <c r="L1574" s="95">
        <f>+VLOOKUP(E1574,MARGEN!A:B,2,FALSE)</f>
        <v>0.1</v>
      </c>
      <c r="M1574" s="112">
        <f t="shared" si="97"/>
        <v>2974.4884006520056</v>
      </c>
      <c r="N1574" s="113">
        <f t="shared" si="98"/>
        <v>118.97953602608021</v>
      </c>
      <c r="O1574" s="113">
        <f t="shared" si="99"/>
        <v>26651.416069841969</v>
      </c>
    </row>
    <row r="1575" spans="1:15" x14ac:dyDescent="0.25">
      <c r="A1575" s="43">
        <v>44467</v>
      </c>
      <c r="B1575" s="51">
        <v>16343</v>
      </c>
      <c r="C1575" s="66" t="s">
        <v>78</v>
      </c>
      <c r="D1575" s="66" t="s">
        <v>412</v>
      </c>
      <c r="E1575" t="s">
        <v>45</v>
      </c>
      <c r="F1575" s="50" t="s">
        <v>573</v>
      </c>
      <c r="G1575" s="50" t="s">
        <v>574</v>
      </c>
      <c r="H1575" s="50">
        <v>2</v>
      </c>
      <c r="I1575" s="100">
        <v>6.7391919697301583</v>
      </c>
      <c r="J1575" s="52">
        <v>3834.68</v>
      </c>
      <c r="K1575" s="67">
        <f t="shared" si="100"/>
        <v>422346.34171898977</v>
      </c>
      <c r="L1575" s="95">
        <f>+VLOOKUP(E1575,MARGEN!A:B,2,FALSE)</f>
        <v>0.1</v>
      </c>
      <c r="M1575" s="112">
        <f t="shared" si="97"/>
        <v>42234.634171898979</v>
      </c>
      <c r="N1575" s="113">
        <f t="shared" si="98"/>
        <v>1689.3853668759591</v>
      </c>
      <c r="O1575" s="113">
        <f t="shared" si="99"/>
        <v>378422.3221802148</v>
      </c>
    </row>
    <row r="1576" spans="1:15" x14ac:dyDescent="0.25">
      <c r="A1576" s="43">
        <v>44467</v>
      </c>
      <c r="B1576" s="51">
        <v>12815</v>
      </c>
      <c r="C1576" s="66" t="s">
        <v>73</v>
      </c>
      <c r="D1576" s="66" t="s">
        <v>338</v>
      </c>
      <c r="E1576" t="s">
        <v>45</v>
      </c>
      <c r="F1576" s="50" t="s">
        <v>573</v>
      </c>
      <c r="G1576" s="50" t="s">
        <v>574</v>
      </c>
      <c r="H1576" s="50">
        <v>2</v>
      </c>
      <c r="I1576" s="100">
        <v>6.7391919697301583</v>
      </c>
      <c r="J1576" s="52">
        <v>3834.68</v>
      </c>
      <c r="K1576" s="67">
        <f t="shared" si="100"/>
        <v>331173.49134974327</v>
      </c>
      <c r="L1576" s="95">
        <f>+VLOOKUP(E1576,MARGEN!A:B,2,FALSE)</f>
        <v>0.1</v>
      </c>
      <c r="M1576" s="112">
        <f t="shared" si="97"/>
        <v>33117.349134974327</v>
      </c>
      <c r="N1576" s="113">
        <f t="shared" si="98"/>
        <v>1324.693965398973</v>
      </c>
      <c r="O1576" s="113">
        <f t="shared" si="99"/>
        <v>296731.44824936992</v>
      </c>
    </row>
    <row r="1577" spans="1:15" x14ac:dyDescent="0.25">
      <c r="A1577" s="43">
        <v>44467</v>
      </c>
      <c r="B1577" s="51">
        <v>9935</v>
      </c>
      <c r="C1577" s="66" t="s">
        <v>95</v>
      </c>
      <c r="D1577" s="66" t="s">
        <v>510</v>
      </c>
      <c r="E1577" t="s">
        <v>45</v>
      </c>
      <c r="F1577" s="50" t="s">
        <v>573</v>
      </c>
      <c r="G1577" s="50" t="s">
        <v>574</v>
      </c>
      <c r="H1577" s="50">
        <v>2</v>
      </c>
      <c r="I1577" s="100">
        <v>6.7391919697301583</v>
      </c>
      <c r="J1577" s="52">
        <v>3834.68</v>
      </c>
      <c r="K1577" s="67">
        <f t="shared" si="100"/>
        <v>256746.6747217869</v>
      </c>
      <c r="L1577" s="95">
        <f>+VLOOKUP(E1577,MARGEN!A:B,2,FALSE)</f>
        <v>0.1</v>
      </c>
      <c r="M1577" s="112">
        <f t="shared" si="97"/>
        <v>25674.667472178691</v>
      </c>
      <c r="N1577" s="113">
        <f t="shared" si="98"/>
        <v>1026.9866988871477</v>
      </c>
      <c r="O1577" s="113">
        <f t="shared" si="99"/>
        <v>230045.02055072106</v>
      </c>
    </row>
    <row r="1578" spans="1:15" x14ac:dyDescent="0.25">
      <c r="A1578" s="43">
        <v>44467</v>
      </c>
      <c r="B1578" s="51">
        <v>8255</v>
      </c>
      <c r="C1578" s="66" t="s">
        <v>191</v>
      </c>
      <c r="D1578" s="66" t="s">
        <v>354</v>
      </c>
      <c r="E1578" t="s">
        <v>45</v>
      </c>
      <c r="F1578" s="50" t="s">
        <v>573</v>
      </c>
      <c r="G1578" s="50" t="s">
        <v>574</v>
      </c>
      <c r="H1578" s="50">
        <v>2</v>
      </c>
      <c r="I1578" s="100">
        <v>6.7391919697301583</v>
      </c>
      <c r="J1578" s="52">
        <v>3834.68</v>
      </c>
      <c r="K1578" s="67">
        <f t="shared" si="100"/>
        <v>213331.03168881236</v>
      </c>
      <c r="L1578" s="95">
        <f>+VLOOKUP(E1578,MARGEN!A:B,2,FALSE)</f>
        <v>0.1</v>
      </c>
      <c r="M1578" s="112">
        <f t="shared" si="97"/>
        <v>21333.103168881236</v>
      </c>
      <c r="N1578" s="113">
        <f t="shared" si="98"/>
        <v>853.32412675524949</v>
      </c>
      <c r="O1578" s="113">
        <f t="shared" si="99"/>
        <v>191144.60439317589</v>
      </c>
    </row>
    <row r="1579" spans="1:15" x14ac:dyDescent="0.25">
      <c r="A1579" s="43">
        <v>44467</v>
      </c>
      <c r="B1579" s="51">
        <v>8230</v>
      </c>
      <c r="C1579" s="66" t="s">
        <v>90</v>
      </c>
      <c r="D1579" s="66" t="s">
        <v>350</v>
      </c>
      <c r="E1579" t="s">
        <v>45</v>
      </c>
      <c r="F1579" s="50" t="s">
        <v>562</v>
      </c>
      <c r="G1579" s="50" t="s">
        <v>574</v>
      </c>
      <c r="H1579" s="50">
        <v>2</v>
      </c>
      <c r="I1579" s="100">
        <v>6.7391919697301583</v>
      </c>
      <c r="J1579" s="52">
        <v>3834.68</v>
      </c>
      <c r="K1579" s="67">
        <f t="shared" si="100"/>
        <v>212684.96557225028</v>
      </c>
      <c r="L1579" s="95">
        <f>+VLOOKUP(E1579,MARGEN!A:B,2,FALSE)</f>
        <v>0.1</v>
      </c>
      <c r="M1579" s="112">
        <f t="shared" si="97"/>
        <v>21268.496557225029</v>
      </c>
      <c r="N1579" s="113">
        <f t="shared" si="98"/>
        <v>850.73986228900117</v>
      </c>
      <c r="O1579" s="113">
        <f t="shared" si="99"/>
        <v>190565.72915273625</v>
      </c>
    </row>
    <row r="1580" spans="1:15" x14ac:dyDescent="0.25">
      <c r="A1580" s="43">
        <v>44467</v>
      </c>
      <c r="B1580" s="51">
        <v>7607</v>
      </c>
      <c r="C1580" s="66" t="s">
        <v>248</v>
      </c>
      <c r="D1580" s="66" t="s">
        <v>385</v>
      </c>
      <c r="E1580" t="s">
        <v>45</v>
      </c>
      <c r="F1580" s="50" t="s">
        <v>573</v>
      </c>
      <c r="G1580" s="50" t="s">
        <v>574</v>
      </c>
      <c r="H1580" s="50">
        <v>2</v>
      </c>
      <c r="I1580" s="100">
        <v>6.7391919697301583</v>
      </c>
      <c r="J1580" s="52">
        <v>3834.68</v>
      </c>
      <c r="K1580" s="67">
        <f t="shared" si="100"/>
        <v>196584.99794752221</v>
      </c>
      <c r="L1580" s="95">
        <f>+VLOOKUP(E1580,MARGEN!A:B,2,FALSE)</f>
        <v>0.1</v>
      </c>
      <c r="M1580" s="112">
        <f t="shared" si="97"/>
        <v>19658.499794752221</v>
      </c>
      <c r="N1580" s="113">
        <f t="shared" si="98"/>
        <v>786.33999179008879</v>
      </c>
      <c r="O1580" s="113">
        <f t="shared" si="99"/>
        <v>176140.15816097989</v>
      </c>
    </row>
    <row r="1581" spans="1:15" x14ac:dyDescent="0.25">
      <c r="A1581" s="43">
        <v>44467</v>
      </c>
      <c r="B1581" s="51">
        <v>7535</v>
      </c>
      <c r="C1581" s="66" t="s">
        <v>179</v>
      </c>
      <c r="D1581" s="66" t="s">
        <v>361</v>
      </c>
      <c r="E1581" t="s">
        <v>45</v>
      </c>
      <c r="F1581" s="50" t="s">
        <v>573</v>
      </c>
      <c r="G1581" s="50" t="s">
        <v>574</v>
      </c>
      <c r="H1581" s="50">
        <v>2</v>
      </c>
      <c r="I1581" s="100">
        <v>6.7391919697301583</v>
      </c>
      <c r="J1581" s="52">
        <v>3834.68</v>
      </c>
      <c r="K1581" s="67">
        <f t="shared" si="100"/>
        <v>194724.32753182328</v>
      </c>
      <c r="L1581" s="95">
        <f>+VLOOKUP(E1581,MARGEN!A:B,2,FALSE)</f>
        <v>0.1</v>
      </c>
      <c r="M1581" s="112">
        <f t="shared" si="97"/>
        <v>19472.432753182329</v>
      </c>
      <c r="N1581" s="113">
        <f t="shared" si="98"/>
        <v>778.89731012729305</v>
      </c>
      <c r="O1581" s="113">
        <f t="shared" si="99"/>
        <v>174472.99746851364</v>
      </c>
    </row>
    <row r="1582" spans="1:15" x14ac:dyDescent="0.25">
      <c r="A1582" s="43">
        <v>44467</v>
      </c>
      <c r="B1582" s="51">
        <v>6886</v>
      </c>
      <c r="C1582" s="66" t="s">
        <v>74</v>
      </c>
      <c r="D1582" s="66" t="s">
        <v>511</v>
      </c>
      <c r="E1582" t="s">
        <v>45</v>
      </c>
      <c r="F1582" s="50" t="s">
        <v>562</v>
      </c>
      <c r="G1582" s="50" t="s">
        <v>574</v>
      </c>
      <c r="H1582" s="50">
        <v>2</v>
      </c>
      <c r="I1582" s="100">
        <v>6.7391919697301583</v>
      </c>
      <c r="J1582" s="52">
        <v>3834.68</v>
      </c>
      <c r="K1582" s="67">
        <f t="shared" si="100"/>
        <v>177952.45114587064</v>
      </c>
      <c r="L1582" s="95">
        <f>+VLOOKUP(E1582,MARGEN!A:B,2,FALSE)</f>
        <v>0.1</v>
      </c>
      <c r="M1582" s="112">
        <f t="shared" si="97"/>
        <v>17795.245114587065</v>
      </c>
      <c r="N1582" s="113">
        <f t="shared" si="98"/>
        <v>711.80980458348256</v>
      </c>
      <c r="O1582" s="113">
        <f t="shared" si="99"/>
        <v>159445.39622670008</v>
      </c>
    </row>
    <row r="1583" spans="1:15" x14ac:dyDescent="0.25">
      <c r="A1583" s="43">
        <v>44467</v>
      </c>
      <c r="B1583" s="51">
        <v>5639</v>
      </c>
      <c r="C1583" s="66" t="s">
        <v>275</v>
      </c>
      <c r="D1583" s="66" t="s">
        <v>519</v>
      </c>
      <c r="E1583" t="s">
        <v>45</v>
      </c>
      <c r="F1583" s="50" t="s">
        <v>573</v>
      </c>
      <c r="G1583" s="50" t="s">
        <v>574</v>
      </c>
      <c r="H1583" s="50">
        <v>2</v>
      </c>
      <c r="I1583" s="100">
        <v>6.7391919697301583</v>
      </c>
      <c r="J1583" s="52">
        <v>3834.68</v>
      </c>
      <c r="K1583" s="67">
        <f t="shared" si="100"/>
        <v>145726.67325175201</v>
      </c>
      <c r="L1583" s="95">
        <f>+VLOOKUP(E1583,MARGEN!A:B,2,FALSE)</f>
        <v>0.1</v>
      </c>
      <c r="M1583" s="112">
        <f t="shared" si="97"/>
        <v>14572.667325175202</v>
      </c>
      <c r="N1583" s="113">
        <f t="shared" si="98"/>
        <v>582.90669300700802</v>
      </c>
      <c r="O1583" s="113">
        <f t="shared" si="99"/>
        <v>130571.09923356981</v>
      </c>
    </row>
    <row r="1584" spans="1:15" x14ac:dyDescent="0.25">
      <c r="A1584" s="43">
        <v>44467</v>
      </c>
      <c r="B1584" s="51">
        <v>5543</v>
      </c>
      <c r="C1584" s="66" t="s">
        <v>116</v>
      </c>
      <c r="D1584" s="66" t="s">
        <v>330</v>
      </c>
      <c r="E1584" t="s">
        <v>45</v>
      </c>
      <c r="F1584" s="50" t="s">
        <v>573</v>
      </c>
      <c r="G1584" s="50" t="s">
        <v>574</v>
      </c>
      <c r="H1584" s="50">
        <v>2</v>
      </c>
      <c r="I1584" s="100">
        <v>6.7391919697301583</v>
      </c>
      <c r="J1584" s="52">
        <v>3834.68</v>
      </c>
      <c r="K1584" s="67">
        <f t="shared" si="100"/>
        <v>143245.77936415351</v>
      </c>
      <c r="L1584" s="95">
        <f>+VLOOKUP(E1584,MARGEN!A:B,2,FALSE)</f>
        <v>0.1</v>
      </c>
      <c r="M1584" s="112">
        <f t="shared" si="97"/>
        <v>14324.577936415351</v>
      </c>
      <c r="N1584" s="113">
        <f t="shared" si="98"/>
        <v>572.98311745661408</v>
      </c>
      <c r="O1584" s="113">
        <f t="shared" si="99"/>
        <v>128348.21831028153</v>
      </c>
    </row>
    <row r="1585" spans="1:15" x14ac:dyDescent="0.25">
      <c r="A1585" s="43">
        <v>44467</v>
      </c>
      <c r="B1585" s="51">
        <v>4535</v>
      </c>
      <c r="C1585" s="66" t="s">
        <v>76</v>
      </c>
      <c r="D1585" s="66" t="s">
        <v>332</v>
      </c>
      <c r="E1585" t="s">
        <v>45</v>
      </c>
      <c r="F1585" s="50" t="s">
        <v>573</v>
      </c>
      <c r="G1585" s="50" t="s">
        <v>574</v>
      </c>
      <c r="H1585" s="50">
        <v>2</v>
      </c>
      <c r="I1585" s="100">
        <v>6.7391919697301583</v>
      </c>
      <c r="J1585" s="52">
        <v>3834.68</v>
      </c>
      <c r="K1585" s="67">
        <f t="shared" si="100"/>
        <v>117196.39354436877</v>
      </c>
      <c r="L1585" s="95">
        <f>+VLOOKUP(E1585,MARGEN!A:B,2,FALSE)</f>
        <v>0.1</v>
      </c>
      <c r="M1585" s="112">
        <f t="shared" si="97"/>
        <v>11719.639354436877</v>
      </c>
      <c r="N1585" s="113">
        <f t="shared" si="98"/>
        <v>468.78557417747504</v>
      </c>
      <c r="O1585" s="113">
        <f t="shared" si="99"/>
        <v>105007.96861575442</v>
      </c>
    </row>
    <row r="1586" spans="1:15" x14ac:dyDescent="0.25">
      <c r="A1586" s="43">
        <v>44467</v>
      </c>
      <c r="B1586" s="51">
        <v>4319</v>
      </c>
      <c r="C1586" s="66" t="s">
        <v>91</v>
      </c>
      <c r="D1586" s="66" t="s">
        <v>340</v>
      </c>
      <c r="E1586" t="s">
        <v>45</v>
      </c>
      <c r="F1586" s="50" t="s">
        <v>573</v>
      </c>
      <c r="G1586" s="50" t="s">
        <v>574</v>
      </c>
      <c r="H1586" s="50">
        <v>2</v>
      </c>
      <c r="I1586" s="100">
        <v>6.7391919697301583</v>
      </c>
      <c r="J1586" s="52">
        <v>3834.68</v>
      </c>
      <c r="K1586" s="67">
        <f t="shared" si="100"/>
        <v>111614.38229727202</v>
      </c>
      <c r="L1586" s="95">
        <f>+VLOOKUP(E1586,MARGEN!A:B,2,FALSE)</f>
        <v>0.1</v>
      </c>
      <c r="M1586" s="112">
        <f t="shared" si="97"/>
        <v>11161.438229727202</v>
      </c>
      <c r="N1586" s="113">
        <f t="shared" si="98"/>
        <v>446.45752918908806</v>
      </c>
      <c r="O1586" s="113">
        <f t="shared" si="99"/>
        <v>100006.48653835573</v>
      </c>
    </row>
    <row r="1587" spans="1:15" x14ac:dyDescent="0.25">
      <c r="A1587" s="43">
        <v>44467</v>
      </c>
      <c r="B1587" s="51">
        <v>4175</v>
      </c>
      <c r="C1587" s="66" t="s">
        <v>276</v>
      </c>
      <c r="D1587" s="66" t="s">
        <v>512</v>
      </c>
      <c r="E1587" t="s">
        <v>45</v>
      </c>
      <c r="F1587" s="50" t="s">
        <v>573</v>
      </c>
      <c r="G1587" s="50" t="s">
        <v>574</v>
      </c>
      <c r="H1587" s="50">
        <v>2</v>
      </c>
      <c r="I1587" s="100">
        <v>6.7391919697301583</v>
      </c>
      <c r="J1587" s="52">
        <v>3834.68</v>
      </c>
      <c r="K1587" s="67">
        <f t="shared" si="100"/>
        <v>107893.04146587422</v>
      </c>
      <c r="L1587" s="95">
        <f>+VLOOKUP(E1587,MARGEN!A:B,2,FALSE)</f>
        <v>0.1</v>
      </c>
      <c r="M1587" s="112">
        <f t="shared" si="97"/>
        <v>10789.304146587423</v>
      </c>
      <c r="N1587" s="113">
        <f t="shared" si="98"/>
        <v>431.57216586349688</v>
      </c>
      <c r="O1587" s="113">
        <f t="shared" si="99"/>
        <v>96672.165153423295</v>
      </c>
    </row>
    <row r="1588" spans="1:15" x14ac:dyDescent="0.25">
      <c r="A1588" s="43">
        <v>44467</v>
      </c>
      <c r="B1588" s="51">
        <v>4127</v>
      </c>
      <c r="C1588" s="66" t="s">
        <v>235</v>
      </c>
      <c r="D1588" s="66" t="s">
        <v>339</v>
      </c>
      <c r="E1588" t="s">
        <v>45</v>
      </c>
      <c r="F1588" s="50" t="s">
        <v>573</v>
      </c>
      <c r="G1588" s="50" t="s">
        <v>574</v>
      </c>
      <c r="H1588" s="50">
        <v>2</v>
      </c>
      <c r="I1588" s="100">
        <v>6.7391919697301583</v>
      </c>
      <c r="J1588" s="52">
        <v>3834.68</v>
      </c>
      <c r="K1588" s="67">
        <f t="shared" si="100"/>
        <v>106652.59452207494</v>
      </c>
      <c r="L1588" s="95">
        <f>+VLOOKUP(E1588,MARGEN!A:B,2,FALSE)</f>
        <v>0.1</v>
      </c>
      <c r="M1588" s="112">
        <f t="shared" si="97"/>
        <v>10665.259452207494</v>
      </c>
      <c r="N1588" s="113">
        <f t="shared" si="98"/>
        <v>426.61037808829974</v>
      </c>
      <c r="O1588" s="113">
        <f t="shared" si="99"/>
        <v>95560.724691779149</v>
      </c>
    </row>
    <row r="1589" spans="1:15" x14ac:dyDescent="0.25">
      <c r="A1589" s="43">
        <v>44467</v>
      </c>
      <c r="B1589" s="51">
        <v>4103</v>
      </c>
      <c r="C1589" s="66" t="s">
        <v>234</v>
      </c>
      <c r="D1589" s="66" t="s">
        <v>331</v>
      </c>
      <c r="E1589" t="s">
        <v>45</v>
      </c>
      <c r="F1589" s="50" t="s">
        <v>573</v>
      </c>
      <c r="G1589" s="50" t="s">
        <v>574</v>
      </c>
      <c r="H1589" s="50">
        <v>2</v>
      </c>
      <c r="I1589" s="100">
        <v>6.7391919697301583</v>
      </c>
      <c r="J1589" s="52">
        <v>3834.68</v>
      </c>
      <c r="K1589" s="67">
        <f t="shared" si="100"/>
        <v>106032.37105017531</v>
      </c>
      <c r="L1589" s="95">
        <f>+VLOOKUP(E1589,MARGEN!A:B,2,FALSE)</f>
        <v>0.1</v>
      </c>
      <c r="M1589" s="112">
        <f t="shared" si="97"/>
        <v>10603.237105017532</v>
      </c>
      <c r="N1589" s="113">
        <f t="shared" si="98"/>
        <v>424.12948420070126</v>
      </c>
      <c r="O1589" s="113">
        <f t="shared" si="99"/>
        <v>95005.004460957076</v>
      </c>
    </row>
    <row r="1590" spans="1:15" x14ac:dyDescent="0.25">
      <c r="A1590" s="43">
        <v>44467</v>
      </c>
      <c r="B1590" s="51">
        <v>3911</v>
      </c>
      <c r="C1590" s="66" t="s">
        <v>71</v>
      </c>
      <c r="D1590" s="66" t="s">
        <v>337</v>
      </c>
      <c r="E1590" t="s">
        <v>45</v>
      </c>
      <c r="F1590" s="50" t="s">
        <v>573</v>
      </c>
      <c r="G1590" s="50" t="s">
        <v>574</v>
      </c>
      <c r="H1590" s="50">
        <v>2</v>
      </c>
      <c r="I1590" s="100">
        <v>6.7391919697301583</v>
      </c>
      <c r="J1590" s="52">
        <v>3834.68</v>
      </c>
      <c r="K1590" s="67">
        <f t="shared" si="100"/>
        <v>101070.58327497823</v>
      </c>
      <c r="L1590" s="95">
        <f>+VLOOKUP(E1590,MARGEN!A:B,2,FALSE)</f>
        <v>0.1</v>
      </c>
      <c r="M1590" s="112">
        <f t="shared" si="97"/>
        <v>10107.058327497823</v>
      </c>
      <c r="N1590" s="113">
        <f t="shared" si="98"/>
        <v>404.28233309991293</v>
      </c>
      <c r="O1590" s="113">
        <f t="shared" si="99"/>
        <v>90559.242614380491</v>
      </c>
    </row>
    <row r="1591" spans="1:15" x14ac:dyDescent="0.25">
      <c r="A1591" s="43">
        <v>44467</v>
      </c>
      <c r="B1591" s="51">
        <v>3479</v>
      </c>
      <c r="C1591" s="66" t="s">
        <v>269</v>
      </c>
      <c r="D1591" s="66" t="s">
        <v>520</v>
      </c>
      <c r="E1591" t="s">
        <v>45</v>
      </c>
      <c r="F1591" s="50" t="s">
        <v>562</v>
      </c>
      <c r="G1591" s="50" t="s">
        <v>574</v>
      </c>
      <c r="H1591" s="50">
        <v>2</v>
      </c>
      <c r="I1591" s="100">
        <v>6.7391919697301583</v>
      </c>
      <c r="J1591" s="52">
        <v>3834.68</v>
      </c>
      <c r="K1591" s="67">
        <f t="shared" si="100"/>
        <v>89906.56078078477</v>
      </c>
      <c r="L1591" s="95">
        <f>+VLOOKUP(E1591,MARGEN!A:B,2,FALSE)</f>
        <v>0.1</v>
      </c>
      <c r="M1591" s="112">
        <f t="shared" si="97"/>
        <v>8990.6560780784766</v>
      </c>
      <c r="N1591" s="113">
        <f t="shared" si="98"/>
        <v>359.62624312313909</v>
      </c>
      <c r="O1591" s="113">
        <f t="shared" si="99"/>
        <v>80556.278459583147</v>
      </c>
    </row>
    <row r="1592" spans="1:15" x14ac:dyDescent="0.25">
      <c r="A1592" s="43">
        <v>44467</v>
      </c>
      <c r="B1592" s="51">
        <v>3143</v>
      </c>
      <c r="C1592" s="66" t="s">
        <v>277</v>
      </c>
      <c r="D1592" s="66" t="s">
        <v>513</v>
      </c>
      <c r="E1592" t="s">
        <v>45</v>
      </c>
      <c r="F1592" s="50" t="s">
        <v>573</v>
      </c>
      <c r="G1592" s="50" t="s">
        <v>574</v>
      </c>
      <c r="H1592" s="50">
        <v>2</v>
      </c>
      <c r="I1592" s="100">
        <v>6.7391919697301583</v>
      </c>
      <c r="J1592" s="52">
        <v>3834.68</v>
      </c>
      <c r="K1592" s="67">
        <f t="shared" si="100"/>
        <v>81223.43217418986</v>
      </c>
      <c r="L1592" s="95">
        <f>+VLOOKUP(E1592,MARGEN!A:B,2,FALSE)</f>
        <v>0.1</v>
      </c>
      <c r="M1592" s="112">
        <f t="shared" si="97"/>
        <v>8122.3432174189866</v>
      </c>
      <c r="N1592" s="113">
        <f t="shared" si="98"/>
        <v>324.89372869675947</v>
      </c>
      <c r="O1592" s="113">
        <f t="shared" si="99"/>
        <v>72776.195228074124</v>
      </c>
    </row>
    <row r="1593" spans="1:15" x14ac:dyDescent="0.25">
      <c r="A1593" s="43">
        <v>44467</v>
      </c>
      <c r="B1593" s="51">
        <v>2879</v>
      </c>
      <c r="C1593" s="66" t="s">
        <v>139</v>
      </c>
      <c r="D1593" s="66" t="s">
        <v>327</v>
      </c>
      <c r="E1593" t="s">
        <v>45</v>
      </c>
      <c r="F1593" s="50" t="s">
        <v>573</v>
      </c>
      <c r="G1593" s="50" t="s">
        <v>574</v>
      </c>
      <c r="H1593" s="50">
        <v>2</v>
      </c>
      <c r="I1593" s="100">
        <v>6.7391919697301583</v>
      </c>
      <c r="J1593" s="52">
        <v>3834.68</v>
      </c>
      <c r="K1593" s="67">
        <f t="shared" si="100"/>
        <v>74400.973983293865</v>
      </c>
      <c r="L1593" s="95">
        <f>+VLOOKUP(E1593,MARGEN!A:B,2,FALSE)</f>
        <v>0.1</v>
      </c>
      <c r="M1593" s="112">
        <f t="shared" si="97"/>
        <v>7440.097398329387</v>
      </c>
      <c r="N1593" s="113">
        <f t="shared" si="98"/>
        <v>297.60389593317547</v>
      </c>
      <c r="O1593" s="113">
        <f t="shared" si="99"/>
        <v>66663.272689031306</v>
      </c>
    </row>
    <row r="1594" spans="1:15" x14ac:dyDescent="0.25">
      <c r="A1594" s="43">
        <v>44467</v>
      </c>
      <c r="B1594" s="51">
        <v>2855</v>
      </c>
      <c r="C1594" s="66" t="s">
        <v>271</v>
      </c>
      <c r="D1594" s="66" t="s">
        <v>518</v>
      </c>
      <c r="E1594" t="s">
        <v>45</v>
      </c>
      <c r="F1594" s="50" t="s">
        <v>562</v>
      </c>
      <c r="G1594" s="50" t="s">
        <v>574</v>
      </c>
      <c r="H1594" s="50">
        <v>2</v>
      </c>
      <c r="I1594" s="100">
        <v>6.7391919697301583</v>
      </c>
      <c r="J1594" s="52">
        <v>3834.68</v>
      </c>
      <c r="K1594" s="67">
        <f t="shared" si="100"/>
        <v>73780.750511394232</v>
      </c>
      <c r="L1594" s="95">
        <f>+VLOOKUP(E1594,MARGEN!A:B,2,FALSE)</f>
        <v>0.1</v>
      </c>
      <c r="M1594" s="112">
        <f t="shared" si="97"/>
        <v>7378.0750511394235</v>
      </c>
      <c r="N1594" s="113">
        <f t="shared" si="98"/>
        <v>295.12300204557692</v>
      </c>
      <c r="O1594" s="113">
        <f t="shared" si="99"/>
        <v>66107.552458209218</v>
      </c>
    </row>
    <row r="1595" spans="1:15" x14ac:dyDescent="0.25">
      <c r="A1595" s="43">
        <v>44467</v>
      </c>
      <c r="B1595" s="51">
        <v>2855</v>
      </c>
      <c r="C1595" s="66" t="s">
        <v>268</v>
      </c>
      <c r="D1595" s="66" t="s">
        <v>514</v>
      </c>
      <c r="E1595" t="s">
        <v>45</v>
      </c>
      <c r="F1595" s="50" t="s">
        <v>573</v>
      </c>
      <c r="G1595" s="50" t="s">
        <v>574</v>
      </c>
      <c r="H1595" s="50">
        <v>2</v>
      </c>
      <c r="I1595" s="100">
        <v>6.7391919697301583</v>
      </c>
      <c r="J1595" s="52">
        <v>3834.68</v>
      </c>
      <c r="K1595" s="67">
        <f t="shared" si="100"/>
        <v>73780.750511394232</v>
      </c>
      <c r="L1595" s="95">
        <f>+VLOOKUP(E1595,MARGEN!A:B,2,FALSE)</f>
        <v>0.1</v>
      </c>
      <c r="M1595" s="112">
        <f t="shared" si="97"/>
        <v>7378.0750511394235</v>
      </c>
      <c r="N1595" s="113">
        <f t="shared" si="98"/>
        <v>295.12300204557692</v>
      </c>
      <c r="O1595" s="113">
        <f t="shared" si="99"/>
        <v>66107.552458209218</v>
      </c>
    </row>
    <row r="1596" spans="1:15" x14ac:dyDescent="0.25">
      <c r="A1596" s="43">
        <v>44467</v>
      </c>
      <c r="B1596" s="51">
        <v>2807</v>
      </c>
      <c r="C1596" s="66" t="s">
        <v>178</v>
      </c>
      <c r="D1596" s="66" t="s">
        <v>370</v>
      </c>
      <c r="E1596" t="s">
        <v>45</v>
      </c>
      <c r="F1596" s="50" t="s">
        <v>573</v>
      </c>
      <c r="G1596" s="50" t="s">
        <v>574</v>
      </c>
      <c r="H1596" s="50">
        <v>2</v>
      </c>
      <c r="I1596" s="100">
        <v>6.7391919697301583</v>
      </c>
      <c r="J1596" s="52">
        <v>3834.68</v>
      </c>
      <c r="K1596" s="67">
        <f t="shared" si="100"/>
        <v>72540.303567594965</v>
      </c>
      <c r="L1596" s="95">
        <f>+VLOOKUP(E1596,MARGEN!A:B,2,FALSE)</f>
        <v>0.1</v>
      </c>
      <c r="M1596" s="112">
        <f t="shared" si="97"/>
        <v>7254.0303567594965</v>
      </c>
      <c r="N1596" s="113">
        <f t="shared" si="98"/>
        <v>290.16121427037984</v>
      </c>
      <c r="O1596" s="113">
        <f t="shared" si="99"/>
        <v>64996.111996565087</v>
      </c>
    </row>
    <row r="1597" spans="1:15" x14ac:dyDescent="0.25">
      <c r="A1597" s="43">
        <v>44467</v>
      </c>
      <c r="B1597" s="51">
        <v>2663</v>
      </c>
      <c r="C1597" s="66" t="s">
        <v>138</v>
      </c>
      <c r="D1597" s="66" t="s">
        <v>321</v>
      </c>
      <c r="E1597" t="s">
        <v>45</v>
      </c>
      <c r="F1597" s="50" t="s">
        <v>573</v>
      </c>
      <c r="G1597" s="50" t="s">
        <v>574</v>
      </c>
      <c r="H1597" s="50">
        <v>2</v>
      </c>
      <c r="I1597" s="100">
        <v>6.7391919697301583</v>
      </c>
      <c r="J1597" s="52">
        <v>3834.68</v>
      </c>
      <c r="K1597" s="67">
        <f t="shared" si="100"/>
        <v>68818.962736197136</v>
      </c>
      <c r="L1597" s="95">
        <f>+VLOOKUP(E1597,MARGEN!A:B,2,FALSE)</f>
        <v>0.1</v>
      </c>
      <c r="M1597" s="112">
        <f t="shared" si="97"/>
        <v>6881.8962736197136</v>
      </c>
      <c r="N1597" s="113">
        <f t="shared" si="98"/>
        <v>275.27585094478854</v>
      </c>
      <c r="O1597" s="113">
        <f t="shared" si="99"/>
        <v>61661.790611632634</v>
      </c>
    </row>
    <row r="1598" spans="1:15" x14ac:dyDescent="0.25">
      <c r="A1598" s="43">
        <v>44467</v>
      </c>
      <c r="B1598" s="51">
        <v>2423</v>
      </c>
      <c r="C1598" s="66" t="s">
        <v>94</v>
      </c>
      <c r="D1598" s="66" t="s">
        <v>328</v>
      </c>
      <c r="E1598" t="s">
        <v>45</v>
      </c>
      <c r="F1598" s="50" t="s">
        <v>566</v>
      </c>
      <c r="G1598" s="50" t="s">
        <v>574</v>
      </c>
      <c r="H1598" s="50">
        <v>2</v>
      </c>
      <c r="I1598" s="100">
        <v>6.7391919697301583</v>
      </c>
      <c r="J1598" s="52">
        <v>3834.68</v>
      </c>
      <c r="K1598" s="67">
        <f t="shared" si="100"/>
        <v>62616.728017200774</v>
      </c>
      <c r="L1598" s="95">
        <f>+VLOOKUP(E1598,MARGEN!A:B,2,FALSE)</f>
        <v>0.1</v>
      </c>
      <c r="M1598" s="112">
        <f t="shared" si="97"/>
        <v>6261.6728017200776</v>
      </c>
      <c r="N1598" s="113">
        <f t="shared" si="98"/>
        <v>250.46691206880308</v>
      </c>
      <c r="O1598" s="113">
        <f t="shared" si="99"/>
        <v>56104.588303411889</v>
      </c>
    </row>
    <row r="1599" spans="1:15" x14ac:dyDescent="0.25">
      <c r="A1599" s="43">
        <v>44467</v>
      </c>
      <c r="B1599" s="51">
        <v>2183</v>
      </c>
      <c r="C1599" s="66" t="s">
        <v>93</v>
      </c>
      <c r="D1599" s="66" t="s">
        <v>353</v>
      </c>
      <c r="E1599" t="s">
        <v>45</v>
      </c>
      <c r="F1599" s="50" t="s">
        <v>566</v>
      </c>
      <c r="G1599" s="50" t="s">
        <v>574</v>
      </c>
      <c r="H1599" s="50">
        <v>2</v>
      </c>
      <c r="I1599" s="100">
        <v>6.7391919697301583</v>
      </c>
      <c r="J1599" s="52">
        <v>3834.68</v>
      </c>
      <c r="K1599" s="67">
        <f t="shared" si="100"/>
        <v>56414.493298204405</v>
      </c>
      <c r="L1599" s="95">
        <f>+VLOOKUP(E1599,MARGEN!A:B,2,FALSE)</f>
        <v>0.1</v>
      </c>
      <c r="M1599" s="112">
        <f t="shared" si="97"/>
        <v>5641.4493298204407</v>
      </c>
      <c r="N1599" s="113">
        <f t="shared" si="98"/>
        <v>225.65797319281762</v>
      </c>
      <c r="O1599" s="113">
        <f t="shared" si="99"/>
        <v>50547.385995191151</v>
      </c>
    </row>
    <row r="1600" spans="1:15" x14ac:dyDescent="0.25">
      <c r="A1600" s="43">
        <v>44467</v>
      </c>
      <c r="B1600" s="51">
        <v>2183</v>
      </c>
      <c r="C1600" s="66" t="s">
        <v>560</v>
      </c>
      <c r="D1600" s="66" t="s">
        <v>561</v>
      </c>
      <c r="E1600" t="s">
        <v>45</v>
      </c>
      <c r="F1600" s="50" t="s">
        <v>573</v>
      </c>
      <c r="G1600" s="50" t="s">
        <v>574</v>
      </c>
      <c r="H1600" s="50">
        <v>2</v>
      </c>
      <c r="I1600" s="100">
        <v>6.7391919697301583</v>
      </c>
      <c r="J1600" s="52">
        <v>3834.68</v>
      </c>
      <c r="K1600" s="67">
        <f t="shared" si="100"/>
        <v>56414.493298204405</v>
      </c>
      <c r="L1600" s="95">
        <f>+VLOOKUP(E1600,MARGEN!A:B,2,FALSE)</f>
        <v>0.1</v>
      </c>
      <c r="M1600" s="112">
        <f t="shared" si="97"/>
        <v>5641.4493298204407</v>
      </c>
      <c r="N1600" s="113">
        <f t="shared" si="98"/>
        <v>225.65797319281762</v>
      </c>
      <c r="O1600" s="113">
        <f t="shared" si="99"/>
        <v>50547.385995191151</v>
      </c>
    </row>
    <row r="1601" spans="1:15" x14ac:dyDescent="0.25">
      <c r="A1601" s="43">
        <v>44467</v>
      </c>
      <c r="B1601" s="51">
        <v>2087</v>
      </c>
      <c r="C1601" s="66" t="s">
        <v>103</v>
      </c>
      <c r="D1601" s="66" t="s">
        <v>342</v>
      </c>
      <c r="E1601" t="s">
        <v>45</v>
      </c>
      <c r="F1601" s="50" t="s">
        <v>573</v>
      </c>
      <c r="G1601" s="50" t="s">
        <v>574</v>
      </c>
      <c r="H1601" s="50">
        <v>2</v>
      </c>
      <c r="I1601" s="100">
        <v>6.7391919697301583</v>
      </c>
      <c r="J1601" s="52">
        <v>3834.68</v>
      </c>
      <c r="K1601" s="67">
        <f t="shared" si="100"/>
        <v>53933.599410605872</v>
      </c>
      <c r="L1601" s="95">
        <f>+VLOOKUP(E1601,MARGEN!A:B,2,FALSE)</f>
        <v>0.1</v>
      </c>
      <c r="M1601" s="112">
        <f t="shared" si="97"/>
        <v>5393.3599410605875</v>
      </c>
      <c r="N1601" s="113">
        <f t="shared" si="98"/>
        <v>215.73439764242349</v>
      </c>
      <c r="O1601" s="113">
        <f t="shared" si="99"/>
        <v>48324.505071902859</v>
      </c>
    </row>
    <row r="1602" spans="1:15" x14ac:dyDescent="0.25">
      <c r="A1602" s="43">
        <v>44467</v>
      </c>
      <c r="B1602" s="51">
        <v>1871</v>
      </c>
      <c r="C1602" s="66" t="s">
        <v>198</v>
      </c>
      <c r="D1602" s="66" t="s">
        <v>326</v>
      </c>
      <c r="E1602" t="s">
        <v>45</v>
      </c>
      <c r="F1602" s="50" t="s">
        <v>573</v>
      </c>
      <c r="G1602" s="50" t="s">
        <v>574</v>
      </c>
      <c r="H1602" s="50">
        <v>2</v>
      </c>
      <c r="I1602" s="100">
        <v>6.7391919697301583</v>
      </c>
      <c r="J1602" s="52">
        <v>3834.68</v>
      </c>
      <c r="K1602" s="67">
        <f t="shared" si="100"/>
        <v>48351.588163509143</v>
      </c>
      <c r="L1602" s="95">
        <f>+VLOOKUP(E1602,MARGEN!A:B,2,FALSE)</f>
        <v>0.1</v>
      </c>
      <c r="M1602" s="112">
        <f t="shared" si="97"/>
        <v>4835.1588163509141</v>
      </c>
      <c r="N1602" s="113">
        <f t="shared" si="98"/>
        <v>193.40635265403657</v>
      </c>
      <c r="O1602" s="113">
        <f t="shared" si="99"/>
        <v>43323.022994504194</v>
      </c>
    </row>
    <row r="1603" spans="1:15" x14ac:dyDescent="0.25">
      <c r="A1603" s="43">
        <v>44467</v>
      </c>
      <c r="B1603" s="51">
        <v>1799</v>
      </c>
      <c r="C1603" s="66" t="s">
        <v>272</v>
      </c>
      <c r="D1603" s="66" t="s">
        <v>516</v>
      </c>
      <c r="E1603" t="s">
        <v>45</v>
      </c>
      <c r="F1603" s="50" t="s">
        <v>566</v>
      </c>
      <c r="G1603" s="50" t="s">
        <v>574</v>
      </c>
      <c r="H1603" s="50">
        <v>2</v>
      </c>
      <c r="I1603" s="100">
        <v>6.7391919697301583</v>
      </c>
      <c r="J1603" s="52">
        <v>3834.68</v>
      </c>
      <c r="K1603" s="67">
        <f t="shared" si="100"/>
        <v>46490.917747810228</v>
      </c>
      <c r="L1603" s="95">
        <f>+VLOOKUP(E1603,MARGEN!A:B,2,FALSE)</f>
        <v>0.1</v>
      </c>
      <c r="M1603" s="112">
        <f t="shared" ref="M1603:M1666" si="101">+K1603*L1603</f>
        <v>4649.0917747810227</v>
      </c>
      <c r="N1603" s="113">
        <f t="shared" ref="N1603:N1666" si="102">+K1603*4/1000</f>
        <v>185.96367099124092</v>
      </c>
      <c r="O1603" s="113">
        <f t="shared" ref="O1603:O1666" si="103">+K1603-M1603-N1603</f>
        <v>41655.862302037967</v>
      </c>
    </row>
    <row r="1604" spans="1:15" x14ac:dyDescent="0.25">
      <c r="A1604" s="43">
        <v>44467</v>
      </c>
      <c r="B1604" s="51">
        <v>1727</v>
      </c>
      <c r="C1604" s="66" t="s">
        <v>190</v>
      </c>
      <c r="D1604" s="66" t="s">
        <v>356</v>
      </c>
      <c r="E1604" t="s">
        <v>45</v>
      </c>
      <c r="F1604" s="50" t="s">
        <v>573</v>
      </c>
      <c r="G1604" s="50" t="s">
        <v>574</v>
      </c>
      <c r="H1604" s="50">
        <v>2</v>
      </c>
      <c r="I1604" s="100">
        <v>6.7391919697301583</v>
      </c>
      <c r="J1604" s="52">
        <v>3834.68</v>
      </c>
      <c r="K1604" s="67">
        <f t="shared" si="100"/>
        <v>44630.247332111321</v>
      </c>
      <c r="L1604" s="95">
        <f>+VLOOKUP(E1604,MARGEN!A:B,2,FALSE)</f>
        <v>0.1</v>
      </c>
      <c r="M1604" s="112">
        <f t="shared" si="101"/>
        <v>4463.0247332111321</v>
      </c>
      <c r="N1604" s="113">
        <f t="shared" si="102"/>
        <v>178.5209893284453</v>
      </c>
      <c r="O1604" s="113">
        <f t="shared" si="103"/>
        <v>39988.701609571741</v>
      </c>
    </row>
    <row r="1605" spans="1:15" x14ac:dyDescent="0.25">
      <c r="A1605" s="43">
        <v>44467</v>
      </c>
      <c r="B1605" s="51">
        <v>1679</v>
      </c>
      <c r="C1605" s="66" t="s">
        <v>109</v>
      </c>
      <c r="D1605" s="66" t="s">
        <v>365</v>
      </c>
      <c r="E1605" t="s">
        <v>45</v>
      </c>
      <c r="F1605" s="50" t="s">
        <v>566</v>
      </c>
      <c r="G1605" s="50" t="s">
        <v>574</v>
      </c>
      <c r="H1605" s="50">
        <v>2</v>
      </c>
      <c r="I1605" s="100">
        <v>6.7391919697301583</v>
      </c>
      <c r="J1605" s="52">
        <v>3834.68</v>
      </c>
      <c r="K1605" s="67">
        <f t="shared" si="100"/>
        <v>43389.800388312047</v>
      </c>
      <c r="L1605" s="95">
        <f>+VLOOKUP(E1605,MARGEN!A:B,2,FALSE)</f>
        <v>0.1</v>
      </c>
      <c r="M1605" s="112">
        <f t="shared" si="101"/>
        <v>4338.9800388312051</v>
      </c>
      <c r="N1605" s="113">
        <f t="shared" si="102"/>
        <v>173.55920155324819</v>
      </c>
      <c r="O1605" s="113">
        <f t="shared" si="103"/>
        <v>38877.261147927595</v>
      </c>
    </row>
    <row r="1606" spans="1:15" x14ac:dyDescent="0.25">
      <c r="A1606" s="43">
        <v>44467</v>
      </c>
      <c r="B1606" s="51">
        <v>1535</v>
      </c>
      <c r="C1606" s="66" t="s">
        <v>273</v>
      </c>
      <c r="D1606" s="66" t="s">
        <v>515</v>
      </c>
      <c r="E1606" t="s">
        <v>45</v>
      </c>
      <c r="F1606" s="50" t="s">
        <v>573</v>
      </c>
      <c r="G1606" s="50" t="s">
        <v>574</v>
      </c>
      <c r="H1606" s="50">
        <v>2</v>
      </c>
      <c r="I1606" s="100">
        <v>6.7391919697301583</v>
      </c>
      <c r="J1606" s="52">
        <v>3834.68</v>
      </c>
      <c r="K1606" s="67">
        <f t="shared" si="100"/>
        <v>39668.459556914233</v>
      </c>
      <c r="L1606" s="95">
        <f>+VLOOKUP(E1606,MARGEN!A:B,2,FALSE)</f>
        <v>0.1</v>
      </c>
      <c r="M1606" s="112">
        <f t="shared" si="101"/>
        <v>3966.8459556914236</v>
      </c>
      <c r="N1606" s="113">
        <f t="shared" si="102"/>
        <v>158.67383822765694</v>
      </c>
      <c r="O1606" s="113">
        <f t="shared" si="103"/>
        <v>35542.939762995149</v>
      </c>
    </row>
    <row r="1607" spans="1:15" x14ac:dyDescent="0.25">
      <c r="A1607" s="43">
        <v>44467</v>
      </c>
      <c r="B1607" s="51">
        <v>1511</v>
      </c>
      <c r="C1607" s="66" t="s">
        <v>108</v>
      </c>
      <c r="D1607" s="66" t="s">
        <v>368</v>
      </c>
      <c r="E1607" t="s">
        <v>45</v>
      </c>
      <c r="F1607" s="50" t="s">
        <v>566</v>
      </c>
      <c r="G1607" s="50" t="s">
        <v>574</v>
      </c>
      <c r="H1607" s="50">
        <v>2</v>
      </c>
      <c r="I1607" s="100">
        <v>6.7391919697301583</v>
      </c>
      <c r="J1607" s="52">
        <v>3834.68</v>
      </c>
      <c r="K1607" s="67">
        <f t="shared" si="100"/>
        <v>39048.2360850146</v>
      </c>
      <c r="L1607" s="95">
        <f>+VLOOKUP(E1607,MARGEN!A:B,2,FALSE)</f>
        <v>0.1</v>
      </c>
      <c r="M1607" s="112">
        <f t="shared" si="101"/>
        <v>3904.8236085014601</v>
      </c>
      <c r="N1607" s="113">
        <f t="shared" si="102"/>
        <v>156.1929443400584</v>
      </c>
      <c r="O1607" s="113">
        <f t="shared" si="103"/>
        <v>34987.219532173083</v>
      </c>
    </row>
    <row r="1608" spans="1:15" x14ac:dyDescent="0.25">
      <c r="A1608" s="43">
        <v>44467</v>
      </c>
      <c r="B1608" s="51">
        <v>1511</v>
      </c>
      <c r="C1608" s="66" t="s">
        <v>207</v>
      </c>
      <c r="D1608" s="66" t="s">
        <v>322</v>
      </c>
      <c r="E1608" t="s">
        <v>45</v>
      </c>
      <c r="F1608" s="50" t="s">
        <v>566</v>
      </c>
      <c r="G1608" s="50" t="s">
        <v>574</v>
      </c>
      <c r="H1608" s="50">
        <v>2</v>
      </c>
      <c r="I1608" s="100">
        <v>6.7391919697301583</v>
      </c>
      <c r="J1608" s="52">
        <v>3834.68</v>
      </c>
      <c r="K1608" s="67">
        <f t="shared" si="100"/>
        <v>39048.2360850146</v>
      </c>
      <c r="L1608" s="95">
        <f>+VLOOKUP(E1608,MARGEN!A:B,2,FALSE)</f>
        <v>0.1</v>
      </c>
      <c r="M1608" s="112">
        <f t="shared" si="101"/>
        <v>3904.8236085014601</v>
      </c>
      <c r="N1608" s="113">
        <f t="shared" si="102"/>
        <v>156.1929443400584</v>
      </c>
      <c r="O1608" s="113">
        <f t="shared" si="103"/>
        <v>34987.219532173083</v>
      </c>
    </row>
    <row r="1609" spans="1:15" x14ac:dyDescent="0.25">
      <c r="A1609" s="43">
        <v>44467</v>
      </c>
      <c r="B1609" s="51">
        <v>1487</v>
      </c>
      <c r="C1609" s="66" t="s">
        <v>250</v>
      </c>
      <c r="D1609" s="66" t="s">
        <v>333</v>
      </c>
      <c r="E1609" t="s">
        <v>45</v>
      </c>
      <c r="F1609" s="50" t="s">
        <v>562</v>
      </c>
      <c r="G1609" s="50" t="s">
        <v>574</v>
      </c>
      <c r="H1609" s="50">
        <v>2</v>
      </c>
      <c r="I1609" s="100">
        <v>6.7391919697301583</v>
      </c>
      <c r="J1609" s="52">
        <v>3834.68</v>
      </c>
      <c r="K1609" s="67">
        <f t="shared" ref="K1609:K1672" si="104">+B1609*I1609*J1609/1000</f>
        <v>38428.012613114959</v>
      </c>
      <c r="L1609" s="95">
        <f>+VLOOKUP(E1609,MARGEN!A:B,2,FALSE)</f>
        <v>0.1</v>
      </c>
      <c r="M1609" s="112">
        <f t="shared" si="101"/>
        <v>3842.8012613114961</v>
      </c>
      <c r="N1609" s="113">
        <f t="shared" si="102"/>
        <v>153.71205045245983</v>
      </c>
      <c r="O1609" s="113">
        <f t="shared" si="103"/>
        <v>34431.499301351003</v>
      </c>
    </row>
    <row r="1610" spans="1:15" x14ac:dyDescent="0.25">
      <c r="A1610" s="43">
        <v>44467</v>
      </c>
      <c r="B1610" s="51">
        <v>1391</v>
      </c>
      <c r="C1610" s="66" t="s">
        <v>107</v>
      </c>
      <c r="D1610" s="66" t="s">
        <v>346</v>
      </c>
      <c r="E1610" t="s">
        <v>45</v>
      </c>
      <c r="F1610" s="50" t="s">
        <v>573</v>
      </c>
      <c r="G1610" s="50" t="s">
        <v>574</v>
      </c>
      <c r="H1610" s="50">
        <v>2</v>
      </c>
      <c r="I1610" s="100">
        <v>6.7391919697301583</v>
      </c>
      <c r="J1610" s="52">
        <v>3834.68</v>
      </c>
      <c r="K1610" s="67">
        <f t="shared" si="104"/>
        <v>35947.118725516419</v>
      </c>
      <c r="L1610" s="95">
        <f>+VLOOKUP(E1610,MARGEN!A:B,2,FALSE)</f>
        <v>0.1</v>
      </c>
      <c r="M1610" s="112">
        <f t="shared" si="101"/>
        <v>3594.711872551642</v>
      </c>
      <c r="N1610" s="113">
        <f t="shared" si="102"/>
        <v>143.78847490206567</v>
      </c>
      <c r="O1610" s="113">
        <f t="shared" si="103"/>
        <v>32208.618378062711</v>
      </c>
    </row>
    <row r="1611" spans="1:15" x14ac:dyDescent="0.25">
      <c r="A1611" s="43">
        <v>44467</v>
      </c>
      <c r="B1611" s="51">
        <v>1271</v>
      </c>
      <c r="C1611" s="66" t="s">
        <v>106</v>
      </c>
      <c r="D1611" s="66" t="s">
        <v>349</v>
      </c>
      <c r="E1611" t="s">
        <v>45</v>
      </c>
      <c r="F1611" s="50" t="s">
        <v>566</v>
      </c>
      <c r="G1611" s="50" t="s">
        <v>574</v>
      </c>
      <c r="H1611" s="50">
        <v>2</v>
      </c>
      <c r="I1611" s="100">
        <v>6.7391919697301583</v>
      </c>
      <c r="J1611" s="52">
        <v>3834.68</v>
      </c>
      <c r="K1611" s="67">
        <f t="shared" si="104"/>
        <v>32846.00136601823</v>
      </c>
      <c r="L1611" s="95">
        <f>+VLOOKUP(E1611,MARGEN!A:B,2,FALSE)</f>
        <v>0.1</v>
      </c>
      <c r="M1611" s="112">
        <f t="shared" si="101"/>
        <v>3284.6001366018231</v>
      </c>
      <c r="N1611" s="113">
        <f t="shared" si="102"/>
        <v>131.38400546407291</v>
      </c>
      <c r="O1611" s="113">
        <f t="shared" si="103"/>
        <v>29430.017223952334</v>
      </c>
    </row>
    <row r="1612" spans="1:15" x14ac:dyDescent="0.25">
      <c r="A1612" s="43">
        <v>44467</v>
      </c>
      <c r="B1612" s="51">
        <v>1223</v>
      </c>
      <c r="C1612" s="66" t="s">
        <v>142</v>
      </c>
      <c r="D1612" s="66" t="s">
        <v>363</v>
      </c>
      <c r="E1612" t="s">
        <v>45</v>
      </c>
      <c r="F1612" s="50" t="s">
        <v>566</v>
      </c>
      <c r="G1612" s="50" t="s">
        <v>574</v>
      </c>
      <c r="H1612" s="50">
        <v>2</v>
      </c>
      <c r="I1612" s="100">
        <v>6.7391919697301583</v>
      </c>
      <c r="J1612" s="52">
        <v>3834.68</v>
      </c>
      <c r="K1612" s="67">
        <f t="shared" si="104"/>
        <v>31605.55442221896</v>
      </c>
      <c r="L1612" s="95">
        <f>+VLOOKUP(E1612,MARGEN!A:B,2,FALSE)</f>
        <v>0.1</v>
      </c>
      <c r="M1612" s="112">
        <f t="shared" si="101"/>
        <v>3160.5554422218961</v>
      </c>
      <c r="N1612" s="113">
        <f t="shared" si="102"/>
        <v>126.42221768887585</v>
      </c>
      <c r="O1612" s="113">
        <f t="shared" si="103"/>
        <v>28318.576762308188</v>
      </c>
    </row>
    <row r="1613" spans="1:15" x14ac:dyDescent="0.25">
      <c r="A1613" s="43">
        <v>44467</v>
      </c>
      <c r="B1613" s="51">
        <v>1151</v>
      </c>
      <c r="C1613" s="66" t="s">
        <v>274</v>
      </c>
      <c r="D1613" s="66" t="s">
        <v>517</v>
      </c>
      <c r="E1613" t="s">
        <v>45</v>
      </c>
      <c r="F1613" s="50" t="s">
        <v>566</v>
      </c>
      <c r="G1613" s="50" t="s">
        <v>574</v>
      </c>
      <c r="H1613" s="50">
        <v>2</v>
      </c>
      <c r="I1613" s="100">
        <v>6.7391919697301583</v>
      </c>
      <c r="J1613" s="52">
        <v>3834.68</v>
      </c>
      <c r="K1613" s="67">
        <f t="shared" si="104"/>
        <v>29744.884006520053</v>
      </c>
      <c r="L1613" s="95">
        <f>+VLOOKUP(E1613,MARGEN!A:B,2,FALSE)</f>
        <v>0.1</v>
      </c>
      <c r="M1613" s="112">
        <f t="shared" si="101"/>
        <v>2974.4884006520056</v>
      </c>
      <c r="N1613" s="113">
        <f t="shared" si="102"/>
        <v>118.97953602608021</v>
      </c>
      <c r="O1613" s="113">
        <f t="shared" si="103"/>
        <v>26651.416069841969</v>
      </c>
    </row>
    <row r="1614" spans="1:15" x14ac:dyDescent="0.25">
      <c r="A1614" s="43">
        <v>44468</v>
      </c>
      <c r="B1614" s="51">
        <v>16343</v>
      </c>
      <c r="C1614" s="66" t="s">
        <v>78</v>
      </c>
      <c r="D1614" s="66" t="s">
        <v>412</v>
      </c>
      <c r="E1614" t="s">
        <v>45</v>
      </c>
      <c r="F1614" s="50" t="s">
        <v>573</v>
      </c>
      <c r="G1614" s="50" t="s">
        <v>574</v>
      </c>
      <c r="H1614" s="50">
        <v>2</v>
      </c>
      <c r="I1614" s="100">
        <v>6.7391919697301583</v>
      </c>
      <c r="J1614" s="52">
        <v>3834.68</v>
      </c>
      <c r="K1614" s="67">
        <f t="shared" si="104"/>
        <v>422346.34171898977</v>
      </c>
      <c r="L1614" s="95">
        <f>+VLOOKUP(E1614,MARGEN!A:B,2,FALSE)</f>
        <v>0.1</v>
      </c>
      <c r="M1614" s="112">
        <f t="shared" si="101"/>
        <v>42234.634171898979</v>
      </c>
      <c r="N1614" s="113">
        <f t="shared" si="102"/>
        <v>1689.3853668759591</v>
      </c>
      <c r="O1614" s="113">
        <f t="shared" si="103"/>
        <v>378422.3221802148</v>
      </c>
    </row>
    <row r="1615" spans="1:15" x14ac:dyDescent="0.25">
      <c r="A1615" s="43">
        <v>44468</v>
      </c>
      <c r="B1615" s="51">
        <v>12815</v>
      </c>
      <c r="C1615" s="66" t="s">
        <v>73</v>
      </c>
      <c r="D1615" s="66" t="s">
        <v>338</v>
      </c>
      <c r="E1615" t="s">
        <v>45</v>
      </c>
      <c r="F1615" s="50" t="s">
        <v>573</v>
      </c>
      <c r="G1615" s="50" t="s">
        <v>574</v>
      </c>
      <c r="H1615" s="50">
        <v>2</v>
      </c>
      <c r="I1615" s="100">
        <v>6.7391919697301583</v>
      </c>
      <c r="J1615" s="52">
        <v>3834.68</v>
      </c>
      <c r="K1615" s="67">
        <f t="shared" si="104"/>
        <v>331173.49134974327</v>
      </c>
      <c r="L1615" s="95">
        <f>+VLOOKUP(E1615,MARGEN!A:B,2,FALSE)</f>
        <v>0.1</v>
      </c>
      <c r="M1615" s="112">
        <f t="shared" si="101"/>
        <v>33117.349134974327</v>
      </c>
      <c r="N1615" s="113">
        <f t="shared" si="102"/>
        <v>1324.693965398973</v>
      </c>
      <c r="O1615" s="113">
        <f t="shared" si="103"/>
        <v>296731.44824936992</v>
      </c>
    </row>
    <row r="1616" spans="1:15" x14ac:dyDescent="0.25">
      <c r="A1616" s="43">
        <v>44468</v>
      </c>
      <c r="B1616" s="51">
        <v>9935</v>
      </c>
      <c r="C1616" s="66" t="s">
        <v>95</v>
      </c>
      <c r="D1616" s="66" t="s">
        <v>510</v>
      </c>
      <c r="E1616" t="s">
        <v>45</v>
      </c>
      <c r="F1616" s="50" t="s">
        <v>573</v>
      </c>
      <c r="G1616" s="50" t="s">
        <v>574</v>
      </c>
      <c r="H1616" s="50">
        <v>2</v>
      </c>
      <c r="I1616" s="100">
        <v>6.7391919697301583</v>
      </c>
      <c r="J1616" s="52">
        <v>3834.68</v>
      </c>
      <c r="K1616" s="67">
        <f t="shared" si="104"/>
        <v>256746.6747217869</v>
      </c>
      <c r="L1616" s="95">
        <f>+VLOOKUP(E1616,MARGEN!A:B,2,FALSE)</f>
        <v>0.1</v>
      </c>
      <c r="M1616" s="112">
        <f t="shared" si="101"/>
        <v>25674.667472178691</v>
      </c>
      <c r="N1616" s="113">
        <f t="shared" si="102"/>
        <v>1026.9866988871477</v>
      </c>
      <c r="O1616" s="113">
        <f t="shared" si="103"/>
        <v>230045.02055072106</v>
      </c>
    </row>
    <row r="1617" spans="1:15" x14ac:dyDescent="0.25">
      <c r="A1617" s="43">
        <v>44468</v>
      </c>
      <c r="B1617" s="51">
        <v>8255</v>
      </c>
      <c r="C1617" s="66" t="s">
        <v>191</v>
      </c>
      <c r="D1617" s="66" t="s">
        <v>354</v>
      </c>
      <c r="E1617" t="s">
        <v>45</v>
      </c>
      <c r="F1617" s="50" t="s">
        <v>573</v>
      </c>
      <c r="G1617" s="50" t="s">
        <v>574</v>
      </c>
      <c r="H1617" s="50">
        <v>2</v>
      </c>
      <c r="I1617" s="100">
        <v>6.7391919697301583</v>
      </c>
      <c r="J1617" s="52">
        <v>3834.68</v>
      </c>
      <c r="K1617" s="67">
        <f t="shared" si="104"/>
        <v>213331.03168881236</v>
      </c>
      <c r="L1617" s="95">
        <f>+VLOOKUP(E1617,MARGEN!A:B,2,FALSE)</f>
        <v>0.1</v>
      </c>
      <c r="M1617" s="112">
        <f t="shared" si="101"/>
        <v>21333.103168881236</v>
      </c>
      <c r="N1617" s="113">
        <f t="shared" si="102"/>
        <v>853.32412675524949</v>
      </c>
      <c r="O1617" s="113">
        <f t="shared" si="103"/>
        <v>191144.60439317589</v>
      </c>
    </row>
    <row r="1618" spans="1:15" x14ac:dyDescent="0.25">
      <c r="A1618" s="43">
        <v>44468</v>
      </c>
      <c r="B1618" s="51">
        <v>8231</v>
      </c>
      <c r="C1618" s="66" t="s">
        <v>90</v>
      </c>
      <c r="D1618" s="66" t="s">
        <v>350</v>
      </c>
      <c r="E1618" t="s">
        <v>45</v>
      </c>
      <c r="F1618" s="50" t="s">
        <v>573</v>
      </c>
      <c r="G1618" s="50" t="s">
        <v>574</v>
      </c>
      <c r="H1618" s="50">
        <v>2</v>
      </c>
      <c r="I1618" s="100">
        <v>6.7391919697301583</v>
      </c>
      <c r="J1618" s="52">
        <v>3834.68</v>
      </c>
      <c r="K1618" s="67">
        <f t="shared" si="104"/>
        <v>212710.80821691276</v>
      </c>
      <c r="L1618" s="95">
        <f>+VLOOKUP(E1618,MARGEN!A:B,2,FALSE)</f>
        <v>0.1</v>
      </c>
      <c r="M1618" s="112">
        <f t="shared" si="101"/>
        <v>21271.080821691277</v>
      </c>
      <c r="N1618" s="113">
        <f t="shared" si="102"/>
        <v>850.84323286765107</v>
      </c>
      <c r="O1618" s="113">
        <f t="shared" si="103"/>
        <v>190588.88416235382</v>
      </c>
    </row>
    <row r="1619" spans="1:15" x14ac:dyDescent="0.25">
      <c r="A1619" s="43">
        <v>44468</v>
      </c>
      <c r="B1619" s="51">
        <v>7607</v>
      </c>
      <c r="C1619" s="66" t="s">
        <v>248</v>
      </c>
      <c r="D1619" s="66" t="s">
        <v>385</v>
      </c>
      <c r="E1619" t="s">
        <v>45</v>
      </c>
      <c r="F1619" s="50" t="s">
        <v>573</v>
      </c>
      <c r="G1619" s="50" t="s">
        <v>574</v>
      </c>
      <c r="H1619" s="50">
        <v>2</v>
      </c>
      <c r="I1619" s="100">
        <v>6.7391919697301583</v>
      </c>
      <c r="J1619" s="52">
        <v>3834.68</v>
      </c>
      <c r="K1619" s="67">
        <f t="shared" si="104"/>
        <v>196584.99794752221</v>
      </c>
      <c r="L1619" s="95">
        <f>+VLOOKUP(E1619,MARGEN!A:B,2,FALSE)</f>
        <v>0.1</v>
      </c>
      <c r="M1619" s="112">
        <f t="shared" si="101"/>
        <v>19658.499794752221</v>
      </c>
      <c r="N1619" s="113">
        <f t="shared" si="102"/>
        <v>786.33999179008879</v>
      </c>
      <c r="O1619" s="113">
        <f t="shared" si="103"/>
        <v>176140.15816097989</v>
      </c>
    </row>
    <row r="1620" spans="1:15" x14ac:dyDescent="0.25">
      <c r="A1620" s="43">
        <v>44468</v>
      </c>
      <c r="B1620" s="51">
        <v>7511</v>
      </c>
      <c r="C1620" s="66" t="s">
        <v>179</v>
      </c>
      <c r="D1620" s="66" t="s">
        <v>361</v>
      </c>
      <c r="E1620" t="s">
        <v>45</v>
      </c>
      <c r="F1620" s="50" t="s">
        <v>573</v>
      </c>
      <c r="G1620" s="50" t="s">
        <v>574</v>
      </c>
      <c r="H1620" s="50">
        <v>2</v>
      </c>
      <c r="I1620" s="100">
        <v>6.7391919697301583</v>
      </c>
      <c r="J1620" s="52">
        <v>3834.68</v>
      </c>
      <c r="K1620" s="67">
        <f t="shared" si="104"/>
        <v>194104.10405992364</v>
      </c>
      <c r="L1620" s="95">
        <f>+VLOOKUP(E1620,MARGEN!A:B,2,FALSE)</f>
        <v>0.1</v>
      </c>
      <c r="M1620" s="112">
        <f t="shared" si="101"/>
        <v>19410.410405992367</v>
      </c>
      <c r="N1620" s="113">
        <f t="shared" si="102"/>
        <v>776.41641623969463</v>
      </c>
      <c r="O1620" s="113">
        <f t="shared" si="103"/>
        <v>173917.2772376916</v>
      </c>
    </row>
    <row r="1621" spans="1:15" x14ac:dyDescent="0.25">
      <c r="A1621" s="43">
        <v>44468</v>
      </c>
      <c r="B1621" s="51">
        <v>7055</v>
      </c>
      <c r="C1621" s="66" t="s">
        <v>74</v>
      </c>
      <c r="D1621" s="66" t="s">
        <v>511</v>
      </c>
      <c r="E1621" t="s">
        <v>45</v>
      </c>
      <c r="F1621" s="50" t="s">
        <v>558</v>
      </c>
      <c r="G1621" s="50" t="s">
        <v>574</v>
      </c>
      <c r="H1621" s="50">
        <v>2</v>
      </c>
      <c r="I1621" s="100">
        <v>6.7391919697301583</v>
      </c>
      <c r="J1621" s="52">
        <v>3834.68</v>
      </c>
      <c r="K1621" s="67">
        <f t="shared" si="104"/>
        <v>182319.85809383055</v>
      </c>
      <c r="L1621" s="95">
        <f>+VLOOKUP(E1621,MARGEN!A:B,2,FALSE)</f>
        <v>0.1</v>
      </c>
      <c r="M1621" s="112">
        <f t="shared" si="101"/>
        <v>18231.985809383055</v>
      </c>
      <c r="N1621" s="113">
        <f t="shared" si="102"/>
        <v>729.27943237532224</v>
      </c>
      <c r="O1621" s="113">
        <f t="shared" si="103"/>
        <v>163358.59285207215</v>
      </c>
    </row>
    <row r="1622" spans="1:15" x14ac:dyDescent="0.25">
      <c r="A1622" s="43">
        <v>44468</v>
      </c>
      <c r="B1622" s="51">
        <v>5639</v>
      </c>
      <c r="C1622" s="66" t="s">
        <v>275</v>
      </c>
      <c r="D1622" s="66" t="s">
        <v>519</v>
      </c>
      <c r="E1622" t="s">
        <v>45</v>
      </c>
      <c r="F1622" s="50" t="s">
        <v>573</v>
      </c>
      <c r="G1622" s="50" t="s">
        <v>574</v>
      </c>
      <c r="H1622" s="50">
        <v>2</v>
      </c>
      <c r="I1622" s="100">
        <v>6.7391919697301583</v>
      </c>
      <c r="J1622" s="52">
        <v>3834.68</v>
      </c>
      <c r="K1622" s="67">
        <f t="shared" si="104"/>
        <v>145726.67325175201</v>
      </c>
      <c r="L1622" s="95">
        <f>+VLOOKUP(E1622,MARGEN!A:B,2,FALSE)</f>
        <v>0.1</v>
      </c>
      <c r="M1622" s="112">
        <f t="shared" si="101"/>
        <v>14572.667325175202</v>
      </c>
      <c r="N1622" s="113">
        <f t="shared" si="102"/>
        <v>582.90669300700802</v>
      </c>
      <c r="O1622" s="113">
        <f t="shared" si="103"/>
        <v>130571.09923356981</v>
      </c>
    </row>
    <row r="1623" spans="1:15" x14ac:dyDescent="0.25">
      <c r="A1623" s="43">
        <v>44468</v>
      </c>
      <c r="B1623" s="51">
        <v>5543</v>
      </c>
      <c r="C1623" s="66" t="s">
        <v>116</v>
      </c>
      <c r="D1623" s="66" t="s">
        <v>330</v>
      </c>
      <c r="E1623" t="s">
        <v>45</v>
      </c>
      <c r="F1623" s="50" t="s">
        <v>573</v>
      </c>
      <c r="G1623" s="50" t="s">
        <v>574</v>
      </c>
      <c r="H1623" s="50">
        <v>2</v>
      </c>
      <c r="I1623" s="100">
        <v>6.7391919697301583</v>
      </c>
      <c r="J1623" s="52">
        <v>3834.68</v>
      </c>
      <c r="K1623" s="67">
        <f t="shared" si="104"/>
        <v>143245.77936415351</v>
      </c>
      <c r="L1623" s="95">
        <f>+VLOOKUP(E1623,MARGEN!A:B,2,FALSE)</f>
        <v>0.1</v>
      </c>
      <c r="M1623" s="112">
        <f t="shared" si="101"/>
        <v>14324.577936415351</v>
      </c>
      <c r="N1623" s="113">
        <f t="shared" si="102"/>
        <v>572.98311745661408</v>
      </c>
      <c r="O1623" s="113">
        <f t="shared" si="103"/>
        <v>128348.21831028153</v>
      </c>
    </row>
    <row r="1624" spans="1:15" x14ac:dyDescent="0.25">
      <c r="A1624" s="43">
        <v>44468</v>
      </c>
      <c r="B1624" s="51">
        <v>4535</v>
      </c>
      <c r="C1624" s="66" t="s">
        <v>76</v>
      </c>
      <c r="D1624" s="66" t="s">
        <v>332</v>
      </c>
      <c r="E1624" t="s">
        <v>45</v>
      </c>
      <c r="F1624" s="50" t="s">
        <v>573</v>
      </c>
      <c r="G1624" s="50" t="s">
        <v>574</v>
      </c>
      <c r="H1624" s="50">
        <v>2</v>
      </c>
      <c r="I1624" s="100">
        <v>6.7391919697301583</v>
      </c>
      <c r="J1624" s="52">
        <v>3834.68</v>
      </c>
      <c r="K1624" s="67">
        <f t="shared" si="104"/>
        <v>117196.39354436877</v>
      </c>
      <c r="L1624" s="95">
        <f>+VLOOKUP(E1624,MARGEN!A:B,2,FALSE)</f>
        <v>0.1</v>
      </c>
      <c r="M1624" s="112">
        <f t="shared" si="101"/>
        <v>11719.639354436877</v>
      </c>
      <c r="N1624" s="113">
        <f t="shared" si="102"/>
        <v>468.78557417747504</v>
      </c>
      <c r="O1624" s="113">
        <f t="shared" si="103"/>
        <v>105007.96861575442</v>
      </c>
    </row>
    <row r="1625" spans="1:15" x14ac:dyDescent="0.25">
      <c r="A1625" s="43">
        <v>44468</v>
      </c>
      <c r="B1625" s="51">
        <v>4319</v>
      </c>
      <c r="C1625" s="66" t="s">
        <v>91</v>
      </c>
      <c r="D1625" s="66" t="s">
        <v>340</v>
      </c>
      <c r="E1625" t="s">
        <v>45</v>
      </c>
      <c r="F1625" s="50" t="s">
        <v>573</v>
      </c>
      <c r="G1625" s="50" t="s">
        <v>574</v>
      </c>
      <c r="H1625" s="50">
        <v>2</v>
      </c>
      <c r="I1625" s="100">
        <v>6.7391919697301583</v>
      </c>
      <c r="J1625" s="52">
        <v>3834.68</v>
      </c>
      <c r="K1625" s="67">
        <f t="shared" si="104"/>
        <v>111614.38229727202</v>
      </c>
      <c r="L1625" s="95">
        <f>+VLOOKUP(E1625,MARGEN!A:B,2,FALSE)</f>
        <v>0.1</v>
      </c>
      <c r="M1625" s="112">
        <f t="shared" si="101"/>
        <v>11161.438229727202</v>
      </c>
      <c r="N1625" s="113">
        <f t="shared" si="102"/>
        <v>446.45752918908806</v>
      </c>
      <c r="O1625" s="113">
        <f t="shared" si="103"/>
        <v>100006.48653835573</v>
      </c>
    </row>
    <row r="1626" spans="1:15" x14ac:dyDescent="0.25">
      <c r="A1626" s="43">
        <v>44468</v>
      </c>
      <c r="B1626" s="51">
        <v>4295</v>
      </c>
      <c r="C1626" s="66" t="s">
        <v>197</v>
      </c>
      <c r="D1626" s="66" t="s">
        <v>358</v>
      </c>
      <c r="E1626" t="s">
        <v>45</v>
      </c>
      <c r="F1626" s="50" t="s">
        <v>558</v>
      </c>
      <c r="G1626" s="50" t="s">
        <v>574</v>
      </c>
      <c r="H1626" s="50">
        <v>2</v>
      </c>
      <c r="I1626" s="100">
        <v>6.7391919697301583</v>
      </c>
      <c r="J1626" s="52">
        <v>3834.68</v>
      </c>
      <c r="K1626" s="67">
        <f t="shared" si="104"/>
        <v>110994.1588253724</v>
      </c>
      <c r="L1626" s="95">
        <f>+VLOOKUP(E1626,MARGEN!A:B,2,FALSE)</f>
        <v>0.1</v>
      </c>
      <c r="M1626" s="112">
        <f t="shared" si="101"/>
        <v>11099.415882537241</v>
      </c>
      <c r="N1626" s="113">
        <f t="shared" si="102"/>
        <v>443.97663530148964</v>
      </c>
      <c r="O1626" s="113">
        <f t="shared" si="103"/>
        <v>99450.766307533675</v>
      </c>
    </row>
    <row r="1627" spans="1:15" x14ac:dyDescent="0.25">
      <c r="A1627" s="43">
        <v>44468</v>
      </c>
      <c r="B1627" s="51">
        <v>4175</v>
      </c>
      <c r="C1627" s="66" t="s">
        <v>276</v>
      </c>
      <c r="D1627" s="66" t="s">
        <v>512</v>
      </c>
      <c r="E1627" t="s">
        <v>45</v>
      </c>
      <c r="F1627" s="50" t="s">
        <v>573</v>
      </c>
      <c r="G1627" s="50" t="s">
        <v>574</v>
      </c>
      <c r="H1627" s="50">
        <v>2</v>
      </c>
      <c r="I1627" s="100">
        <v>6.7391919697301583</v>
      </c>
      <c r="J1627" s="52">
        <v>3834.68</v>
      </c>
      <c r="K1627" s="67">
        <f t="shared" si="104"/>
        <v>107893.04146587422</v>
      </c>
      <c r="L1627" s="95">
        <f>+VLOOKUP(E1627,MARGEN!A:B,2,FALSE)</f>
        <v>0.1</v>
      </c>
      <c r="M1627" s="112">
        <f t="shared" si="101"/>
        <v>10789.304146587423</v>
      </c>
      <c r="N1627" s="113">
        <f t="shared" si="102"/>
        <v>431.57216586349688</v>
      </c>
      <c r="O1627" s="113">
        <f t="shared" si="103"/>
        <v>96672.165153423295</v>
      </c>
    </row>
    <row r="1628" spans="1:15" x14ac:dyDescent="0.25">
      <c r="A1628" s="43">
        <v>44468</v>
      </c>
      <c r="B1628" s="51">
        <v>4151</v>
      </c>
      <c r="C1628" s="66" t="s">
        <v>234</v>
      </c>
      <c r="D1628" s="66" t="s">
        <v>331</v>
      </c>
      <c r="E1628" t="s">
        <v>45</v>
      </c>
      <c r="F1628" s="50" t="s">
        <v>573</v>
      </c>
      <c r="G1628" s="50" t="s">
        <v>574</v>
      </c>
      <c r="H1628" s="50">
        <v>2</v>
      </c>
      <c r="I1628" s="100">
        <v>6.7391919697301583</v>
      </c>
      <c r="J1628" s="52">
        <v>3834.68</v>
      </c>
      <c r="K1628" s="67">
        <f t="shared" si="104"/>
        <v>107272.81799397458</v>
      </c>
      <c r="L1628" s="95">
        <f>+VLOOKUP(E1628,MARGEN!A:B,2,FALSE)</f>
        <v>0.1</v>
      </c>
      <c r="M1628" s="112">
        <f t="shared" si="101"/>
        <v>10727.281799397459</v>
      </c>
      <c r="N1628" s="113">
        <f t="shared" si="102"/>
        <v>429.09127197589828</v>
      </c>
      <c r="O1628" s="113">
        <f t="shared" si="103"/>
        <v>96116.444922601222</v>
      </c>
    </row>
    <row r="1629" spans="1:15" x14ac:dyDescent="0.25">
      <c r="A1629" s="43">
        <v>44468</v>
      </c>
      <c r="B1629" s="51">
        <v>4127</v>
      </c>
      <c r="C1629" s="66" t="s">
        <v>235</v>
      </c>
      <c r="D1629" s="66" t="s">
        <v>339</v>
      </c>
      <c r="E1629" t="s">
        <v>45</v>
      </c>
      <c r="F1629" s="50" t="s">
        <v>573</v>
      </c>
      <c r="G1629" s="50" t="s">
        <v>574</v>
      </c>
      <c r="H1629" s="50">
        <v>2</v>
      </c>
      <c r="I1629" s="100">
        <v>6.7391919697301583</v>
      </c>
      <c r="J1629" s="52">
        <v>3834.68</v>
      </c>
      <c r="K1629" s="67">
        <f t="shared" si="104"/>
        <v>106652.59452207494</v>
      </c>
      <c r="L1629" s="95">
        <f>+VLOOKUP(E1629,MARGEN!A:B,2,FALSE)</f>
        <v>0.1</v>
      </c>
      <c r="M1629" s="112">
        <f t="shared" si="101"/>
        <v>10665.259452207494</v>
      </c>
      <c r="N1629" s="113">
        <f t="shared" si="102"/>
        <v>426.61037808829974</v>
      </c>
      <c r="O1629" s="113">
        <f t="shared" si="103"/>
        <v>95560.724691779149</v>
      </c>
    </row>
    <row r="1630" spans="1:15" x14ac:dyDescent="0.25">
      <c r="A1630" s="43">
        <v>44468</v>
      </c>
      <c r="B1630" s="51">
        <v>3911</v>
      </c>
      <c r="C1630" s="66" t="s">
        <v>71</v>
      </c>
      <c r="D1630" s="66" t="s">
        <v>337</v>
      </c>
      <c r="E1630" t="s">
        <v>45</v>
      </c>
      <c r="F1630" s="50" t="s">
        <v>573</v>
      </c>
      <c r="G1630" s="50" t="s">
        <v>574</v>
      </c>
      <c r="H1630" s="50">
        <v>2</v>
      </c>
      <c r="I1630" s="100">
        <v>6.7391919697301583</v>
      </c>
      <c r="J1630" s="52">
        <v>3834.68</v>
      </c>
      <c r="K1630" s="67">
        <f t="shared" si="104"/>
        <v>101070.58327497823</v>
      </c>
      <c r="L1630" s="95">
        <f>+VLOOKUP(E1630,MARGEN!A:B,2,FALSE)</f>
        <v>0.1</v>
      </c>
      <c r="M1630" s="112">
        <f t="shared" si="101"/>
        <v>10107.058327497823</v>
      </c>
      <c r="N1630" s="113">
        <f t="shared" si="102"/>
        <v>404.28233309991293</v>
      </c>
      <c r="O1630" s="113">
        <f t="shared" si="103"/>
        <v>90559.242614380491</v>
      </c>
    </row>
    <row r="1631" spans="1:15" x14ac:dyDescent="0.25">
      <c r="A1631" s="43">
        <v>44468</v>
      </c>
      <c r="B1631" s="51">
        <v>3503</v>
      </c>
      <c r="C1631" s="66" t="s">
        <v>269</v>
      </c>
      <c r="D1631" s="66" t="s">
        <v>520</v>
      </c>
      <c r="E1631" t="s">
        <v>45</v>
      </c>
      <c r="F1631" s="50" t="s">
        <v>558</v>
      </c>
      <c r="G1631" s="50" t="s">
        <v>574</v>
      </c>
      <c r="H1631" s="50">
        <v>2</v>
      </c>
      <c r="I1631" s="100">
        <v>6.7391919697301583</v>
      </c>
      <c r="J1631" s="52">
        <v>3834.68</v>
      </c>
      <c r="K1631" s="67">
        <f t="shared" si="104"/>
        <v>90526.784252684418</v>
      </c>
      <c r="L1631" s="95">
        <f>+VLOOKUP(E1631,MARGEN!A:B,2,FALSE)</f>
        <v>0.1</v>
      </c>
      <c r="M1631" s="112">
        <f t="shared" si="101"/>
        <v>9052.6784252684429</v>
      </c>
      <c r="N1631" s="113">
        <f t="shared" si="102"/>
        <v>362.10713701073769</v>
      </c>
      <c r="O1631" s="113">
        <f t="shared" si="103"/>
        <v>81111.998690405235</v>
      </c>
    </row>
    <row r="1632" spans="1:15" x14ac:dyDescent="0.25">
      <c r="A1632" s="43">
        <v>44468</v>
      </c>
      <c r="B1632" s="51">
        <v>3143</v>
      </c>
      <c r="C1632" s="66" t="s">
        <v>277</v>
      </c>
      <c r="D1632" s="66" t="s">
        <v>513</v>
      </c>
      <c r="E1632" t="s">
        <v>45</v>
      </c>
      <c r="F1632" s="50" t="s">
        <v>573</v>
      </c>
      <c r="G1632" s="50" t="s">
        <v>574</v>
      </c>
      <c r="H1632" s="50">
        <v>2</v>
      </c>
      <c r="I1632" s="100">
        <v>6.7391919697301583</v>
      </c>
      <c r="J1632" s="52">
        <v>3834.68</v>
      </c>
      <c r="K1632" s="67">
        <f t="shared" si="104"/>
        <v>81223.43217418986</v>
      </c>
      <c r="L1632" s="95">
        <f>+VLOOKUP(E1632,MARGEN!A:B,2,FALSE)</f>
        <v>0.1</v>
      </c>
      <c r="M1632" s="112">
        <f t="shared" si="101"/>
        <v>8122.3432174189866</v>
      </c>
      <c r="N1632" s="113">
        <f t="shared" si="102"/>
        <v>324.89372869675947</v>
      </c>
      <c r="O1632" s="113">
        <f t="shared" si="103"/>
        <v>72776.195228074124</v>
      </c>
    </row>
    <row r="1633" spans="1:15" x14ac:dyDescent="0.25">
      <c r="A1633" s="43">
        <v>44468</v>
      </c>
      <c r="B1633" s="51">
        <v>2879</v>
      </c>
      <c r="C1633" s="66" t="s">
        <v>139</v>
      </c>
      <c r="D1633" s="66" t="s">
        <v>327</v>
      </c>
      <c r="E1633" t="s">
        <v>45</v>
      </c>
      <c r="F1633" s="50" t="s">
        <v>573</v>
      </c>
      <c r="G1633" s="50" t="s">
        <v>574</v>
      </c>
      <c r="H1633" s="50">
        <v>2</v>
      </c>
      <c r="I1633" s="100">
        <v>6.7391919697301583</v>
      </c>
      <c r="J1633" s="52">
        <v>3834.68</v>
      </c>
      <c r="K1633" s="67">
        <f t="shared" si="104"/>
        <v>74400.973983293865</v>
      </c>
      <c r="L1633" s="95">
        <f>+VLOOKUP(E1633,MARGEN!A:B,2,FALSE)</f>
        <v>0.1</v>
      </c>
      <c r="M1633" s="112">
        <f t="shared" si="101"/>
        <v>7440.097398329387</v>
      </c>
      <c r="N1633" s="113">
        <f t="shared" si="102"/>
        <v>297.60389593317547</v>
      </c>
      <c r="O1633" s="113">
        <f t="shared" si="103"/>
        <v>66663.272689031306</v>
      </c>
    </row>
    <row r="1634" spans="1:15" x14ac:dyDescent="0.25">
      <c r="A1634" s="43">
        <v>44468</v>
      </c>
      <c r="B1634" s="51">
        <v>2855</v>
      </c>
      <c r="C1634" s="66" t="s">
        <v>99</v>
      </c>
      <c r="D1634" s="66" t="s">
        <v>366</v>
      </c>
      <c r="E1634" t="s">
        <v>45</v>
      </c>
      <c r="F1634" s="50" t="s">
        <v>558</v>
      </c>
      <c r="G1634" s="50" t="s">
        <v>574</v>
      </c>
      <c r="H1634" s="50">
        <v>2</v>
      </c>
      <c r="I1634" s="100">
        <v>6.7391919697301583</v>
      </c>
      <c r="J1634" s="52">
        <v>3834.68</v>
      </c>
      <c r="K1634" s="67">
        <f t="shared" si="104"/>
        <v>73780.750511394232</v>
      </c>
      <c r="L1634" s="95">
        <f>+VLOOKUP(E1634,MARGEN!A:B,2,FALSE)</f>
        <v>0.1</v>
      </c>
      <c r="M1634" s="112">
        <f t="shared" si="101"/>
        <v>7378.0750511394235</v>
      </c>
      <c r="N1634" s="113">
        <f t="shared" si="102"/>
        <v>295.12300204557692</v>
      </c>
      <c r="O1634" s="113">
        <f t="shared" si="103"/>
        <v>66107.552458209218</v>
      </c>
    </row>
    <row r="1635" spans="1:15" x14ac:dyDescent="0.25">
      <c r="A1635" s="43">
        <v>44468</v>
      </c>
      <c r="B1635" s="51">
        <v>2855</v>
      </c>
      <c r="C1635" s="66" t="s">
        <v>268</v>
      </c>
      <c r="D1635" s="66" t="s">
        <v>514</v>
      </c>
      <c r="E1635" t="s">
        <v>45</v>
      </c>
      <c r="F1635" s="50" t="s">
        <v>573</v>
      </c>
      <c r="G1635" s="50" t="s">
        <v>574</v>
      </c>
      <c r="H1635" s="50">
        <v>2</v>
      </c>
      <c r="I1635" s="100">
        <v>6.7391919697301583</v>
      </c>
      <c r="J1635" s="52">
        <v>3834.68</v>
      </c>
      <c r="K1635" s="67">
        <f t="shared" si="104"/>
        <v>73780.750511394232</v>
      </c>
      <c r="L1635" s="95">
        <f>+VLOOKUP(E1635,MARGEN!A:B,2,FALSE)</f>
        <v>0.1</v>
      </c>
      <c r="M1635" s="112">
        <f t="shared" si="101"/>
        <v>7378.0750511394235</v>
      </c>
      <c r="N1635" s="113">
        <f t="shared" si="102"/>
        <v>295.12300204557692</v>
      </c>
      <c r="O1635" s="113">
        <f t="shared" si="103"/>
        <v>66107.552458209218</v>
      </c>
    </row>
    <row r="1636" spans="1:15" x14ac:dyDescent="0.25">
      <c r="A1636" s="43">
        <v>44468</v>
      </c>
      <c r="B1636" s="51">
        <v>2807</v>
      </c>
      <c r="C1636" s="66" t="s">
        <v>178</v>
      </c>
      <c r="D1636" s="66" t="s">
        <v>370</v>
      </c>
      <c r="E1636" t="s">
        <v>45</v>
      </c>
      <c r="F1636" s="50" t="s">
        <v>573</v>
      </c>
      <c r="G1636" s="50" t="s">
        <v>574</v>
      </c>
      <c r="H1636" s="50">
        <v>2</v>
      </c>
      <c r="I1636" s="100">
        <v>6.7391919697301583</v>
      </c>
      <c r="J1636" s="52">
        <v>3834.68</v>
      </c>
      <c r="K1636" s="67">
        <f t="shared" si="104"/>
        <v>72540.303567594965</v>
      </c>
      <c r="L1636" s="95">
        <f>+VLOOKUP(E1636,MARGEN!A:B,2,FALSE)</f>
        <v>0.1</v>
      </c>
      <c r="M1636" s="112">
        <f t="shared" si="101"/>
        <v>7254.0303567594965</v>
      </c>
      <c r="N1636" s="113">
        <f t="shared" si="102"/>
        <v>290.16121427037984</v>
      </c>
      <c r="O1636" s="113">
        <f t="shared" si="103"/>
        <v>64996.111996565087</v>
      </c>
    </row>
    <row r="1637" spans="1:15" x14ac:dyDescent="0.25">
      <c r="A1637" s="43">
        <v>44468</v>
      </c>
      <c r="B1637" s="51">
        <v>2783</v>
      </c>
      <c r="C1637" s="66" t="s">
        <v>271</v>
      </c>
      <c r="D1637" s="66" t="s">
        <v>518</v>
      </c>
      <c r="E1637" t="s">
        <v>45</v>
      </c>
      <c r="F1637" s="50" t="s">
        <v>558</v>
      </c>
      <c r="G1637" s="50" t="s">
        <v>574</v>
      </c>
      <c r="H1637" s="50">
        <v>2</v>
      </c>
      <c r="I1637" s="100">
        <v>6.7391919697301583</v>
      </c>
      <c r="J1637" s="52">
        <v>3834.68</v>
      </c>
      <c r="K1637" s="67">
        <f t="shared" si="104"/>
        <v>71920.080095695317</v>
      </c>
      <c r="L1637" s="95">
        <f>+VLOOKUP(E1637,MARGEN!A:B,2,FALSE)</f>
        <v>0.1</v>
      </c>
      <c r="M1637" s="112">
        <f t="shared" si="101"/>
        <v>7192.0080095695321</v>
      </c>
      <c r="N1637" s="113">
        <f t="shared" si="102"/>
        <v>287.68032038278125</v>
      </c>
      <c r="O1637" s="113">
        <f t="shared" si="103"/>
        <v>64440.391765743007</v>
      </c>
    </row>
    <row r="1638" spans="1:15" x14ac:dyDescent="0.25">
      <c r="A1638" s="43">
        <v>44468</v>
      </c>
      <c r="B1638" s="51">
        <v>2663</v>
      </c>
      <c r="C1638" s="66" t="s">
        <v>138</v>
      </c>
      <c r="D1638" s="66" t="s">
        <v>321</v>
      </c>
      <c r="E1638" t="s">
        <v>45</v>
      </c>
      <c r="F1638" s="50" t="s">
        <v>573</v>
      </c>
      <c r="G1638" s="50" t="s">
        <v>574</v>
      </c>
      <c r="H1638" s="50">
        <v>2</v>
      </c>
      <c r="I1638" s="100">
        <v>6.7391919697301583</v>
      </c>
      <c r="J1638" s="52">
        <v>3834.68</v>
      </c>
      <c r="K1638" s="67">
        <f t="shared" si="104"/>
        <v>68818.962736197136</v>
      </c>
      <c r="L1638" s="95">
        <f>+VLOOKUP(E1638,MARGEN!A:B,2,FALSE)</f>
        <v>0.1</v>
      </c>
      <c r="M1638" s="112">
        <f t="shared" si="101"/>
        <v>6881.8962736197136</v>
      </c>
      <c r="N1638" s="113">
        <f t="shared" si="102"/>
        <v>275.27585094478854</v>
      </c>
      <c r="O1638" s="113">
        <f t="shared" si="103"/>
        <v>61661.790611632634</v>
      </c>
    </row>
    <row r="1639" spans="1:15" x14ac:dyDescent="0.25">
      <c r="A1639" s="43">
        <v>44468</v>
      </c>
      <c r="B1639" s="51">
        <v>2423</v>
      </c>
      <c r="C1639" s="66" t="s">
        <v>94</v>
      </c>
      <c r="D1639" s="66" t="s">
        <v>328</v>
      </c>
      <c r="E1639" t="s">
        <v>45</v>
      </c>
      <c r="F1639" s="50" t="s">
        <v>558</v>
      </c>
      <c r="G1639" s="50" t="s">
        <v>574</v>
      </c>
      <c r="H1639" s="50">
        <v>2</v>
      </c>
      <c r="I1639" s="100">
        <v>6.7391919697301583</v>
      </c>
      <c r="J1639" s="52">
        <v>3834.68</v>
      </c>
      <c r="K1639" s="67">
        <f t="shared" si="104"/>
        <v>62616.728017200774</v>
      </c>
      <c r="L1639" s="95">
        <f>+VLOOKUP(E1639,MARGEN!A:B,2,FALSE)</f>
        <v>0.1</v>
      </c>
      <c r="M1639" s="112">
        <f t="shared" si="101"/>
        <v>6261.6728017200776</v>
      </c>
      <c r="N1639" s="113">
        <f t="shared" si="102"/>
        <v>250.46691206880308</v>
      </c>
      <c r="O1639" s="113">
        <f t="shared" si="103"/>
        <v>56104.588303411889</v>
      </c>
    </row>
    <row r="1640" spans="1:15" x14ac:dyDescent="0.25">
      <c r="A1640" s="43">
        <v>44468</v>
      </c>
      <c r="B1640" s="51">
        <v>2207</v>
      </c>
      <c r="C1640" s="66" t="s">
        <v>246</v>
      </c>
      <c r="D1640" s="66" t="s">
        <v>373</v>
      </c>
      <c r="E1640" t="s">
        <v>45</v>
      </c>
      <c r="F1640" s="50" t="s">
        <v>558</v>
      </c>
      <c r="G1640" s="50" t="s">
        <v>574</v>
      </c>
      <c r="H1640" s="50">
        <v>2</v>
      </c>
      <c r="I1640" s="100">
        <v>6.7391919697301583</v>
      </c>
      <c r="J1640" s="52">
        <v>3834.68</v>
      </c>
      <c r="K1640" s="67">
        <f t="shared" si="104"/>
        <v>57034.716770104053</v>
      </c>
      <c r="L1640" s="95">
        <f>+VLOOKUP(E1640,MARGEN!A:B,2,FALSE)</f>
        <v>0.1</v>
      </c>
      <c r="M1640" s="112">
        <f t="shared" si="101"/>
        <v>5703.471677010406</v>
      </c>
      <c r="N1640" s="113">
        <f t="shared" si="102"/>
        <v>228.13886708041622</v>
      </c>
      <c r="O1640" s="113">
        <f t="shared" si="103"/>
        <v>51103.106226013231</v>
      </c>
    </row>
    <row r="1641" spans="1:15" x14ac:dyDescent="0.25">
      <c r="A1641" s="43">
        <v>44468</v>
      </c>
      <c r="B1641" s="51">
        <v>2183</v>
      </c>
      <c r="C1641" s="66" t="s">
        <v>93</v>
      </c>
      <c r="D1641" s="66" t="s">
        <v>353</v>
      </c>
      <c r="E1641" t="s">
        <v>45</v>
      </c>
      <c r="F1641" s="50" t="s">
        <v>558</v>
      </c>
      <c r="G1641" s="50" t="s">
        <v>574</v>
      </c>
      <c r="H1641" s="50">
        <v>2</v>
      </c>
      <c r="I1641" s="100">
        <v>6.7391919697301583</v>
      </c>
      <c r="J1641" s="52">
        <v>3834.68</v>
      </c>
      <c r="K1641" s="67">
        <f t="shared" si="104"/>
        <v>56414.493298204405</v>
      </c>
      <c r="L1641" s="95">
        <f>+VLOOKUP(E1641,MARGEN!A:B,2,FALSE)</f>
        <v>0.1</v>
      </c>
      <c r="M1641" s="112">
        <f t="shared" si="101"/>
        <v>5641.4493298204407</v>
      </c>
      <c r="N1641" s="113">
        <f t="shared" si="102"/>
        <v>225.65797319281762</v>
      </c>
      <c r="O1641" s="113">
        <f t="shared" si="103"/>
        <v>50547.385995191151</v>
      </c>
    </row>
    <row r="1642" spans="1:15" x14ac:dyDescent="0.25">
      <c r="A1642" s="43">
        <v>44468</v>
      </c>
      <c r="B1642" s="51">
        <v>2183</v>
      </c>
      <c r="C1642" s="66" t="s">
        <v>560</v>
      </c>
      <c r="D1642" s="66" t="s">
        <v>561</v>
      </c>
      <c r="E1642" t="s">
        <v>45</v>
      </c>
      <c r="F1642" s="50" t="s">
        <v>573</v>
      </c>
      <c r="G1642" s="50" t="s">
        <v>574</v>
      </c>
      <c r="H1642" s="50">
        <v>2</v>
      </c>
      <c r="I1642" s="100">
        <v>6.7391919697301583</v>
      </c>
      <c r="J1642" s="52">
        <v>3834.68</v>
      </c>
      <c r="K1642" s="67">
        <f t="shared" si="104"/>
        <v>56414.493298204405</v>
      </c>
      <c r="L1642" s="95">
        <f>+VLOOKUP(E1642,MARGEN!A:B,2,FALSE)</f>
        <v>0.1</v>
      </c>
      <c r="M1642" s="112">
        <f t="shared" si="101"/>
        <v>5641.4493298204407</v>
      </c>
      <c r="N1642" s="113">
        <f t="shared" si="102"/>
        <v>225.65797319281762</v>
      </c>
      <c r="O1642" s="113">
        <f t="shared" si="103"/>
        <v>50547.385995191151</v>
      </c>
    </row>
    <row r="1643" spans="1:15" x14ac:dyDescent="0.25">
      <c r="A1643" s="43">
        <v>44468</v>
      </c>
      <c r="B1643" s="51">
        <v>2087</v>
      </c>
      <c r="C1643" s="66" t="s">
        <v>103</v>
      </c>
      <c r="D1643" s="66" t="s">
        <v>342</v>
      </c>
      <c r="E1643" t="s">
        <v>45</v>
      </c>
      <c r="F1643" s="50" t="s">
        <v>573</v>
      </c>
      <c r="G1643" s="50" t="s">
        <v>574</v>
      </c>
      <c r="H1643" s="50">
        <v>2</v>
      </c>
      <c r="I1643" s="100">
        <v>6.7391919697301583</v>
      </c>
      <c r="J1643" s="52">
        <v>3834.68</v>
      </c>
      <c r="K1643" s="67">
        <f t="shared" si="104"/>
        <v>53933.599410605872</v>
      </c>
      <c r="L1643" s="95">
        <f>+VLOOKUP(E1643,MARGEN!A:B,2,FALSE)</f>
        <v>0.1</v>
      </c>
      <c r="M1643" s="112">
        <f t="shared" si="101"/>
        <v>5393.3599410605875</v>
      </c>
      <c r="N1643" s="113">
        <f t="shared" si="102"/>
        <v>215.73439764242349</v>
      </c>
      <c r="O1643" s="113">
        <f t="shared" si="103"/>
        <v>48324.505071902859</v>
      </c>
    </row>
    <row r="1644" spans="1:15" x14ac:dyDescent="0.25">
      <c r="A1644" s="43">
        <v>44468</v>
      </c>
      <c r="B1644" s="51">
        <v>1943</v>
      </c>
      <c r="C1644" s="66" t="s">
        <v>117</v>
      </c>
      <c r="D1644" s="66" t="s">
        <v>336</v>
      </c>
      <c r="E1644" t="s">
        <v>45</v>
      </c>
      <c r="F1644" s="50" t="s">
        <v>558</v>
      </c>
      <c r="G1644" s="50" t="s">
        <v>574</v>
      </c>
      <c r="H1644" s="50">
        <v>2</v>
      </c>
      <c r="I1644" s="100">
        <v>6.7391919697301583</v>
      </c>
      <c r="J1644" s="52">
        <v>3834.68</v>
      </c>
      <c r="K1644" s="67">
        <f t="shared" si="104"/>
        <v>50212.258579208043</v>
      </c>
      <c r="L1644" s="95">
        <f>+VLOOKUP(E1644,MARGEN!A:B,2,FALSE)</f>
        <v>0.1</v>
      </c>
      <c r="M1644" s="112">
        <f t="shared" si="101"/>
        <v>5021.2258579208046</v>
      </c>
      <c r="N1644" s="113">
        <f t="shared" si="102"/>
        <v>200.84903431683216</v>
      </c>
      <c r="O1644" s="113">
        <f t="shared" si="103"/>
        <v>44990.183686970406</v>
      </c>
    </row>
    <row r="1645" spans="1:15" x14ac:dyDescent="0.25">
      <c r="A1645" s="43">
        <v>44468</v>
      </c>
      <c r="B1645" s="51">
        <v>1871</v>
      </c>
      <c r="C1645" s="66" t="s">
        <v>198</v>
      </c>
      <c r="D1645" s="66" t="s">
        <v>326</v>
      </c>
      <c r="E1645" t="s">
        <v>45</v>
      </c>
      <c r="F1645" s="50" t="s">
        <v>573</v>
      </c>
      <c r="G1645" s="50" t="s">
        <v>574</v>
      </c>
      <c r="H1645" s="50">
        <v>2</v>
      </c>
      <c r="I1645" s="100">
        <v>6.7391919697301583</v>
      </c>
      <c r="J1645" s="52">
        <v>3834.68</v>
      </c>
      <c r="K1645" s="67">
        <f t="shared" si="104"/>
        <v>48351.588163509143</v>
      </c>
      <c r="L1645" s="95">
        <f>+VLOOKUP(E1645,MARGEN!A:B,2,FALSE)</f>
        <v>0.1</v>
      </c>
      <c r="M1645" s="112">
        <f t="shared" si="101"/>
        <v>4835.1588163509141</v>
      </c>
      <c r="N1645" s="113">
        <f t="shared" si="102"/>
        <v>193.40635265403657</v>
      </c>
      <c r="O1645" s="113">
        <f t="shared" si="103"/>
        <v>43323.022994504194</v>
      </c>
    </row>
    <row r="1646" spans="1:15" x14ac:dyDescent="0.25">
      <c r="A1646" s="43">
        <v>44468</v>
      </c>
      <c r="B1646" s="51">
        <v>1847</v>
      </c>
      <c r="C1646" s="66" t="s">
        <v>270</v>
      </c>
      <c r="D1646" s="66" t="s">
        <v>491</v>
      </c>
      <c r="E1646" t="s">
        <v>45</v>
      </c>
      <c r="F1646" s="50" t="s">
        <v>558</v>
      </c>
      <c r="G1646" s="50" t="s">
        <v>574</v>
      </c>
      <c r="H1646" s="50">
        <v>2</v>
      </c>
      <c r="I1646" s="100">
        <v>6.7391919697301583</v>
      </c>
      <c r="J1646" s="52">
        <v>3834.68</v>
      </c>
      <c r="K1646" s="67">
        <f t="shared" si="104"/>
        <v>47731.364691609502</v>
      </c>
      <c r="L1646" s="95">
        <f>+VLOOKUP(E1646,MARGEN!A:B,2,FALSE)</f>
        <v>0.1</v>
      </c>
      <c r="M1646" s="112">
        <f t="shared" si="101"/>
        <v>4773.1364691609506</v>
      </c>
      <c r="N1646" s="113">
        <f t="shared" si="102"/>
        <v>190.925458766438</v>
      </c>
      <c r="O1646" s="113">
        <f t="shared" si="103"/>
        <v>42767.302763682113</v>
      </c>
    </row>
    <row r="1647" spans="1:15" x14ac:dyDescent="0.25">
      <c r="A1647" s="43">
        <v>44468</v>
      </c>
      <c r="B1647" s="51">
        <v>1799</v>
      </c>
      <c r="C1647" s="66" t="s">
        <v>272</v>
      </c>
      <c r="D1647" s="66" t="s">
        <v>516</v>
      </c>
      <c r="E1647" t="s">
        <v>45</v>
      </c>
      <c r="F1647" s="50" t="s">
        <v>558</v>
      </c>
      <c r="G1647" s="50" t="s">
        <v>574</v>
      </c>
      <c r="H1647" s="50">
        <v>2</v>
      </c>
      <c r="I1647" s="100">
        <v>6.7391919697301583</v>
      </c>
      <c r="J1647" s="52">
        <v>3834.68</v>
      </c>
      <c r="K1647" s="67">
        <f t="shared" si="104"/>
        <v>46490.917747810228</v>
      </c>
      <c r="L1647" s="95">
        <f>+VLOOKUP(E1647,MARGEN!A:B,2,FALSE)</f>
        <v>0.1</v>
      </c>
      <c r="M1647" s="112">
        <f t="shared" si="101"/>
        <v>4649.0917747810227</v>
      </c>
      <c r="N1647" s="113">
        <f t="shared" si="102"/>
        <v>185.96367099124092</v>
      </c>
      <c r="O1647" s="113">
        <f t="shared" si="103"/>
        <v>41655.862302037967</v>
      </c>
    </row>
    <row r="1648" spans="1:15" x14ac:dyDescent="0.25">
      <c r="A1648" s="43">
        <v>44468</v>
      </c>
      <c r="B1648" s="51">
        <v>1727</v>
      </c>
      <c r="C1648" s="66" t="s">
        <v>190</v>
      </c>
      <c r="D1648" s="66" t="s">
        <v>356</v>
      </c>
      <c r="E1648" t="s">
        <v>45</v>
      </c>
      <c r="F1648" s="50" t="s">
        <v>573</v>
      </c>
      <c r="G1648" s="50" t="s">
        <v>574</v>
      </c>
      <c r="H1648" s="50">
        <v>2</v>
      </c>
      <c r="I1648" s="100">
        <v>6.7391919697301583</v>
      </c>
      <c r="J1648" s="52">
        <v>3834.68</v>
      </c>
      <c r="K1648" s="67">
        <f t="shared" si="104"/>
        <v>44630.247332111321</v>
      </c>
      <c r="L1648" s="95">
        <f>+VLOOKUP(E1648,MARGEN!A:B,2,FALSE)</f>
        <v>0.1</v>
      </c>
      <c r="M1648" s="112">
        <f t="shared" si="101"/>
        <v>4463.0247332111321</v>
      </c>
      <c r="N1648" s="113">
        <f t="shared" si="102"/>
        <v>178.5209893284453</v>
      </c>
      <c r="O1648" s="113">
        <f t="shared" si="103"/>
        <v>39988.701609571741</v>
      </c>
    </row>
    <row r="1649" spans="1:15" x14ac:dyDescent="0.25">
      <c r="A1649" s="43">
        <v>44468</v>
      </c>
      <c r="B1649" s="51">
        <v>1679</v>
      </c>
      <c r="C1649" s="66" t="s">
        <v>109</v>
      </c>
      <c r="D1649" s="66" t="s">
        <v>365</v>
      </c>
      <c r="E1649" t="s">
        <v>45</v>
      </c>
      <c r="F1649" s="50" t="s">
        <v>558</v>
      </c>
      <c r="G1649" s="50" t="s">
        <v>574</v>
      </c>
      <c r="H1649" s="50">
        <v>2</v>
      </c>
      <c r="I1649" s="100">
        <v>6.7391919697301583</v>
      </c>
      <c r="J1649" s="52">
        <v>3834.68</v>
      </c>
      <c r="K1649" s="67">
        <f t="shared" si="104"/>
        <v>43389.800388312047</v>
      </c>
      <c r="L1649" s="95">
        <f>+VLOOKUP(E1649,MARGEN!A:B,2,FALSE)</f>
        <v>0.1</v>
      </c>
      <c r="M1649" s="112">
        <f t="shared" si="101"/>
        <v>4338.9800388312051</v>
      </c>
      <c r="N1649" s="113">
        <f t="shared" si="102"/>
        <v>173.55920155324819</v>
      </c>
      <c r="O1649" s="113">
        <f t="shared" si="103"/>
        <v>38877.261147927595</v>
      </c>
    </row>
    <row r="1650" spans="1:15" x14ac:dyDescent="0.25">
      <c r="A1650" s="43">
        <v>44468</v>
      </c>
      <c r="B1650" s="51">
        <v>1535</v>
      </c>
      <c r="C1650" s="66" t="s">
        <v>207</v>
      </c>
      <c r="D1650" s="66" t="s">
        <v>322</v>
      </c>
      <c r="E1650" t="s">
        <v>45</v>
      </c>
      <c r="F1650" s="50" t="s">
        <v>558</v>
      </c>
      <c r="G1650" s="50" t="s">
        <v>574</v>
      </c>
      <c r="H1650" s="50">
        <v>2</v>
      </c>
      <c r="I1650" s="100">
        <v>6.7391919697301583</v>
      </c>
      <c r="J1650" s="52">
        <v>3834.68</v>
      </c>
      <c r="K1650" s="67">
        <f t="shared" si="104"/>
        <v>39668.459556914233</v>
      </c>
      <c r="L1650" s="95">
        <f>+VLOOKUP(E1650,MARGEN!A:B,2,FALSE)</f>
        <v>0.1</v>
      </c>
      <c r="M1650" s="112">
        <f t="shared" si="101"/>
        <v>3966.8459556914236</v>
      </c>
      <c r="N1650" s="113">
        <f t="shared" si="102"/>
        <v>158.67383822765694</v>
      </c>
      <c r="O1650" s="113">
        <f t="shared" si="103"/>
        <v>35542.939762995149</v>
      </c>
    </row>
    <row r="1651" spans="1:15" x14ac:dyDescent="0.25">
      <c r="A1651" s="43">
        <v>44468</v>
      </c>
      <c r="B1651" s="51">
        <v>1535</v>
      </c>
      <c r="C1651" s="66" t="s">
        <v>273</v>
      </c>
      <c r="D1651" s="66" t="s">
        <v>515</v>
      </c>
      <c r="E1651" t="s">
        <v>45</v>
      </c>
      <c r="F1651" s="50" t="s">
        <v>573</v>
      </c>
      <c r="G1651" s="50" t="s">
        <v>574</v>
      </c>
      <c r="H1651" s="50">
        <v>2</v>
      </c>
      <c r="I1651" s="100">
        <v>6.7391919697301583</v>
      </c>
      <c r="J1651" s="52">
        <v>3834.68</v>
      </c>
      <c r="K1651" s="67">
        <f t="shared" si="104"/>
        <v>39668.459556914233</v>
      </c>
      <c r="L1651" s="95">
        <f>+VLOOKUP(E1651,MARGEN!A:B,2,FALSE)</f>
        <v>0.1</v>
      </c>
      <c r="M1651" s="112">
        <f t="shared" si="101"/>
        <v>3966.8459556914236</v>
      </c>
      <c r="N1651" s="113">
        <f t="shared" si="102"/>
        <v>158.67383822765694</v>
      </c>
      <c r="O1651" s="113">
        <f t="shared" si="103"/>
        <v>35542.939762995149</v>
      </c>
    </row>
    <row r="1652" spans="1:15" x14ac:dyDescent="0.25">
      <c r="A1652" s="43">
        <v>44468</v>
      </c>
      <c r="B1652" s="51">
        <v>1511</v>
      </c>
      <c r="C1652" s="66" t="s">
        <v>108</v>
      </c>
      <c r="D1652" s="66" t="s">
        <v>368</v>
      </c>
      <c r="E1652" t="s">
        <v>45</v>
      </c>
      <c r="F1652" s="50" t="s">
        <v>558</v>
      </c>
      <c r="G1652" s="50" t="s">
        <v>574</v>
      </c>
      <c r="H1652" s="50">
        <v>2</v>
      </c>
      <c r="I1652" s="100">
        <v>6.7391919697301583</v>
      </c>
      <c r="J1652" s="52">
        <v>3834.68</v>
      </c>
      <c r="K1652" s="67">
        <f t="shared" si="104"/>
        <v>39048.2360850146</v>
      </c>
      <c r="L1652" s="95">
        <f>+VLOOKUP(E1652,MARGEN!A:B,2,FALSE)</f>
        <v>0.1</v>
      </c>
      <c r="M1652" s="112">
        <f t="shared" si="101"/>
        <v>3904.8236085014601</v>
      </c>
      <c r="N1652" s="113">
        <f t="shared" si="102"/>
        <v>156.1929443400584</v>
      </c>
      <c r="O1652" s="113">
        <f t="shared" si="103"/>
        <v>34987.219532173083</v>
      </c>
    </row>
    <row r="1653" spans="1:15" x14ac:dyDescent="0.25">
      <c r="A1653" s="43">
        <v>44468</v>
      </c>
      <c r="B1653" s="51">
        <v>1487</v>
      </c>
      <c r="C1653" s="66" t="s">
        <v>250</v>
      </c>
      <c r="D1653" s="66" t="s">
        <v>333</v>
      </c>
      <c r="E1653" t="s">
        <v>45</v>
      </c>
      <c r="F1653" s="50" t="s">
        <v>558</v>
      </c>
      <c r="G1653" s="50" t="s">
        <v>574</v>
      </c>
      <c r="H1653" s="50">
        <v>2</v>
      </c>
      <c r="I1653" s="100">
        <v>6.7391919697301583</v>
      </c>
      <c r="J1653" s="52">
        <v>3834.68</v>
      </c>
      <c r="K1653" s="67">
        <f t="shared" si="104"/>
        <v>38428.012613114959</v>
      </c>
      <c r="L1653" s="95">
        <f>+VLOOKUP(E1653,MARGEN!A:B,2,FALSE)</f>
        <v>0.1</v>
      </c>
      <c r="M1653" s="112">
        <f t="shared" si="101"/>
        <v>3842.8012613114961</v>
      </c>
      <c r="N1653" s="113">
        <f t="shared" si="102"/>
        <v>153.71205045245983</v>
      </c>
      <c r="O1653" s="113">
        <f t="shared" si="103"/>
        <v>34431.499301351003</v>
      </c>
    </row>
    <row r="1654" spans="1:15" x14ac:dyDescent="0.25">
      <c r="A1654" s="43">
        <v>44468</v>
      </c>
      <c r="B1654" s="51">
        <v>1391</v>
      </c>
      <c r="C1654" s="66" t="s">
        <v>107</v>
      </c>
      <c r="D1654" s="66" t="s">
        <v>346</v>
      </c>
      <c r="E1654" t="s">
        <v>45</v>
      </c>
      <c r="F1654" s="50" t="s">
        <v>573</v>
      </c>
      <c r="G1654" s="50" t="s">
        <v>574</v>
      </c>
      <c r="H1654" s="50">
        <v>2</v>
      </c>
      <c r="I1654" s="100">
        <v>6.7391919697301583</v>
      </c>
      <c r="J1654" s="52">
        <v>3834.68</v>
      </c>
      <c r="K1654" s="67">
        <f t="shared" si="104"/>
        <v>35947.118725516419</v>
      </c>
      <c r="L1654" s="95">
        <f>+VLOOKUP(E1654,MARGEN!A:B,2,FALSE)</f>
        <v>0.1</v>
      </c>
      <c r="M1654" s="112">
        <f t="shared" si="101"/>
        <v>3594.711872551642</v>
      </c>
      <c r="N1654" s="113">
        <f t="shared" si="102"/>
        <v>143.78847490206567</v>
      </c>
      <c r="O1654" s="113">
        <f t="shared" si="103"/>
        <v>32208.618378062711</v>
      </c>
    </row>
    <row r="1655" spans="1:15" x14ac:dyDescent="0.25">
      <c r="A1655" s="43">
        <v>44468</v>
      </c>
      <c r="B1655" s="51">
        <v>1295</v>
      </c>
      <c r="C1655" s="66" t="s">
        <v>106</v>
      </c>
      <c r="D1655" s="66" t="s">
        <v>349</v>
      </c>
      <c r="E1655" t="s">
        <v>45</v>
      </c>
      <c r="F1655" s="50" t="s">
        <v>558</v>
      </c>
      <c r="G1655" s="50" t="s">
        <v>574</v>
      </c>
      <c r="H1655" s="50">
        <v>2</v>
      </c>
      <c r="I1655" s="100">
        <v>6.7391919697301583</v>
      </c>
      <c r="J1655" s="52">
        <v>3834.68</v>
      </c>
      <c r="K1655" s="67">
        <f t="shared" si="104"/>
        <v>33466.224837917871</v>
      </c>
      <c r="L1655" s="95">
        <f>+VLOOKUP(E1655,MARGEN!A:B,2,FALSE)</f>
        <v>0.1</v>
      </c>
      <c r="M1655" s="112">
        <f t="shared" si="101"/>
        <v>3346.6224837917871</v>
      </c>
      <c r="N1655" s="113">
        <f t="shared" si="102"/>
        <v>133.86489935167148</v>
      </c>
      <c r="O1655" s="113">
        <f t="shared" si="103"/>
        <v>29985.737454774411</v>
      </c>
    </row>
    <row r="1656" spans="1:15" x14ac:dyDescent="0.25">
      <c r="A1656" s="43">
        <v>44468</v>
      </c>
      <c r="B1656" s="51">
        <v>1223</v>
      </c>
      <c r="C1656" s="66" t="s">
        <v>142</v>
      </c>
      <c r="D1656" s="66" t="s">
        <v>363</v>
      </c>
      <c r="E1656" t="s">
        <v>45</v>
      </c>
      <c r="F1656" s="50" t="s">
        <v>558</v>
      </c>
      <c r="G1656" s="50" t="s">
        <v>574</v>
      </c>
      <c r="H1656" s="50">
        <v>2</v>
      </c>
      <c r="I1656" s="100">
        <v>6.7391919697301583</v>
      </c>
      <c r="J1656" s="52">
        <v>3834.68</v>
      </c>
      <c r="K1656" s="67">
        <f t="shared" si="104"/>
        <v>31605.55442221896</v>
      </c>
      <c r="L1656" s="95">
        <f>+VLOOKUP(E1656,MARGEN!A:B,2,FALSE)</f>
        <v>0.1</v>
      </c>
      <c r="M1656" s="112">
        <f t="shared" si="101"/>
        <v>3160.5554422218961</v>
      </c>
      <c r="N1656" s="113">
        <f t="shared" si="102"/>
        <v>126.42221768887585</v>
      </c>
      <c r="O1656" s="113">
        <f t="shared" si="103"/>
        <v>28318.576762308188</v>
      </c>
    </row>
    <row r="1657" spans="1:15" x14ac:dyDescent="0.25">
      <c r="A1657" s="43">
        <v>44468</v>
      </c>
      <c r="B1657" s="51">
        <v>1151</v>
      </c>
      <c r="C1657" s="66" t="s">
        <v>274</v>
      </c>
      <c r="D1657" s="66" t="s">
        <v>517</v>
      </c>
      <c r="E1657" t="s">
        <v>45</v>
      </c>
      <c r="F1657" s="50" t="s">
        <v>558</v>
      </c>
      <c r="G1657" s="50" t="s">
        <v>574</v>
      </c>
      <c r="H1657" s="50">
        <v>2</v>
      </c>
      <c r="I1657" s="100">
        <v>6.7391919697301583</v>
      </c>
      <c r="J1657" s="52">
        <v>3834.68</v>
      </c>
      <c r="K1657" s="67">
        <f t="shared" si="104"/>
        <v>29744.884006520053</v>
      </c>
      <c r="L1657" s="95">
        <f>+VLOOKUP(E1657,MARGEN!A:B,2,FALSE)</f>
        <v>0.1</v>
      </c>
      <c r="M1657" s="112">
        <f t="shared" si="101"/>
        <v>2974.4884006520056</v>
      </c>
      <c r="N1657" s="113">
        <f t="shared" si="102"/>
        <v>118.97953602608021</v>
      </c>
      <c r="O1657" s="113">
        <f t="shared" si="103"/>
        <v>26651.416069841969</v>
      </c>
    </row>
    <row r="1658" spans="1:15" x14ac:dyDescent="0.25">
      <c r="A1658" s="43">
        <v>44469</v>
      </c>
      <c r="B1658" s="51">
        <v>16343</v>
      </c>
      <c r="C1658" s="66" t="s">
        <v>78</v>
      </c>
      <c r="D1658" s="66" t="s">
        <v>412</v>
      </c>
      <c r="E1658" t="s">
        <v>45</v>
      </c>
      <c r="F1658" s="50" t="s">
        <v>573</v>
      </c>
      <c r="G1658" s="50" t="s">
        <v>574</v>
      </c>
      <c r="H1658" s="50">
        <v>2</v>
      </c>
      <c r="I1658" s="100">
        <v>6.7391919697301583</v>
      </c>
      <c r="J1658" s="52">
        <v>3834.68</v>
      </c>
      <c r="K1658" s="67">
        <f t="shared" si="104"/>
        <v>422346.34171898977</v>
      </c>
      <c r="L1658" s="95">
        <f>+VLOOKUP(E1658,MARGEN!A:B,2,FALSE)</f>
        <v>0.1</v>
      </c>
      <c r="M1658" s="112">
        <f t="shared" si="101"/>
        <v>42234.634171898979</v>
      </c>
      <c r="N1658" s="113">
        <f t="shared" si="102"/>
        <v>1689.3853668759591</v>
      </c>
      <c r="O1658" s="113">
        <f t="shared" si="103"/>
        <v>378422.3221802148</v>
      </c>
    </row>
    <row r="1659" spans="1:15" x14ac:dyDescent="0.25">
      <c r="A1659" s="43">
        <v>44469</v>
      </c>
      <c r="B1659" s="51">
        <v>12815</v>
      </c>
      <c r="C1659" s="66" t="s">
        <v>73</v>
      </c>
      <c r="D1659" s="66" t="s">
        <v>338</v>
      </c>
      <c r="E1659" t="s">
        <v>45</v>
      </c>
      <c r="F1659" s="50" t="s">
        <v>573</v>
      </c>
      <c r="G1659" s="50" t="s">
        <v>574</v>
      </c>
      <c r="H1659" s="50">
        <v>2</v>
      </c>
      <c r="I1659" s="100">
        <v>6.7391919697301583</v>
      </c>
      <c r="J1659" s="52">
        <v>3834.68</v>
      </c>
      <c r="K1659" s="67">
        <f t="shared" si="104"/>
        <v>331173.49134974327</v>
      </c>
      <c r="L1659" s="95">
        <f>+VLOOKUP(E1659,MARGEN!A:B,2,FALSE)</f>
        <v>0.1</v>
      </c>
      <c r="M1659" s="112">
        <f t="shared" si="101"/>
        <v>33117.349134974327</v>
      </c>
      <c r="N1659" s="113">
        <f t="shared" si="102"/>
        <v>1324.693965398973</v>
      </c>
      <c r="O1659" s="113">
        <f t="shared" si="103"/>
        <v>296731.44824936992</v>
      </c>
    </row>
    <row r="1660" spans="1:15" x14ac:dyDescent="0.25">
      <c r="A1660" s="43">
        <v>44469</v>
      </c>
      <c r="B1660" s="51">
        <v>9935</v>
      </c>
      <c r="C1660" s="66" t="s">
        <v>95</v>
      </c>
      <c r="D1660" s="66" t="s">
        <v>510</v>
      </c>
      <c r="E1660" t="s">
        <v>45</v>
      </c>
      <c r="F1660" s="50" t="s">
        <v>573</v>
      </c>
      <c r="G1660" s="50" t="s">
        <v>574</v>
      </c>
      <c r="H1660" s="50">
        <v>2</v>
      </c>
      <c r="I1660" s="100">
        <v>6.7391919697301583</v>
      </c>
      <c r="J1660" s="52">
        <v>3834.68</v>
      </c>
      <c r="K1660" s="67">
        <f t="shared" si="104"/>
        <v>256746.6747217869</v>
      </c>
      <c r="L1660" s="95">
        <f>+VLOOKUP(E1660,MARGEN!A:B,2,FALSE)</f>
        <v>0.1</v>
      </c>
      <c r="M1660" s="112">
        <f t="shared" si="101"/>
        <v>25674.667472178691</v>
      </c>
      <c r="N1660" s="113">
        <f t="shared" si="102"/>
        <v>1026.9866988871477</v>
      </c>
      <c r="O1660" s="113">
        <f t="shared" si="103"/>
        <v>230045.02055072106</v>
      </c>
    </row>
    <row r="1661" spans="1:15" x14ac:dyDescent="0.25">
      <c r="A1661" s="43">
        <v>44469</v>
      </c>
      <c r="B1661" s="51">
        <v>8255</v>
      </c>
      <c r="C1661" s="66" t="s">
        <v>191</v>
      </c>
      <c r="D1661" s="66" t="s">
        <v>354</v>
      </c>
      <c r="E1661" t="s">
        <v>45</v>
      </c>
      <c r="F1661" s="50" t="s">
        <v>573</v>
      </c>
      <c r="G1661" s="50" t="s">
        <v>574</v>
      </c>
      <c r="H1661" s="50">
        <v>2</v>
      </c>
      <c r="I1661" s="100">
        <v>6.7391919697301583</v>
      </c>
      <c r="J1661" s="52">
        <v>3834.68</v>
      </c>
      <c r="K1661" s="67">
        <f t="shared" si="104"/>
        <v>213331.03168881236</v>
      </c>
      <c r="L1661" s="95">
        <f>+VLOOKUP(E1661,MARGEN!A:B,2,FALSE)</f>
        <v>0.1</v>
      </c>
      <c r="M1661" s="112">
        <f t="shared" si="101"/>
        <v>21333.103168881236</v>
      </c>
      <c r="N1661" s="113">
        <f t="shared" si="102"/>
        <v>853.32412675524949</v>
      </c>
      <c r="O1661" s="113">
        <f t="shared" si="103"/>
        <v>191144.60439317589</v>
      </c>
    </row>
    <row r="1662" spans="1:15" x14ac:dyDescent="0.25">
      <c r="A1662" s="43">
        <v>44469</v>
      </c>
      <c r="B1662" s="51">
        <v>8231</v>
      </c>
      <c r="C1662" s="66" t="s">
        <v>90</v>
      </c>
      <c r="D1662" s="66" t="s">
        <v>350</v>
      </c>
      <c r="E1662" t="s">
        <v>45</v>
      </c>
      <c r="F1662" s="50" t="s">
        <v>573</v>
      </c>
      <c r="G1662" s="50" t="s">
        <v>574</v>
      </c>
      <c r="H1662" s="50">
        <v>2</v>
      </c>
      <c r="I1662" s="100">
        <v>6.7391919697301583</v>
      </c>
      <c r="J1662" s="52">
        <v>3834.68</v>
      </c>
      <c r="K1662" s="67">
        <f t="shared" si="104"/>
        <v>212710.80821691276</v>
      </c>
      <c r="L1662" s="95">
        <f>+VLOOKUP(E1662,MARGEN!A:B,2,FALSE)</f>
        <v>0.1</v>
      </c>
      <c r="M1662" s="112">
        <f t="shared" si="101"/>
        <v>21271.080821691277</v>
      </c>
      <c r="N1662" s="113">
        <f t="shared" si="102"/>
        <v>850.84323286765107</v>
      </c>
      <c r="O1662" s="113">
        <f t="shared" si="103"/>
        <v>190588.88416235382</v>
      </c>
    </row>
    <row r="1663" spans="1:15" x14ac:dyDescent="0.25">
      <c r="A1663" s="43">
        <v>44469</v>
      </c>
      <c r="B1663" s="51">
        <v>7607</v>
      </c>
      <c r="C1663" s="66" t="s">
        <v>248</v>
      </c>
      <c r="D1663" s="66" t="s">
        <v>385</v>
      </c>
      <c r="E1663" t="s">
        <v>45</v>
      </c>
      <c r="F1663" s="50" t="s">
        <v>573</v>
      </c>
      <c r="G1663" s="50" t="s">
        <v>574</v>
      </c>
      <c r="H1663" s="50">
        <v>2</v>
      </c>
      <c r="I1663" s="100">
        <v>6.7391919697301583</v>
      </c>
      <c r="J1663" s="52">
        <v>3834.68</v>
      </c>
      <c r="K1663" s="67">
        <f t="shared" si="104"/>
        <v>196584.99794752221</v>
      </c>
      <c r="L1663" s="95">
        <f>+VLOOKUP(E1663,MARGEN!A:B,2,FALSE)</f>
        <v>0.1</v>
      </c>
      <c r="M1663" s="112">
        <f t="shared" si="101"/>
        <v>19658.499794752221</v>
      </c>
      <c r="N1663" s="113">
        <f t="shared" si="102"/>
        <v>786.33999179008879</v>
      </c>
      <c r="O1663" s="113">
        <f t="shared" si="103"/>
        <v>176140.15816097989</v>
      </c>
    </row>
    <row r="1664" spans="1:15" x14ac:dyDescent="0.25">
      <c r="A1664" s="43">
        <v>44469</v>
      </c>
      <c r="B1664" s="51">
        <v>7535</v>
      </c>
      <c r="C1664" s="66" t="s">
        <v>179</v>
      </c>
      <c r="D1664" s="66" t="s">
        <v>361</v>
      </c>
      <c r="E1664" t="s">
        <v>45</v>
      </c>
      <c r="F1664" s="50" t="s">
        <v>573</v>
      </c>
      <c r="G1664" s="50" t="s">
        <v>574</v>
      </c>
      <c r="H1664" s="50">
        <v>2</v>
      </c>
      <c r="I1664" s="100">
        <v>6.7391919697301583</v>
      </c>
      <c r="J1664" s="52">
        <v>3834.68</v>
      </c>
      <c r="K1664" s="67">
        <f t="shared" si="104"/>
        <v>194724.32753182328</v>
      </c>
      <c r="L1664" s="95">
        <f>+VLOOKUP(E1664,MARGEN!A:B,2,FALSE)</f>
        <v>0.1</v>
      </c>
      <c r="M1664" s="112">
        <f t="shared" si="101"/>
        <v>19472.432753182329</v>
      </c>
      <c r="N1664" s="113">
        <f t="shared" si="102"/>
        <v>778.89731012729305</v>
      </c>
      <c r="O1664" s="113">
        <f t="shared" si="103"/>
        <v>174472.99746851364</v>
      </c>
    </row>
    <row r="1665" spans="1:15" x14ac:dyDescent="0.25">
      <c r="A1665" s="43">
        <v>44469</v>
      </c>
      <c r="B1665" s="51">
        <v>5639</v>
      </c>
      <c r="C1665" s="66" t="s">
        <v>275</v>
      </c>
      <c r="D1665" s="66" t="s">
        <v>519</v>
      </c>
      <c r="E1665" t="s">
        <v>45</v>
      </c>
      <c r="F1665" s="50" t="s">
        <v>573</v>
      </c>
      <c r="G1665" s="50" t="s">
        <v>574</v>
      </c>
      <c r="H1665" s="50">
        <v>2</v>
      </c>
      <c r="I1665" s="100">
        <v>6.7391919697301583</v>
      </c>
      <c r="J1665" s="52">
        <v>3834.68</v>
      </c>
      <c r="K1665" s="67">
        <f t="shared" si="104"/>
        <v>145726.67325175201</v>
      </c>
      <c r="L1665" s="95">
        <f>+VLOOKUP(E1665,MARGEN!A:B,2,FALSE)</f>
        <v>0.1</v>
      </c>
      <c r="M1665" s="112">
        <f t="shared" si="101"/>
        <v>14572.667325175202</v>
      </c>
      <c r="N1665" s="113">
        <f t="shared" si="102"/>
        <v>582.90669300700802</v>
      </c>
      <c r="O1665" s="113">
        <f t="shared" si="103"/>
        <v>130571.09923356981</v>
      </c>
    </row>
    <row r="1666" spans="1:15" x14ac:dyDescent="0.25">
      <c r="A1666" s="43">
        <v>44469</v>
      </c>
      <c r="B1666" s="51">
        <v>5543</v>
      </c>
      <c r="C1666" s="66" t="s">
        <v>116</v>
      </c>
      <c r="D1666" s="66" t="s">
        <v>330</v>
      </c>
      <c r="E1666" t="s">
        <v>45</v>
      </c>
      <c r="F1666" s="50" t="s">
        <v>573</v>
      </c>
      <c r="G1666" s="50" t="s">
        <v>574</v>
      </c>
      <c r="H1666" s="50">
        <v>2</v>
      </c>
      <c r="I1666" s="100">
        <v>6.7391919697301583</v>
      </c>
      <c r="J1666" s="52">
        <v>3834.68</v>
      </c>
      <c r="K1666" s="67">
        <f t="shared" si="104"/>
        <v>143245.77936415351</v>
      </c>
      <c r="L1666" s="95">
        <f>+VLOOKUP(E1666,MARGEN!A:B,2,FALSE)</f>
        <v>0.1</v>
      </c>
      <c r="M1666" s="112">
        <f t="shared" si="101"/>
        <v>14324.577936415351</v>
      </c>
      <c r="N1666" s="113">
        <f t="shared" si="102"/>
        <v>572.98311745661408</v>
      </c>
      <c r="O1666" s="113">
        <f t="shared" si="103"/>
        <v>128348.21831028153</v>
      </c>
    </row>
    <row r="1667" spans="1:15" x14ac:dyDescent="0.25">
      <c r="A1667" s="43">
        <v>44469</v>
      </c>
      <c r="B1667" s="51">
        <v>4535</v>
      </c>
      <c r="C1667" s="66" t="s">
        <v>76</v>
      </c>
      <c r="D1667" s="66" t="s">
        <v>332</v>
      </c>
      <c r="E1667" t="s">
        <v>45</v>
      </c>
      <c r="F1667" s="50" t="s">
        <v>573</v>
      </c>
      <c r="G1667" s="50" t="s">
        <v>574</v>
      </c>
      <c r="H1667" s="50">
        <v>2</v>
      </c>
      <c r="I1667" s="100">
        <v>6.7391919697301583</v>
      </c>
      <c r="J1667" s="52">
        <v>3834.68</v>
      </c>
      <c r="K1667" s="67">
        <f t="shared" si="104"/>
        <v>117196.39354436877</v>
      </c>
      <c r="L1667" s="95">
        <f>+VLOOKUP(E1667,MARGEN!A:B,2,FALSE)</f>
        <v>0.1</v>
      </c>
      <c r="M1667" s="112">
        <f t="shared" ref="M1667:M1730" si="105">+K1667*L1667</f>
        <v>11719.639354436877</v>
      </c>
      <c r="N1667" s="113">
        <f t="shared" ref="N1667:N1730" si="106">+K1667*4/1000</f>
        <v>468.78557417747504</v>
      </c>
      <c r="O1667" s="113">
        <f t="shared" ref="O1667:O1730" si="107">+K1667-M1667-N1667</f>
        <v>105007.96861575442</v>
      </c>
    </row>
    <row r="1668" spans="1:15" x14ac:dyDescent="0.25">
      <c r="A1668" s="43">
        <v>44469</v>
      </c>
      <c r="B1668" s="51">
        <v>4319</v>
      </c>
      <c r="C1668" s="66" t="s">
        <v>91</v>
      </c>
      <c r="D1668" s="66" t="s">
        <v>340</v>
      </c>
      <c r="E1668" t="s">
        <v>45</v>
      </c>
      <c r="F1668" s="50" t="s">
        <v>573</v>
      </c>
      <c r="G1668" s="50" t="s">
        <v>574</v>
      </c>
      <c r="H1668" s="50">
        <v>2</v>
      </c>
      <c r="I1668" s="100">
        <v>6.7391919697301583</v>
      </c>
      <c r="J1668" s="52">
        <v>3834.68</v>
      </c>
      <c r="K1668" s="67">
        <f t="shared" si="104"/>
        <v>111614.38229727202</v>
      </c>
      <c r="L1668" s="95">
        <f>+VLOOKUP(E1668,MARGEN!A:B,2,FALSE)</f>
        <v>0.1</v>
      </c>
      <c r="M1668" s="112">
        <f t="shared" si="105"/>
        <v>11161.438229727202</v>
      </c>
      <c r="N1668" s="113">
        <f t="shared" si="106"/>
        <v>446.45752918908806</v>
      </c>
      <c r="O1668" s="113">
        <f t="shared" si="107"/>
        <v>100006.48653835573</v>
      </c>
    </row>
    <row r="1669" spans="1:15" x14ac:dyDescent="0.25">
      <c r="A1669" s="43">
        <v>44469</v>
      </c>
      <c r="B1669" s="51">
        <v>4175</v>
      </c>
      <c r="C1669" s="66" t="s">
        <v>276</v>
      </c>
      <c r="D1669" s="66" t="s">
        <v>512</v>
      </c>
      <c r="E1669" t="s">
        <v>45</v>
      </c>
      <c r="F1669" s="50" t="s">
        <v>573</v>
      </c>
      <c r="G1669" s="50" t="s">
        <v>574</v>
      </c>
      <c r="H1669" s="50">
        <v>2</v>
      </c>
      <c r="I1669" s="100">
        <v>6.7391919697301583</v>
      </c>
      <c r="J1669" s="52">
        <v>3834.68</v>
      </c>
      <c r="K1669" s="67">
        <f t="shared" si="104"/>
        <v>107893.04146587422</v>
      </c>
      <c r="L1669" s="95">
        <f>+VLOOKUP(E1669,MARGEN!A:B,2,FALSE)</f>
        <v>0.1</v>
      </c>
      <c r="M1669" s="112">
        <f t="shared" si="105"/>
        <v>10789.304146587423</v>
      </c>
      <c r="N1669" s="113">
        <f t="shared" si="106"/>
        <v>431.57216586349688</v>
      </c>
      <c r="O1669" s="113">
        <f t="shared" si="107"/>
        <v>96672.165153423295</v>
      </c>
    </row>
    <row r="1670" spans="1:15" x14ac:dyDescent="0.25">
      <c r="A1670" s="43">
        <v>44469</v>
      </c>
      <c r="B1670" s="51">
        <v>4127</v>
      </c>
      <c r="C1670" s="66" t="s">
        <v>234</v>
      </c>
      <c r="D1670" s="66" t="s">
        <v>331</v>
      </c>
      <c r="E1670" t="s">
        <v>45</v>
      </c>
      <c r="F1670" s="50" t="s">
        <v>573</v>
      </c>
      <c r="G1670" s="50" t="s">
        <v>574</v>
      </c>
      <c r="H1670" s="50">
        <v>2</v>
      </c>
      <c r="I1670" s="100">
        <v>6.7391919697301583</v>
      </c>
      <c r="J1670" s="52">
        <v>3834.68</v>
      </c>
      <c r="K1670" s="67">
        <f t="shared" si="104"/>
        <v>106652.59452207494</v>
      </c>
      <c r="L1670" s="95">
        <f>+VLOOKUP(E1670,MARGEN!A:B,2,FALSE)</f>
        <v>0.1</v>
      </c>
      <c r="M1670" s="112">
        <f t="shared" si="105"/>
        <v>10665.259452207494</v>
      </c>
      <c r="N1670" s="113">
        <f t="shared" si="106"/>
        <v>426.61037808829974</v>
      </c>
      <c r="O1670" s="113">
        <f t="shared" si="107"/>
        <v>95560.724691779149</v>
      </c>
    </row>
    <row r="1671" spans="1:15" x14ac:dyDescent="0.25">
      <c r="A1671" s="43">
        <v>44469</v>
      </c>
      <c r="B1671" s="51">
        <v>4127</v>
      </c>
      <c r="C1671" s="66" t="s">
        <v>235</v>
      </c>
      <c r="D1671" s="66" t="s">
        <v>339</v>
      </c>
      <c r="E1671" t="s">
        <v>45</v>
      </c>
      <c r="F1671" s="50" t="s">
        <v>573</v>
      </c>
      <c r="G1671" s="50" t="s">
        <v>574</v>
      </c>
      <c r="H1671" s="50">
        <v>2</v>
      </c>
      <c r="I1671" s="100">
        <v>6.7391919697301583</v>
      </c>
      <c r="J1671" s="52">
        <v>3834.68</v>
      </c>
      <c r="K1671" s="67">
        <f t="shared" si="104"/>
        <v>106652.59452207494</v>
      </c>
      <c r="L1671" s="95">
        <f>+VLOOKUP(E1671,MARGEN!A:B,2,FALSE)</f>
        <v>0.1</v>
      </c>
      <c r="M1671" s="112">
        <f t="shared" si="105"/>
        <v>10665.259452207494</v>
      </c>
      <c r="N1671" s="113">
        <f t="shared" si="106"/>
        <v>426.61037808829974</v>
      </c>
      <c r="O1671" s="113">
        <f t="shared" si="107"/>
        <v>95560.724691779149</v>
      </c>
    </row>
    <row r="1672" spans="1:15" x14ac:dyDescent="0.25">
      <c r="A1672" s="43">
        <v>44469</v>
      </c>
      <c r="B1672" s="51">
        <v>3911</v>
      </c>
      <c r="C1672" s="66" t="s">
        <v>71</v>
      </c>
      <c r="D1672" s="66" t="s">
        <v>337</v>
      </c>
      <c r="E1672" t="s">
        <v>45</v>
      </c>
      <c r="F1672" s="50" t="s">
        <v>573</v>
      </c>
      <c r="G1672" s="50" t="s">
        <v>574</v>
      </c>
      <c r="H1672" s="50">
        <v>2</v>
      </c>
      <c r="I1672" s="100">
        <v>6.7391919697301583</v>
      </c>
      <c r="J1672" s="52">
        <v>3834.68</v>
      </c>
      <c r="K1672" s="67">
        <f t="shared" si="104"/>
        <v>101070.58327497823</v>
      </c>
      <c r="L1672" s="95">
        <f>+VLOOKUP(E1672,MARGEN!A:B,2,FALSE)</f>
        <v>0.1</v>
      </c>
      <c r="M1672" s="112">
        <f t="shared" si="105"/>
        <v>10107.058327497823</v>
      </c>
      <c r="N1672" s="113">
        <f t="shared" si="106"/>
        <v>404.28233309991293</v>
      </c>
      <c r="O1672" s="113">
        <f t="shared" si="107"/>
        <v>90559.242614380491</v>
      </c>
    </row>
    <row r="1673" spans="1:15" x14ac:dyDescent="0.25">
      <c r="A1673" s="43">
        <v>44469</v>
      </c>
      <c r="B1673" s="51">
        <v>3143</v>
      </c>
      <c r="C1673" s="66" t="s">
        <v>277</v>
      </c>
      <c r="D1673" s="66" t="s">
        <v>513</v>
      </c>
      <c r="E1673" t="s">
        <v>45</v>
      </c>
      <c r="F1673" s="50" t="s">
        <v>573</v>
      </c>
      <c r="G1673" s="50" t="s">
        <v>574</v>
      </c>
      <c r="H1673" s="50">
        <v>2</v>
      </c>
      <c r="I1673" s="100">
        <v>6.7391919697301583</v>
      </c>
      <c r="J1673" s="52">
        <v>3834.68</v>
      </c>
      <c r="K1673" s="67">
        <f t="shared" ref="K1673:K1736" si="108">+B1673*I1673*J1673/1000</f>
        <v>81223.43217418986</v>
      </c>
      <c r="L1673" s="95">
        <f>+VLOOKUP(E1673,MARGEN!A:B,2,FALSE)</f>
        <v>0.1</v>
      </c>
      <c r="M1673" s="112">
        <f t="shared" si="105"/>
        <v>8122.3432174189866</v>
      </c>
      <c r="N1673" s="113">
        <f t="shared" si="106"/>
        <v>324.89372869675947</v>
      </c>
      <c r="O1673" s="113">
        <f t="shared" si="107"/>
        <v>72776.195228074124</v>
      </c>
    </row>
    <row r="1674" spans="1:15" x14ac:dyDescent="0.25">
      <c r="A1674" s="43">
        <v>44469</v>
      </c>
      <c r="B1674" s="51">
        <v>2879</v>
      </c>
      <c r="C1674" s="66" t="s">
        <v>139</v>
      </c>
      <c r="D1674" s="66" t="s">
        <v>327</v>
      </c>
      <c r="E1674" t="s">
        <v>45</v>
      </c>
      <c r="F1674" s="50" t="s">
        <v>573</v>
      </c>
      <c r="G1674" s="50" t="s">
        <v>574</v>
      </c>
      <c r="H1674" s="50">
        <v>2</v>
      </c>
      <c r="I1674" s="100">
        <v>6.7391919697301583</v>
      </c>
      <c r="J1674" s="52">
        <v>3834.68</v>
      </c>
      <c r="K1674" s="67">
        <f t="shared" si="108"/>
        <v>74400.973983293865</v>
      </c>
      <c r="L1674" s="95">
        <f>+VLOOKUP(E1674,MARGEN!A:B,2,FALSE)</f>
        <v>0.1</v>
      </c>
      <c r="M1674" s="112">
        <f t="shared" si="105"/>
        <v>7440.097398329387</v>
      </c>
      <c r="N1674" s="113">
        <f t="shared" si="106"/>
        <v>297.60389593317547</v>
      </c>
      <c r="O1674" s="113">
        <f t="shared" si="107"/>
        <v>66663.272689031306</v>
      </c>
    </row>
    <row r="1675" spans="1:15" x14ac:dyDescent="0.25">
      <c r="A1675" s="43">
        <v>44469</v>
      </c>
      <c r="B1675" s="51">
        <v>2855</v>
      </c>
      <c r="C1675" s="66" t="s">
        <v>268</v>
      </c>
      <c r="D1675" s="66" t="s">
        <v>514</v>
      </c>
      <c r="E1675" t="s">
        <v>45</v>
      </c>
      <c r="F1675" s="50" t="s">
        <v>573</v>
      </c>
      <c r="G1675" s="50" t="s">
        <v>574</v>
      </c>
      <c r="H1675" s="50">
        <v>2</v>
      </c>
      <c r="I1675" s="100">
        <v>6.7391919697301583</v>
      </c>
      <c r="J1675" s="52">
        <v>3834.68</v>
      </c>
      <c r="K1675" s="67">
        <f t="shared" si="108"/>
        <v>73780.750511394232</v>
      </c>
      <c r="L1675" s="95">
        <f>+VLOOKUP(E1675,MARGEN!A:B,2,FALSE)</f>
        <v>0.1</v>
      </c>
      <c r="M1675" s="112">
        <f t="shared" si="105"/>
        <v>7378.0750511394235</v>
      </c>
      <c r="N1675" s="113">
        <f t="shared" si="106"/>
        <v>295.12300204557692</v>
      </c>
      <c r="O1675" s="113">
        <f t="shared" si="107"/>
        <v>66107.552458209218</v>
      </c>
    </row>
    <row r="1676" spans="1:15" x14ac:dyDescent="0.25">
      <c r="A1676" s="43">
        <v>44469</v>
      </c>
      <c r="B1676" s="51">
        <v>2807</v>
      </c>
      <c r="C1676" s="66" t="s">
        <v>178</v>
      </c>
      <c r="D1676" s="66" t="s">
        <v>370</v>
      </c>
      <c r="E1676" t="s">
        <v>45</v>
      </c>
      <c r="F1676" s="50" t="s">
        <v>573</v>
      </c>
      <c r="G1676" s="50" t="s">
        <v>574</v>
      </c>
      <c r="H1676" s="50">
        <v>2</v>
      </c>
      <c r="I1676" s="100">
        <v>6.7391919697301583</v>
      </c>
      <c r="J1676" s="52">
        <v>3834.68</v>
      </c>
      <c r="K1676" s="67">
        <f t="shared" si="108"/>
        <v>72540.303567594965</v>
      </c>
      <c r="L1676" s="95">
        <f>+VLOOKUP(E1676,MARGEN!A:B,2,FALSE)</f>
        <v>0.1</v>
      </c>
      <c r="M1676" s="112">
        <f t="shared" si="105"/>
        <v>7254.0303567594965</v>
      </c>
      <c r="N1676" s="113">
        <f t="shared" si="106"/>
        <v>290.16121427037984</v>
      </c>
      <c r="O1676" s="113">
        <f t="shared" si="107"/>
        <v>64996.111996565087</v>
      </c>
    </row>
    <row r="1677" spans="1:15" x14ac:dyDescent="0.25">
      <c r="A1677" s="43">
        <v>44469</v>
      </c>
      <c r="B1677" s="51">
        <v>2663</v>
      </c>
      <c r="C1677" s="66" t="s">
        <v>138</v>
      </c>
      <c r="D1677" s="66" t="s">
        <v>321</v>
      </c>
      <c r="E1677" t="s">
        <v>45</v>
      </c>
      <c r="F1677" s="50" t="s">
        <v>573</v>
      </c>
      <c r="G1677" s="50" t="s">
        <v>574</v>
      </c>
      <c r="H1677" s="50">
        <v>2</v>
      </c>
      <c r="I1677" s="100">
        <v>6.7391919697301583</v>
      </c>
      <c r="J1677" s="52">
        <v>3834.68</v>
      </c>
      <c r="K1677" s="67">
        <f t="shared" si="108"/>
        <v>68818.962736197136</v>
      </c>
      <c r="L1677" s="95">
        <f>+VLOOKUP(E1677,MARGEN!A:B,2,FALSE)</f>
        <v>0.1</v>
      </c>
      <c r="M1677" s="112">
        <f t="shared" si="105"/>
        <v>6881.8962736197136</v>
      </c>
      <c r="N1677" s="113">
        <f t="shared" si="106"/>
        <v>275.27585094478854</v>
      </c>
      <c r="O1677" s="113">
        <f t="shared" si="107"/>
        <v>61661.790611632634</v>
      </c>
    </row>
    <row r="1678" spans="1:15" x14ac:dyDescent="0.25">
      <c r="A1678" s="43">
        <v>44469</v>
      </c>
      <c r="B1678" s="51">
        <v>2183</v>
      </c>
      <c r="C1678" s="66" t="s">
        <v>560</v>
      </c>
      <c r="D1678" s="66" t="s">
        <v>561</v>
      </c>
      <c r="E1678" t="s">
        <v>45</v>
      </c>
      <c r="F1678" s="50" t="s">
        <v>573</v>
      </c>
      <c r="G1678" s="50" t="s">
        <v>574</v>
      </c>
      <c r="H1678" s="50">
        <v>2</v>
      </c>
      <c r="I1678" s="100">
        <v>6.7391919697301583</v>
      </c>
      <c r="J1678" s="52">
        <v>3834.68</v>
      </c>
      <c r="K1678" s="67">
        <f t="shared" si="108"/>
        <v>56414.493298204405</v>
      </c>
      <c r="L1678" s="95">
        <f>+VLOOKUP(E1678,MARGEN!A:B,2,FALSE)</f>
        <v>0.1</v>
      </c>
      <c r="M1678" s="112">
        <f t="shared" si="105"/>
        <v>5641.4493298204407</v>
      </c>
      <c r="N1678" s="113">
        <f t="shared" si="106"/>
        <v>225.65797319281762</v>
      </c>
      <c r="O1678" s="113">
        <f t="shared" si="107"/>
        <v>50547.385995191151</v>
      </c>
    </row>
    <row r="1679" spans="1:15" x14ac:dyDescent="0.25">
      <c r="A1679" s="43">
        <v>44469</v>
      </c>
      <c r="B1679" s="51">
        <v>2087</v>
      </c>
      <c r="C1679" s="66" t="s">
        <v>103</v>
      </c>
      <c r="D1679" s="66" t="s">
        <v>342</v>
      </c>
      <c r="E1679" t="s">
        <v>45</v>
      </c>
      <c r="F1679" s="50" t="s">
        <v>573</v>
      </c>
      <c r="G1679" s="50" t="s">
        <v>574</v>
      </c>
      <c r="H1679" s="50">
        <v>2</v>
      </c>
      <c r="I1679" s="100">
        <v>6.7391919697301583</v>
      </c>
      <c r="J1679" s="52">
        <v>3834.68</v>
      </c>
      <c r="K1679" s="67">
        <f t="shared" si="108"/>
        <v>53933.599410605872</v>
      </c>
      <c r="L1679" s="95">
        <f>+VLOOKUP(E1679,MARGEN!A:B,2,FALSE)</f>
        <v>0.1</v>
      </c>
      <c r="M1679" s="112">
        <f t="shared" si="105"/>
        <v>5393.3599410605875</v>
      </c>
      <c r="N1679" s="113">
        <f t="shared" si="106"/>
        <v>215.73439764242349</v>
      </c>
      <c r="O1679" s="113">
        <f t="shared" si="107"/>
        <v>48324.505071902859</v>
      </c>
    </row>
    <row r="1680" spans="1:15" x14ac:dyDescent="0.25">
      <c r="A1680" s="43">
        <v>44469</v>
      </c>
      <c r="B1680" s="51">
        <v>1871</v>
      </c>
      <c r="C1680" s="66" t="s">
        <v>198</v>
      </c>
      <c r="D1680" s="66" t="s">
        <v>326</v>
      </c>
      <c r="E1680" t="s">
        <v>45</v>
      </c>
      <c r="F1680" s="50" t="s">
        <v>573</v>
      </c>
      <c r="G1680" s="50" t="s">
        <v>574</v>
      </c>
      <c r="H1680" s="50">
        <v>2</v>
      </c>
      <c r="I1680" s="100">
        <v>6.7391919697301583</v>
      </c>
      <c r="J1680" s="52">
        <v>3834.68</v>
      </c>
      <c r="K1680" s="67">
        <f t="shared" si="108"/>
        <v>48351.588163509143</v>
      </c>
      <c r="L1680" s="95">
        <f>+VLOOKUP(E1680,MARGEN!A:B,2,FALSE)</f>
        <v>0.1</v>
      </c>
      <c r="M1680" s="112">
        <f t="shared" si="105"/>
        <v>4835.1588163509141</v>
      </c>
      <c r="N1680" s="113">
        <f t="shared" si="106"/>
        <v>193.40635265403657</v>
      </c>
      <c r="O1680" s="113">
        <f t="shared" si="107"/>
        <v>43323.022994504194</v>
      </c>
    </row>
    <row r="1681" spans="1:15" x14ac:dyDescent="0.25">
      <c r="A1681" s="43">
        <v>44469</v>
      </c>
      <c r="B1681" s="51">
        <v>1727</v>
      </c>
      <c r="C1681" s="66" t="s">
        <v>190</v>
      </c>
      <c r="D1681" s="66" t="s">
        <v>356</v>
      </c>
      <c r="E1681" t="s">
        <v>45</v>
      </c>
      <c r="F1681" s="50" t="s">
        <v>573</v>
      </c>
      <c r="G1681" s="50" t="s">
        <v>574</v>
      </c>
      <c r="H1681" s="50">
        <v>2</v>
      </c>
      <c r="I1681" s="100">
        <v>6.7391919697301583</v>
      </c>
      <c r="J1681" s="52">
        <v>3834.68</v>
      </c>
      <c r="K1681" s="67">
        <f t="shared" si="108"/>
        <v>44630.247332111321</v>
      </c>
      <c r="L1681" s="95">
        <f>+VLOOKUP(E1681,MARGEN!A:B,2,FALSE)</f>
        <v>0.1</v>
      </c>
      <c r="M1681" s="112">
        <f t="shared" si="105"/>
        <v>4463.0247332111321</v>
      </c>
      <c r="N1681" s="113">
        <f t="shared" si="106"/>
        <v>178.5209893284453</v>
      </c>
      <c r="O1681" s="113">
        <f t="shared" si="107"/>
        <v>39988.701609571741</v>
      </c>
    </row>
    <row r="1682" spans="1:15" x14ac:dyDescent="0.25">
      <c r="A1682" s="43">
        <v>44469</v>
      </c>
      <c r="B1682" s="51">
        <v>1535</v>
      </c>
      <c r="C1682" s="66" t="s">
        <v>273</v>
      </c>
      <c r="D1682" s="66" t="s">
        <v>515</v>
      </c>
      <c r="E1682" t="s">
        <v>45</v>
      </c>
      <c r="F1682" s="50" t="s">
        <v>573</v>
      </c>
      <c r="G1682" s="50" t="s">
        <v>574</v>
      </c>
      <c r="H1682" s="50">
        <v>2</v>
      </c>
      <c r="I1682" s="100">
        <v>6.7391919697301583</v>
      </c>
      <c r="J1682" s="52">
        <v>3834.68</v>
      </c>
      <c r="K1682" s="67">
        <f t="shared" si="108"/>
        <v>39668.459556914233</v>
      </c>
      <c r="L1682" s="95">
        <f>+VLOOKUP(E1682,MARGEN!A:B,2,FALSE)</f>
        <v>0.1</v>
      </c>
      <c r="M1682" s="112">
        <f t="shared" si="105"/>
        <v>3966.8459556914236</v>
      </c>
      <c r="N1682" s="113">
        <f t="shared" si="106"/>
        <v>158.67383822765694</v>
      </c>
      <c r="O1682" s="113">
        <f t="shared" si="107"/>
        <v>35542.939762995149</v>
      </c>
    </row>
    <row r="1683" spans="1:15" x14ac:dyDescent="0.25">
      <c r="A1683" s="43">
        <v>44469</v>
      </c>
      <c r="B1683" s="51">
        <v>1391</v>
      </c>
      <c r="C1683" s="66" t="s">
        <v>107</v>
      </c>
      <c r="D1683" s="66" t="s">
        <v>346</v>
      </c>
      <c r="E1683" t="s">
        <v>45</v>
      </c>
      <c r="F1683" s="50" t="s">
        <v>573</v>
      </c>
      <c r="G1683" s="50" t="s">
        <v>574</v>
      </c>
      <c r="H1683" s="50">
        <v>2</v>
      </c>
      <c r="I1683" s="100">
        <v>6.7391919697301583</v>
      </c>
      <c r="J1683" s="52">
        <v>3834.68</v>
      </c>
      <c r="K1683" s="67">
        <f t="shared" si="108"/>
        <v>35947.118725516419</v>
      </c>
      <c r="L1683" s="95">
        <f>+VLOOKUP(E1683,MARGEN!A:B,2,FALSE)</f>
        <v>0.1</v>
      </c>
      <c r="M1683" s="112">
        <f t="shared" si="105"/>
        <v>3594.711872551642</v>
      </c>
      <c r="N1683" s="113">
        <f t="shared" si="106"/>
        <v>143.78847490206567</v>
      </c>
      <c r="O1683" s="113">
        <f t="shared" si="107"/>
        <v>32208.618378062711</v>
      </c>
    </row>
    <row r="1684" spans="1:15" x14ac:dyDescent="0.25">
      <c r="A1684" s="13">
        <v>44440</v>
      </c>
      <c r="B1684" s="97">
        <v>136300</v>
      </c>
      <c r="C1684" t="s">
        <v>114</v>
      </c>
      <c r="D1684" s="94" t="s">
        <v>481</v>
      </c>
      <c r="E1684" t="s">
        <v>35</v>
      </c>
      <c r="F1684" t="s">
        <v>557</v>
      </c>
      <c r="G1684" s="50" t="s">
        <v>205</v>
      </c>
      <c r="H1684" s="50">
        <v>1</v>
      </c>
      <c r="I1684" s="100">
        <v>9</v>
      </c>
      <c r="J1684" s="52">
        <v>3834.68</v>
      </c>
      <c r="K1684" s="67">
        <f t="shared" si="108"/>
        <v>4704001.9560000002</v>
      </c>
      <c r="L1684" s="95">
        <f>+VLOOKUP(E1684,MARGEN!A:B,2,FALSE)</f>
        <v>0.1</v>
      </c>
      <c r="M1684" s="112">
        <f t="shared" si="105"/>
        <v>470400.19560000004</v>
      </c>
      <c r="N1684" s="113">
        <f t="shared" si="106"/>
        <v>18816.007824</v>
      </c>
      <c r="O1684" s="113">
        <f t="shared" si="107"/>
        <v>4214785.7525760001</v>
      </c>
    </row>
    <row r="1685" spans="1:15" x14ac:dyDescent="0.25">
      <c r="A1685" s="13">
        <v>44441</v>
      </c>
      <c r="B1685" s="97">
        <v>135540</v>
      </c>
      <c r="C1685" t="s">
        <v>114</v>
      </c>
      <c r="D1685" s="94" t="s">
        <v>481</v>
      </c>
      <c r="E1685" t="s">
        <v>35</v>
      </c>
      <c r="F1685" t="s">
        <v>572</v>
      </c>
      <c r="G1685" s="50" t="s">
        <v>243</v>
      </c>
      <c r="H1685" s="50">
        <v>1</v>
      </c>
      <c r="I1685" s="100">
        <v>9</v>
      </c>
      <c r="J1685" s="52">
        <v>3834.68</v>
      </c>
      <c r="K1685" s="67">
        <f t="shared" si="108"/>
        <v>4677772.7448000005</v>
      </c>
      <c r="L1685" s="95">
        <f>+VLOOKUP(E1685,MARGEN!A:B,2,FALSE)</f>
        <v>0.1</v>
      </c>
      <c r="M1685" s="112">
        <f t="shared" si="105"/>
        <v>467777.27448000008</v>
      </c>
      <c r="N1685" s="113">
        <f t="shared" si="106"/>
        <v>18711.090979200002</v>
      </c>
      <c r="O1685" s="113">
        <f t="shared" si="107"/>
        <v>4191284.3793408005</v>
      </c>
    </row>
    <row r="1686" spans="1:15" x14ac:dyDescent="0.25">
      <c r="A1686" s="13">
        <v>44442</v>
      </c>
      <c r="B1686" s="97">
        <v>136423</v>
      </c>
      <c r="C1686" t="s">
        <v>114</v>
      </c>
      <c r="D1686" s="94" t="s">
        <v>481</v>
      </c>
      <c r="E1686" t="s">
        <v>35</v>
      </c>
      <c r="F1686" t="s">
        <v>558</v>
      </c>
      <c r="G1686" s="50" t="s">
        <v>559</v>
      </c>
      <c r="H1686" s="50">
        <v>1</v>
      </c>
      <c r="I1686" s="100">
        <v>9</v>
      </c>
      <c r="J1686" s="52">
        <v>3834.68</v>
      </c>
      <c r="K1686" s="67">
        <f t="shared" si="108"/>
        <v>4708246.9467600007</v>
      </c>
      <c r="L1686" s="95">
        <f>+VLOOKUP(E1686,MARGEN!A:B,2,FALSE)</f>
        <v>0.1</v>
      </c>
      <c r="M1686" s="112">
        <f t="shared" si="105"/>
        <v>470824.6946760001</v>
      </c>
      <c r="N1686" s="113">
        <f t="shared" si="106"/>
        <v>18832.987787040001</v>
      </c>
      <c r="O1686" s="113">
        <f t="shared" si="107"/>
        <v>4218589.264296961</v>
      </c>
    </row>
    <row r="1687" spans="1:15" x14ac:dyDescent="0.25">
      <c r="A1687" s="13">
        <v>44450</v>
      </c>
      <c r="B1687" s="51">
        <v>136793</v>
      </c>
      <c r="C1687" s="66" t="s">
        <v>114</v>
      </c>
      <c r="D1687" s="66" t="s">
        <v>481</v>
      </c>
      <c r="E1687" t="s">
        <v>35</v>
      </c>
      <c r="F1687" s="50" t="s">
        <v>562</v>
      </c>
      <c r="G1687" s="50" t="s">
        <v>559</v>
      </c>
      <c r="H1687" s="50">
        <v>1</v>
      </c>
      <c r="I1687" s="100">
        <v>9</v>
      </c>
      <c r="J1687" s="52">
        <v>3834.68</v>
      </c>
      <c r="K1687" s="67">
        <f t="shared" si="108"/>
        <v>4721016.4311600002</v>
      </c>
      <c r="L1687" s="95">
        <f>+VLOOKUP(E1687,MARGEN!A:B,2,FALSE)</f>
        <v>0.1</v>
      </c>
      <c r="M1687" s="112">
        <f t="shared" si="105"/>
        <v>472101.64311600005</v>
      </c>
      <c r="N1687" s="113">
        <f t="shared" si="106"/>
        <v>18884.065724640001</v>
      </c>
      <c r="O1687" s="113">
        <f t="shared" si="107"/>
        <v>4230030.7223193599</v>
      </c>
    </row>
    <row r="1688" spans="1:15" x14ac:dyDescent="0.25">
      <c r="A1688" s="13">
        <v>44451</v>
      </c>
      <c r="B1688" s="97">
        <v>134802</v>
      </c>
      <c r="C1688" t="s">
        <v>114</v>
      </c>
      <c r="D1688" s="94" t="s">
        <v>481</v>
      </c>
      <c r="E1688" t="s">
        <v>35</v>
      </c>
      <c r="F1688" t="s">
        <v>562</v>
      </c>
      <c r="G1688" s="50" t="s">
        <v>559</v>
      </c>
      <c r="H1688" s="50">
        <v>1</v>
      </c>
      <c r="I1688" s="100">
        <v>9</v>
      </c>
      <c r="J1688" s="52">
        <v>3834.68</v>
      </c>
      <c r="K1688" s="67">
        <f t="shared" si="108"/>
        <v>4652302.8002399998</v>
      </c>
      <c r="L1688" s="95">
        <f>+VLOOKUP(E1688,MARGEN!A:B,2,FALSE)</f>
        <v>0.1</v>
      </c>
      <c r="M1688" s="112">
        <f t="shared" si="105"/>
        <v>465230.28002399998</v>
      </c>
      <c r="N1688" s="113">
        <f t="shared" si="106"/>
        <v>18609.211200959999</v>
      </c>
      <c r="O1688" s="113">
        <f t="shared" si="107"/>
        <v>4168463.3090150398</v>
      </c>
    </row>
    <row r="1689" spans="1:15" x14ac:dyDescent="0.25">
      <c r="A1689" s="13">
        <v>44452</v>
      </c>
      <c r="B1689" s="97">
        <v>137229</v>
      </c>
      <c r="C1689" t="s">
        <v>114</v>
      </c>
      <c r="D1689" s="94" t="s">
        <v>481</v>
      </c>
      <c r="E1689" t="s">
        <v>35</v>
      </c>
      <c r="F1689" t="s">
        <v>551</v>
      </c>
      <c r="G1689" s="50" t="s">
        <v>205</v>
      </c>
      <c r="H1689" s="50">
        <v>1</v>
      </c>
      <c r="I1689" s="100">
        <v>9</v>
      </c>
      <c r="J1689" s="52">
        <v>3834.68</v>
      </c>
      <c r="K1689" s="67">
        <f t="shared" si="108"/>
        <v>4736063.7154799998</v>
      </c>
      <c r="L1689" s="95">
        <f>+VLOOKUP(E1689,MARGEN!A:B,2,FALSE)</f>
        <v>0.1</v>
      </c>
      <c r="M1689" s="112">
        <f t="shared" si="105"/>
        <v>473606.37154800002</v>
      </c>
      <c r="N1689" s="113">
        <f t="shared" si="106"/>
        <v>18944.254861919999</v>
      </c>
      <c r="O1689" s="113">
        <f t="shared" si="107"/>
        <v>4243513.0890700798</v>
      </c>
    </row>
    <row r="1690" spans="1:15" x14ac:dyDescent="0.25">
      <c r="A1690" s="13">
        <v>44453</v>
      </c>
      <c r="B1690" s="97">
        <v>137205</v>
      </c>
      <c r="C1690" t="s">
        <v>114</v>
      </c>
      <c r="D1690" s="94" t="s">
        <v>481</v>
      </c>
      <c r="E1690" t="s">
        <v>35</v>
      </c>
      <c r="F1690" t="s">
        <v>551</v>
      </c>
      <c r="G1690" s="50" t="s">
        <v>205</v>
      </c>
      <c r="H1690" s="50">
        <v>1</v>
      </c>
      <c r="I1690" s="100">
        <v>9</v>
      </c>
      <c r="J1690" s="52">
        <v>3834.68</v>
      </c>
      <c r="K1690" s="67">
        <f t="shared" si="108"/>
        <v>4735235.4245999996</v>
      </c>
      <c r="L1690" s="95">
        <f>+VLOOKUP(E1690,MARGEN!A:B,2,FALSE)</f>
        <v>0.1</v>
      </c>
      <c r="M1690" s="112">
        <f t="shared" si="105"/>
        <v>473523.54245999997</v>
      </c>
      <c r="N1690" s="113">
        <f t="shared" si="106"/>
        <v>18940.941698399998</v>
      </c>
      <c r="O1690" s="113">
        <f t="shared" si="107"/>
        <v>4242770.9404415991</v>
      </c>
    </row>
    <row r="1691" spans="1:15" x14ac:dyDescent="0.25">
      <c r="A1691" s="13">
        <v>44454</v>
      </c>
      <c r="B1691" s="97">
        <v>136293</v>
      </c>
      <c r="C1691" t="s">
        <v>114</v>
      </c>
      <c r="D1691" s="94" t="s">
        <v>481</v>
      </c>
      <c r="E1691" t="s">
        <v>35</v>
      </c>
      <c r="F1691" t="s">
        <v>551</v>
      </c>
      <c r="G1691" s="50" t="s">
        <v>205</v>
      </c>
      <c r="H1691" s="50">
        <v>1</v>
      </c>
      <c r="I1691" s="100">
        <v>9</v>
      </c>
      <c r="J1691" s="52">
        <v>3834.68</v>
      </c>
      <c r="K1691" s="67">
        <f t="shared" si="108"/>
        <v>4703760.3711599996</v>
      </c>
      <c r="L1691" s="95">
        <f>+VLOOKUP(E1691,MARGEN!A:B,2,FALSE)</f>
        <v>0.1</v>
      </c>
      <c r="M1691" s="112">
        <f t="shared" si="105"/>
        <v>470376.03711599996</v>
      </c>
      <c r="N1691" s="113">
        <f t="shared" si="106"/>
        <v>18815.041484639998</v>
      </c>
      <c r="O1691" s="113">
        <f t="shared" si="107"/>
        <v>4214569.2925593602</v>
      </c>
    </row>
    <row r="1692" spans="1:15" x14ac:dyDescent="0.25">
      <c r="A1692" s="13">
        <v>44455</v>
      </c>
      <c r="B1692" s="97">
        <v>135645</v>
      </c>
      <c r="C1692" t="s">
        <v>114</v>
      </c>
      <c r="D1692" s="94" t="s">
        <v>481</v>
      </c>
      <c r="E1692" t="s">
        <v>35</v>
      </c>
      <c r="F1692" t="s">
        <v>551</v>
      </c>
      <c r="G1692" s="50" t="s">
        <v>205</v>
      </c>
      <c r="H1692" s="50">
        <v>1</v>
      </c>
      <c r="I1692" s="100">
        <v>9</v>
      </c>
      <c r="J1692" s="52">
        <v>3834.68</v>
      </c>
      <c r="K1692" s="67">
        <f t="shared" si="108"/>
        <v>4681396.5173999993</v>
      </c>
      <c r="L1692" s="95">
        <f>+VLOOKUP(E1692,MARGEN!A:B,2,FALSE)</f>
        <v>0.1</v>
      </c>
      <c r="M1692" s="112">
        <f t="shared" si="105"/>
        <v>468139.65173999994</v>
      </c>
      <c r="N1692" s="113">
        <f t="shared" si="106"/>
        <v>18725.586069599998</v>
      </c>
      <c r="O1692" s="113">
        <f t="shared" si="107"/>
        <v>4194531.2795903999</v>
      </c>
    </row>
    <row r="1693" spans="1:15" x14ac:dyDescent="0.25">
      <c r="A1693" s="13">
        <v>44456</v>
      </c>
      <c r="B1693" s="97">
        <v>136413</v>
      </c>
      <c r="C1693" t="s">
        <v>114</v>
      </c>
      <c r="D1693" s="94" t="s">
        <v>481</v>
      </c>
      <c r="E1693" t="s">
        <v>35</v>
      </c>
      <c r="F1693" t="s">
        <v>551</v>
      </c>
      <c r="G1693" s="50" t="s">
        <v>205</v>
      </c>
      <c r="H1693" s="50">
        <v>1</v>
      </c>
      <c r="I1693" s="100">
        <v>9</v>
      </c>
      <c r="J1693" s="52">
        <v>3834.68</v>
      </c>
      <c r="K1693" s="67">
        <f t="shared" si="108"/>
        <v>4707901.8255599998</v>
      </c>
      <c r="L1693" s="95">
        <f>+VLOOKUP(E1693,MARGEN!A:B,2,FALSE)</f>
        <v>0.1</v>
      </c>
      <c r="M1693" s="112">
        <f t="shared" si="105"/>
        <v>470790.18255600001</v>
      </c>
      <c r="N1693" s="113">
        <f t="shared" si="106"/>
        <v>18831.607302239998</v>
      </c>
      <c r="O1693" s="113">
        <f t="shared" si="107"/>
        <v>4218280.0357017601</v>
      </c>
    </row>
    <row r="1694" spans="1:15" x14ac:dyDescent="0.25">
      <c r="A1694" s="13">
        <v>44459</v>
      </c>
      <c r="B1694" s="97">
        <v>137239</v>
      </c>
      <c r="C1694" t="s">
        <v>114</v>
      </c>
      <c r="D1694" s="94" t="s">
        <v>481</v>
      </c>
      <c r="E1694" t="s">
        <v>35</v>
      </c>
      <c r="F1694" t="s">
        <v>558</v>
      </c>
      <c r="G1694" s="50" t="s">
        <v>574</v>
      </c>
      <c r="H1694" s="50">
        <v>1</v>
      </c>
      <c r="I1694" s="100">
        <v>9</v>
      </c>
      <c r="J1694" s="52">
        <v>3834.68</v>
      </c>
      <c r="K1694" s="67">
        <f t="shared" si="108"/>
        <v>4736408.8366799997</v>
      </c>
      <c r="L1694" s="95">
        <f>+VLOOKUP(E1694,MARGEN!A:B,2,FALSE)</f>
        <v>0.1</v>
      </c>
      <c r="M1694" s="112">
        <f t="shared" si="105"/>
        <v>473640.88366799999</v>
      </c>
      <c r="N1694" s="113">
        <f t="shared" si="106"/>
        <v>18945.635346719999</v>
      </c>
      <c r="O1694" s="113">
        <f t="shared" si="107"/>
        <v>4243822.3176652798</v>
      </c>
    </row>
    <row r="1695" spans="1:15" x14ac:dyDescent="0.25">
      <c r="A1695" s="13">
        <v>44460</v>
      </c>
      <c r="B1695" s="97">
        <v>137229</v>
      </c>
      <c r="C1695" t="s">
        <v>114</v>
      </c>
      <c r="D1695" s="94" t="s">
        <v>481</v>
      </c>
      <c r="E1695" t="s">
        <v>35</v>
      </c>
      <c r="F1695" t="s">
        <v>573</v>
      </c>
      <c r="G1695" s="50" t="s">
        <v>574</v>
      </c>
      <c r="H1695" s="50">
        <v>1</v>
      </c>
      <c r="I1695" s="100">
        <v>9</v>
      </c>
      <c r="J1695" s="52">
        <v>3834.68</v>
      </c>
      <c r="K1695" s="67">
        <f t="shared" si="108"/>
        <v>4736063.7154799998</v>
      </c>
      <c r="L1695" s="95">
        <f>+VLOOKUP(E1695,MARGEN!A:B,2,FALSE)</f>
        <v>0.1</v>
      </c>
      <c r="M1695" s="112">
        <f t="shared" si="105"/>
        <v>473606.37154800002</v>
      </c>
      <c r="N1695" s="113">
        <f t="shared" si="106"/>
        <v>18944.254861919999</v>
      </c>
      <c r="O1695" s="113">
        <f t="shared" si="107"/>
        <v>4243513.0890700798</v>
      </c>
    </row>
    <row r="1696" spans="1:15" x14ac:dyDescent="0.25">
      <c r="A1696" s="13">
        <v>44461</v>
      </c>
      <c r="B1696" s="97">
        <v>136299</v>
      </c>
      <c r="C1696" t="s">
        <v>114</v>
      </c>
      <c r="D1696" t="s">
        <v>481</v>
      </c>
      <c r="E1696" t="s">
        <v>35</v>
      </c>
      <c r="F1696" t="s">
        <v>566</v>
      </c>
      <c r="G1696" s="50" t="s">
        <v>574</v>
      </c>
      <c r="H1696" s="50">
        <v>1</v>
      </c>
      <c r="I1696" s="100">
        <v>9</v>
      </c>
      <c r="J1696" s="52">
        <v>3834.68</v>
      </c>
      <c r="K1696" s="67">
        <f t="shared" si="108"/>
        <v>4703967.4438800002</v>
      </c>
      <c r="L1696" s="95">
        <f>+VLOOKUP(E1696,MARGEN!A:B,2,FALSE)</f>
        <v>0.1</v>
      </c>
      <c r="M1696" s="112">
        <f t="shared" si="105"/>
        <v>470396.74438800005</v>
      </c>
      <c r="N1696" s="113">
        <f t="shared" si="106"/>
        <v>18815.869775520001</v>
      </c>
      <c r="O1696" s="113">
        <f t="shared" si="107"/>
        <v>4214754.8297164803</v>
      </c>
    </row>
    <row r="1697" spans="1:15" x14ac:dyDescent="0.25">
      <c r="A1697" s="13">
        <v>44462</v>
      </c>
      <c r="B1697" s="97">
        <v>135655</v>
      </c>
      <c r="C1697" t="s">
        <v>114</v>
      </c>
      <c r="D1697" t="s">
        <v>481</v>
      </c>
      <c r="E1697" t="s">
        <v>35</v>
      </c>
      <c r="F1697" t="s">
        <v>558</v>
      </c>
      <c r="G1697" s="50" t="s">
        <v>574</v>
      </c>
      <c r="H1697" s="50">
        <v>1</v>
      </c>
      <c r="I1697" s="100">
        <v>9</v>
      </c>
      <c r="J1697" s="52">
        <v>3834.68</v>
      </c>
      <c r="K1697" s="67">
        <f t="shared" si="108"/>
        <v>4681741.6385999992</v>
      </c>
      <c r="L1697" s="95">
        <f>+VLOOKUP(E1697,MARGEN!A:B,2,FALSE)</f>
        <v>0.1</v>
      </c>
      <c r="M1697" s="112">
        <f t="shared" si="105"/>
        <v>468174.16385999997</v>
      </c>
      <c r="N1697" s="113">
        <f t="shared" si="106"/>
        <v>18726.966554399998</v>
      </c>
      <c r="O1697" s="113">
        <f t="shared" si="107"/>
        <v>4194840.5081855999</v>
      </c>
    </row>
    <row r="1698" spans="1:15" x14ac:dyDescent="0.25">
      <c r="A1698" s="13">
        <v>44463</v>
      </c>
      <c r="B1698" s="97">
        <v>136423</v>
      </c>
      <c r="C1698" t="s">
        <v>114</v>
      </c>
      <c r="D1698" t="s">
        <v>481</v>
      </c>
      <c r="E1698" t="s">
        <v>35</v>
      </c>
      <c r="F1698" t="s">
        <v>558</v>
      </c>
      <c r="G1698" s="50" t="s">
        <v>574</v>
      </c>
      <c r="H1698" s="50">
        <v>1</v>
      </c>
      <c r="I1698" s="100">
        <v>9</v>
      </c>
      <c r="J1698" s="52">
        <v>3834.68</v>
      </c>
      <c r="K1698" s="67">
        <f t="shared" si="108"/>
        <v>4708246.9467600007</v>
      </c>
      <c r="L1698" s="95">
        <f>+VLOOKUP(E1698,MARGEN!A:B,2,FALSE)</f>
        <v>0.1</v>
      </c>
      <c r="M1698" s="112">
        <f t="shared" si="105"/>
        <v>470824.6946760001</v>
      </c>
      <c r="N1698" s="113">
        <f t="shared" si="106"/>
        <v>18832.987787040001</v>
      </c>
      <c r="O1698" s="113">
        <f t="shared" si="107"/>
        <v>4218589.264296961</v>
      </c>
    </row>
    <row r="1699" spans="1:15" x14ac:dyDescent="0.25">
      <c r="A1699" s="13">
        <v>44464</v>
      </c>
      <c r="B1699" s="97">
        <v>136821</v>
      </c>
      <c r="C1699" t="s">
        <v>114</v>
      </c>
      <c r="D1699" t="s">
        <v>481</v>
      </c>
      <c r="E1699" t="s">
        <v>35</v>
      </c>
      <c r="F1699" t="s">
        <v>573</v>
      </c>
      <c r="G1699" s="50" t="s">
        <v>574</v>
      </c>
      <c r="H1699" s="50">
        <v>1</v>
      </c>
      <c r="I1699" s="100">
        <v>9</v>
      </c>
      <c r="J1699" s="52">
        <v>3834.68</v>
      </c>
      <c r="K1699" s="67">
        <f t="shared" si="108"/>
        <v>4721982.7705199998</v>
      </c>
      <c r="L1699" s="95">
        <f>+VLOOKUP(E1699,MARGEN!A:B,2,FALSE)</f>
        <v>0.1</v>
      </c>
      <c r="M1699" s="112">
        <f t="shared" si="105"/>
        <v>472198.27705199999</v>
      </c>
      <c r="N1699" s="113">
        <f t="shared" si="106"/>
        <v>18887.931082079998</v>
      </c>
      <c r="O1699" s="113">
        <f t="shared" si="107"/>
        <v>4230896.5623859195</v>
      </c>
    </row>
    <row r="1700" spans="1:15" x14ac:dyDescent="0.25">
      <c r="A1700" s="43">
        <v>44465</v>
      </c>
      <c r="B1700" s="51">
        <v>134829</v>
      </c>
      <c r="C1700" s="66" t="s">
        <v>114</v>
      </c>
      <c r="D1700" s="66" t="s">
        <v>481</v>
      </c>
      <c r="E1700" t="s">
        <v>35</v>
      </c>
      <c r="F1700" s="50" t="s">
        <v>573</v>
      </c>
      <c r="G1700" s="50" t="s">
        <v>574</v>
      </c>
      <c r="H1700" s="50">
        <v>1</v>
      </c>
      <c r="I1700" s="100">
        <v>9</v>
      </c>
      <c r="J1700" s="52">
        <v>3834.68</v>
      </c>
      <c r="K1700" s="67">
        <f t="shared" si="108"/>
        <v>4653234.6274799993</v>
      </c>
      <c r="L1700" s="95">
        <f>+VLOOKUP(E1700,MARGEN!A:B,2,FALSE)</f>
        <v>0.1</v>
      </c>
      <c r="M1700" s="112">
        <f t="shared" si="105"/>
        <v>465323.46274799993</v>
      </c>
      <c r="N1700" s="113">
        <f t="shared" si="106"/>
        <v>18612.938509919997</v>
      </c>
      <c r="O1700" s="113">
        <f t="shared" si="107"/>
        <v>4169298.2262220792</v>
      </c>
    </row>
    <row r="1701" spans="1:15" x14ac:dyDescent="0.25">
      <c r="A1701" s="43">
        <v>44466</v>
      </c>
      <c r="B1701" s="51">
        <v>137253</v>
      </c>
      <c r="C1701" s="66" t="s">
        <v>114</v>
      </c>
      <c r="D1701" s="66" t="s">
        <v>481</v>
      </c>
      <c r="E1701" t="s">
        <v>35</v>
      </c>
      <c r="F1701" s="50" t="s">
        <v>573</v>
      </c>
      <c r="G1701" s="50" t="s">
        <v>574</v>
      </c>
      <c r="H1701" s="50">
        <v>1</v>
      </c>
      <c r="I1701" s="100">
        <v>9</v>
      </c>
      <c r="J1701" s="52">
        <v>3834.68</v>
      </c>
      <c r="K1701" s="67">
        <f t="shared" si="108"/>
        <v>4736892.00636</v>
      </c>
      <c r="L1701" s="95">
        <f>+VLOOKUP(E1701,MARGEN!A:B,2,FALSE)</f>
        <v>0.1</v>
      </c>
      <c r="M1701" s="112">
        <f t="shared" si="105"/>
        <v>473689.20063600002</v>
      </c>
      <c r="N1701" s="113">
        <f t="shared" si="106"/>
        <v>18947.568025439999</v>
      </c>
      <c r="O1701" s="113">
        <f t="shared" si="107"/>
        <v>4244255.2376985596</v>
      </c>
    </row>
    <row r="1702" spans="1:15" x14ac:dyDescent="0.25">
      <c r="A1702" s="43">
        <v>44467</v>
      </c>
      <c r="B1702" s="51">
        <v>137229</v>
      </c>
      <c r="C1702" s="66" t="s">
        <v>114</v>
      </c>
      <c r="D1702" s="66" t="s">
        <v>481</v>
      </c>
      <c r="E1702" t="s">
        <v>35</v>
      </c>
      <c r="F1702" s="50" t="s">
        <v>573</v>
      </c>
      <c r="G1702" s="50" t="s">
        <v>574</v>
      </c>
      <c r="H1702" s="50">
        <v>1</v>
      </c>
      <c r="I1702" s="100">
        <v>9</v>
      </c>
      <c r="J1702" s="52">
        <v>3834.68</v>
      </c>
      <c r="K1702" s="67">
        <f t="shared" si="108"/>
        <v>4736063.7154799998</v>
      </c>
      <c r="L1702" s="95">
        <f>+VLOOKUP(E1702,MARGEN!A:B,2,FALSE)</f>
        <v>0.1</v>
      </c>
      <c r="M1702" s="112">
        <f t="shared" si="105"/>
        <v>473606.37154800002</v>
      </c>
      <c r="N1702" s="113">
        <f t="shared" si="106"/>
        <v>18944.254861919999</v>
      </c>
      <c r="O1702" s="113">
        <f t="shared" si="107"/>
        <v>4243513.0890700798</v>
      </c>
    </row>
    <row r="1703" spans="1:15" x14ac:dyDescent="0.25">
      <c r="A1703" s="43">
        <v>44468</v>
      </c>
      <c r="B1703" s="51">
        <v>136317</v>
      </c>
      <c r="C1703" s="66" t="s">
        <v>114</v>
      </c>
      <c r="D1703" s="66" t="s">
        <v>481</v>
      </c>
      <c r="E1703" t="s">
        <v>35</v>
      </c>
      <c r="F1703" s="50" t="s">
        <v>573</v>
      </c>
      <c r="G1703" s="50" t="s">
        <v>574</v>
      </c>
      <c r="H1703" s="50">
        <v>1</v>
      </c>
      <c r="I1703" s="100">
        <v>9</v>
      </c>
      <c r="J1703" s="52">
        <v>3834.68</v>
      </c>
      <c r="K1703" s="67">
        <f t="shared" si="108"/>
        <v>4704588.6620399999</v>
      </c>
      <c r="L1703" s="95">
        <f>+VLOOKUP(E1703,MARGEN!A:B,2,FALSE)</f>
        <v>0.1</v>
      </c>
      <c r="M1703" s="112">
        <f t="shared" si="105"/>
        <v>470458.86620400002</v>
      </c>
      <c r="N1703" s="113">
        <f t="shared" si="106"/>
        <v>18818.354648159999</v>
      </c>
      <c r="O1703" s="113">
        <f t="shared" si="107"/>
        <v>4215311.44118784</v>
      </c>
    </row>
    <row r="1704" spans="1:15" x14ac:dyDescent="0.25">
      <c r="A1704" s="43">
        <v>44469</v>
      </c>
      <c r="B1704" s="51">
        <v>135669</v>
      </c>
      <c r="C1704" s="66" t="s">
        <v>114</v>
      </c>
      <c r="D1704" s="66" t="s">
        <v>481</v>
      </c>
      <c r="E1704" t="s">
        <v>35</v>
      </c>
      <c r="F1704" s="50" t="s">
        <v>573</v>
      </c>
      <c r="G1704" s="50" t="s">
        <v>574</v>
      </c>
      <c r="H1704" s="50">
        <v>1</v>
      </c>
      <c r="I1704" s="100">
        <v>9</v>
      </c>
      <c r="J1704" s="52">
        <v>3834.68</v>
      </c>
      <c r="K1704" s="67">
        <f t="shared" si="108"/>
        <v>4682224.8082799995</v>
      </c>
      <c r="L1704" s="95">
        <f>+VLOOKUP(E1704,MARGEN!A:B,2,FALSE)</f>
        <v>0.1</v>
      </c>
      <c r="M1704" s="112">
        <f t="shared" si="105"/>
        <v>468222.480828</v>
      </c>
      <c r="N1704" s="113">
        <f t="shared" si="106"/>
        <v>18728.899233119999</v>
      </c>
      <c r="O1704" s="113">
        <f t="shared" si="107"/>
        <v>4195273.4282188797</v>
      </c>
    </row>
    <row r="1705" spans="1:15" x14ac:dyDescent="0.25">
      <c r="A1705" s="13">
        <v>44452</v>
      </c>
      <c r="B1705" s="97">
        <v>103396</v>
      </c>
      <c r="C1705" t="s">
        <v>105</v>
      </c>
      <c r="D1705" s="94" t="s">
        <v>439</v>
      </c>
      <c r="E1705" t="s">
        <v>40</v>
      </c>
      <c r="F1705" t="s">
        <v>551</v>
      </c>
      <c r="G1705" s="50" t="s">
        <v>205</v>
      </c>
      <c r="H1705" s="50">
        <v>2</v>
      </c>
      <c r="I1705" s="100">
        <v>6.7391919697301583</v>
      </c>
      <c r="J1705" s="52">
        <v>3834.68</v>
      </c>
      <c r="K1705" s="67">
        <f t="shared" si="108"/>
        <v>2672026.0875222827</v>
      </c>
      <c r="L1705" s="95">
        <f>+VLOOKUP(E1705,MARGEN!A:B,2,FALSE)</f>
        <v>0.1</v>
      </c>
      <c r="M1705" s="112">
        <f t="shared" si="105"/>
        <v>267202.60875222826</v>
      </c>
      <c r="N1705" s="113">
        <f t="shared" si="106"/>
        <v>10688.10435008913</v>
      </c>
      <c r="O1705" s="113">
        <f t="shared" si="107"/>
        <v>2394135.3744199653</v>
      </c>
    </row>
    <row r="1706" spans="1:15" x14ac:dyDescent="0.25">
      <c r="A1706" s="13">
        <v>44453</v>
      </c>
      <c r="B1706" s="97">
        <v>101092</v>
      </c>
      <c r="C1706" t="s">
        <v>105</v>
      </c>
      <c r="D1706" s="94" t="s">
        <v>439</v>
      </c>
      <c r="E1706" t="s">
        <v>40</v>
      </c>
      <c r="F1706" t="s">
        <v>551</v>
      </c>
      <c r="G1706" s="50" t="s">
        <v>205</v>
      </c>
      <c r="H1706" s="50">
        <v>2</v>
      </c>
      <c r="I1706" s="100">
        <v>6.7391919697301583</v>
      </c>
      <c r="J1706" s="52">
        <v>3834.68</v>
      </c>
      <c r="K1706" s="67">
        <f t="shared" si="108"/>
        <v>2612484.6342199179</v>
      </c>
      <c r="L1706" s="95">
        <f>+VLOOKUP(E1706,MARGEN!A:B,2,FALSE)</f>
        <v>0.1</v>
      </c>
      <c r="M1706" s="112">
        <f t="shared" si="105"/>
        <v>261248.46342199179</v>
      </c>
      <c r="N1706" s="113">
        <f t="shared" si="106"/>
        <v>10449.938536879672</v>
      </c>
      <c r="O1706" s="113">
        <f t="shared" si="107"/>
        <v>2340786.2322610468</v>
      </c>
    </row>
    <row r="1707" spans="1:15" x14ac:dyDescent="0.25">
      <c r="A1707" s="13">
        <v>44454</v>
      </c>
      <c r="B1707" s="97">
        <v>102004</v>
      </c>
      <c r="C1707" t="s">
        <v>105</v>
      </c>
      <c r="D1707" s="94" t="s">
        <v>439</v>
      </c>
      <c r="E1707" t="s">
        <v>40</v>
      </c>
      <c r="F1707" t="s">
        <v>551</v>
      </c>
      <c r="G1707" s="50" t="s">
        <v>205</v>
      </c>
      <c r="H1707" s="50">
        <v>2</v>
      </c>
      <c r="I1707" s="100">
        <v>6.7391919697301583</v>
      </c>
      <c r="J1707" s="52">
        <v>3834.68</v>
      </c>
      <c r="K1707" s="67">
        <f t="shared" si="108"/>
        <v>2636053.1261521038</v>
      </c>
      <c r="L1707" s="95">
        <f>+VLOOKUP(E1707,MARGEN!A:B,2,FALSE)</f>
        <v>0.1</v>
      </c>
      <c r="M1707" s="112">
        <f t="shared" si="105"/>
        <v>263605.31261521037</v>
      </c>
      <c r="N1707" s="113">
        <f t="shared" si="106"/>
        <v>10544.212504608415</v>
      </c>
      <c r="O1707" s="113">
        <f t="shared" si="107"/>
        <v>2361903.601032285</v>
      </c>
    </row>
    <row r="1708" spans="1:15" x14ac:dyDescent="0.25">
      <c r="A1708" s="13">
        <v>44455</v>
      </c>
      <c r="B1708" s="97">
        <v>103348</v>
      </c>
      <c r="C1708" t="s">
        <v>105</v>
      </c>
      <c r="D1708" s="94" t="s">
        <v>439</v>
      </c>
      <c r="E1708" t="s">
        <v>40</v>
      </c>
      <c r="F1708" t="s">
        <v>551</v>
      </c>
      <c r="G1708" s="50" t="s">
        <v>205</v>
      </c>
      <c r="H1708" s="50">
        <v>2</v>
      </c>
      <c r="I1708" s="100">
        <v>6.7391919697301583</v>
      </c>
      <c r="J1708" s="52">
        <v>3834.68</v>
      </c>
      <c r="K1708" s="67">
        <f t="shared" si="108"/>
        <v>2670785.6405784832</v>
      </c>
      <c r="L1708" s="95">
        <f>+VLOOKUP(E1708,MARGEN!A:B,2,FALSE)</f>
        <v>0.1</v>
      </c>
      <c r="M1708" s="112">
        <f t="shared" si="105"/>
        <v>267078.56405784836</v>
      </c>
      <c r="N1708" s="113">
        <f t="shared" si="106"/>
        <v>10683.142562313933</v>
      </c>
      <c r="O1708" s="113">
        <f t="shared" si="107"/>
        <v>2393023.9339583209</v>
      </c>
    </row>
    <row r="1709" spans="1:15" x14ac:dyDescent="0.25">
      <c r="A1709" s="13">
        <v>44456</v>
      </c>
      <c r="B1709" s="97">
        <v>103252</v>
      </c>
      <c r="C1709" t="s">
        <v>105</v>
      </c>
      <c r="D1709" s="94" t="s">
        <v>439</v>
      </c>
      <c r="E1709" t="s">
        <v>40</v>
      </c>
      <c r="F1709" t="s">
        <v>551</v>
      </c>
      <c r="G1709" s="50" t="s">
        <v>205</v>
      </c>
      <c r="H1709" s="50">
        <v>2</v>
      </c>
      <c r="I1709" s="100">
        <v>6.7391919697301583</v>
      </c>
      <c r="J1709" s="52">
        <v>3834.68</v>
      </c>
      <c r="K1709" s="67">
        <f t="shared" si="108"/>
        <v>2668304.7466908852</v>
      </c>
      <c r="L1709" s="95">
        <f>+VLOOKUP(E1709,MARGEN!A:B,2,FALSE)</f>
        <v>0.1</v>
      </c>
      <c r="M1709" s="112">
        <f t="shared" si="105"/>
        <v>266830.47466908855</v>
      </c>
      <c r="N1709" s="113">
        <f t="shared" si="106"/>
        <v>10673.218986763541</v>
      </c>
      <c r="O1709" s="113">
        <f t="shared" si="107"/>
        <v>2390801.0530350329</v>
      </c>
    </row>
    <row r="1710" spans="1:15" x14ac:dyDescent="0.25">
      <c r="A1710" s="13">
        <v>44457</v>
      </c>
      <c r="B1710" s="97">
        <v>103393</v>
      </c>
      <c r="C1710" t="s">
        <v>105</v>
      </c>
      <c r="D1710" s="94" t="s">
        <v>439</v>
      </c>
      <c r="E1710" t="s">
        <v>40</v>
      </c>
      <c r="F1710" t="s">
        <v>562</v>
      </c>
      <c r="G1710" s="50" t="s">
        <v>559</v>
      </c>
      <c r="H1710" s="50">
        <v>2</v>
      </c>
      <c r="I1710" s="100">
        <v>6.7391919697301583</v>
      </c>
      <c r="J1710" s="52">
        <v>3834.68</v>
      </c>
      <c r="K1710" s="67">
        <f t="shared" si="108"/>
        <v>2671948.5595882954</v>
      </c>
      <c r="L1710" s="95">
        <f>+VLOOKUP(E1710,MARGEN!A:B,2,FALSE)</f>
        <v>0.1</v>
      </c>
      <c r="M1710" s="112">
        <f t="shared" si="105"/>
        <v>267194.85595882958</v>
      </c>
      <c r="N1710" s="113">
        <f t="shared" si="106"/>
        <v>10687.794238353181</v>
      </c>
      <c r="O1710" s="113">
        <f t="shared" si="107"/>
        <v>2394065.9093911126</v>
      </c>
    </row>
    <row r="1711" spans="1:15" x14ac:dyDescent="0.25">
      <c r="A1711" s="13">
        <v>44458</v>
      </c>
      <c r="B1711" s="97">
        <v>103393</v>
      </c>
      <c r="C1711" t="s">
        <v>105</v>
      </c>
      <c r="D1711" s="94" t="s">
        <v>439</v>
      </c>
      <c r="E1711" t="s">
        <v>40</v>
      </c>
      <c r="F1711" t="s">
        <v>562</v>
      </c>
      <c r="G1711" s="50" t="s">
        <v>559</v>
      </c>
      <c r="H1711" s="50">
        <v>2</v>
      </c>
      <c r="I1711" s="100">
        <v>6.7391919697301583</v>
      </c>
      <c r="J1711" s="52">
        <v>3834.68</v>
      </c>
      <c r="K1711" s="67">
        <f t="shared" si="108"/>
        <v>2671948.5595882954</v>
      </c>
      <c r="L1711" s="95">
        <f>+VLOOKUP(E1711,MARGEN!A:B,2,FALSE)</f>
        <v>0.1</v>
      </c>
      <c r="M1711" s="112">
        <f t="shared" si="105"/>
        <v>267194.85595882958</v>
      </c>
      <c r="N1711" s="113">
        <f t="shared" si="106"/>
        <v>10687.794238353181</v>
      </c>
      <c r="O1711" s="113">
        <f t="shared" si="107"/>
        <v>2394065.9093911126</v>
      </c>
    </row>
    <row r="1712" spans="1:15" x14ac:dyDescent="0.25">
      <c r="A1712" s="13">
        <v>44459</v>
      </c>
      <c r="B1712" s="97">
        <v>103414</v>
      </c>
      <c r="C1712" t="s">
        <v>105</v>
      </c>
      <c r="D1712" s="94" t="s">
        <v>439</v>
      </c>
      <c r="E1712" t="s">
        <v>40</v>
      </c>
      <c r="F1712" t="s">
        <v>573</v>
      </c>
      <c r="G1712" s="50" t="s">
        <v>574</v>
      </c>
      <c r="H1712" s="50">
        <v>2</v>
      </c>
      <c r="I1712" s="100">
        <v>6.7391919697301583</v>
      </c>
      <c r="J1712" s="52">
        <v>3834.68</v>
      </c>
      <c r="K1712" s="67">
        <f t="shared" si="108"/>
        <v>2672491.2551262076</v>
      </c>
      <c r="L1712" s="95">
        <f>+VLOOKUP(E1712,MARGEN!A:B,2,FALSE)</f>
        <v>0.1</v>
      </c>
      <c r="M1712" s="112">
        <f t="shared" si="105"/>
        <v>267249.12551262078</v>
      </c>
      <c r="N1712" s="113">
        <f t="shared" si="106"/>
        <v>10689.965020504831</v>
      </c>
      <c r="O1712" s="113">
        <f t="shared" si="107"/>
        <v>2394552.1645930819</v>
      </c>
    </row>
    <row r="1713" spans="1:15" x14ac:dyDescent="0.25">
      <c r="A1713" s="13">
        <v>44460</v>
      </c>
      <c r="B1713" s="97">
        <v>101110</v>
      </c>
      <c r="C1713" t="s">
        <v>105</v>
      </c>
      <c r="D1713" s="94" t="s">
        <v>439</v>
      </c>
      <c r="E1713" t="s">
        <v>40</v>
      </c>
      <c r="F1713" t="s">
        <v>573</v>
      </c>
      <c r="G1713" s="50" t="s">
        <v>574</v>
      </c>
      <c r="H1713" s="50">
        <v>2</v>
      </c>
      <c r="I1713" s="100">
        <v>6.7391919697301583</v>
      </c>
      <c r="J1713" s="52">
        <v>3834.68</v>
      </c>
      <c r="K1713" s="67">
        <f t="shared" si="108"/>
        <v>2612949.8018238423</v>
      </c>
      <c r="L1713" s="95">
        <f>+VLOOKUP(E1713,MARGEN!A:B,2,FALSE)</f>
        <v>0.1</v>
      </c>
      <c r="M1713" s="112">
        <f t="shared" si="105"/>
        <v>261294.98018238426</v>
      </c>
      <c r="N1713" s="113">
        <f t="shared" si="106"/>
        <v>10451.799207295369</v>
      </c>
      <c r="O1713" s="113">
        <f t="shared" si="107"/>
        <v>2341203.0224341629</v>
      </c>
    </row>
    <row r="1714" spans="1:15" x14ac:dyDescent="0.25">
      <c r="A1714" s="13">
        <v>44461</v>
      </c>
      <c r="B1714" s="97">
        <v>102022</v>
      </c>
      <c r="C1714" t="s">
        <v>105</v>
      </c>
      <c r="D1714" t="s">
        <v>439</v>
      </c>
      <c r="E1714" t="s">
        <v>40</v>
      </c>
      <c r="F1714" t="s">
        <v>573</v>
      </c>
      <c r="G1714" s="50" t="s">
        <v>574</v>
      </c>
      <c r="H1714" s="50">
        <v>2</v>
      </c>
      <c r="I1714" s="100">
        <v>6.7391919697301583</v>
      </c>
      <c r="J1714" s="52">
        <v>3834.68</v>
      </c>
      <c r="K1714" s="67">
        <f t="shared" si="108"/>
        <v>2636518.2937560286</v>
      </c>
      <c r="L1714" s="95">
        <f>+VLOOKUP(E1714,MARGEN!A:B,2,FALSE)</f>
        <v>0.1</v>
      </c>
      <c r="M1714" s="112">
        <f t="shared" si="105"/>
        <v>263651.82937560289</v>
      </c>
      <c r="N1714" s="113">
        <f t="shared" si="106"/>
        <v>10546.073175024114</v>
      </c>
      <c r="O1714" s="113">
        <f t="shared" si="107"/>
        <v>2362320.3912054016</v>
      </c>
    </row>
    <row r="1715" spans="1:15" x14ac:dyDescent="0.25">
      <c r="A1715" s="13">
        <v>44462</v>
      </c>
      <c r="B1715" s="97">
        <v>103366</v>
      </c>
      <c r="C1715" t="s">
        <v>105</v>
      </c>
      <c r="D1715" t="s">
        <v>439</v>
      </c>
      <c r="E1715" t="s">
        <v>40</v>
      </c>
      <c r="F1715" t="s">
        <v>573</v>
      </c>
      <c r="G1715" s="50" t="s">
        <v>574</v>
      </c>
      <c r="H1715" s="50">
        <v>2</v>
      </c>
      <c r="I1715" s="100">
        <v>6.7391919697301583</v>
      </c>
      <c r="J1715" s="52">
        <v>3834.68</v>
      </c>
      <c r="K1715" s="67">
        <f t="shared" si="108"/>
        <v>2671250.8081824081</v>
      </c>
      <c r="L1715" s="95">
        <f>+VLOOKUP(E1715,MARGEN!A:B,2,FALSE)</f>
        <v>0.1</v>
      </c>
      <c r="M1715" s="112">
        <f t="shared" si="105"/>
        <v>267125.08081824082</v>
      </c>
      <c r="N1715" s="113">
        <f t="shared" si="106"/>
        <v>10685.003232729632</v>
      </c>
      <c r="O1715" s="113">
        <f t="shared" si="107"/>
        <v>2393440.7241314375</v>
      </c>
    </row>
    <row r="1716" spans="1:15" x14ac:dyDescent="0.25">
      <c r="A1716" s="13">
        <v>44463</v>
      </c>
      <c r="B1716" s="97">
        <v>103270</v>
      </c>
      <c r="C1716" t="s">
        <v>105</v>
      </c>
      <c r="D1716" t="s">
        <v>439</v>
      </c>
      <c r="E1716" t="s">
        <v>40</v>
      </c>
      <c r="F1716" t="s">
        <v>573</v>
      </c>
      <c r="G1716" s="50" t="s">
        <v>574</v>
      </c>
      <c r="H1716" s="50">
        <v>2</v>
      </c>
      <c r="I1716" s="100">
        <v>6.7391919697301583</v>
      </c>
      <c r="J1716" s="52">
        <v>3834.68</v>
      </c>
      <c r="K1716" s="67">
        <f t="shared" si="108"/>
        <v>2668769.91429481</v>
      </c>
      <c r="L1716" s="95">
        <f>+VLOOKUP(E1716,MARGEN!A:B,2,FALSE)</f>
        <v>0.1</v>
      </c>
      <c r="M1716" s="112">
        <f t="shared" si="105"/>
        <v>266876.99142948102</v>
      </c>
      <c r="N1716" s="113">
        <f t="shared" si="106"/>
        <v>10675.07965717924</v>
      </c>
      <c r="O1716" s="113">
        <f t="shared" si="107"/>
        <v>2391217.8432081495</v>
      </c>
    </row>
    <row r="1717" spans="1:15" x14ac:dyDescent="0.25">
      <c r="A1717" s="13">
        <v>44464</v>
      </c>
      <c r="B1717" s="97">
        <v>103414</v>
      </c>
      <c r="C1717" t="s">
        <v>105</v>
      </c>
      <c r="D1717" t="s">
        <v>439</v>
      </c>
      <c r="E1717" t="s">
        <v>40</v>
      </c>
      <c r="F1717" t="s">
        <v>573</v>
      </c>
      <c r="G1717" s="50" t="s">
        <v>574</v>
      </c>
      <c r="H1717" s="50">
        <v>2</v>
      </c>
      <c r="I1717" s="100">
        <v>6.7391919697301583</v>
      </c>
      <c r="J1717" s="52">
        <v>3834.68</v>
      </c>
      <c r="K1717" s="67">
        <f t="shared" si="108"/>
        <v>2672491.2551262076</v>
      </c>
      <c r="L1717" s="95">
        <f>+VLOOKUP(E1717,MARGEN!A:B,2,FALSE)</f>
        <v>0.1</v>
      </c>
      <c r="M1717" s="112">
        <f t="shared" si="105"/>
        <v>267249.12551262078</v>
      </c>
      <c r="N1717" s="113">
        <f t="shared" si="106"/>
        <v>10689.965020504831</v>
      </c>
      <c r="O1717" s="113">
        <f t="shared" si="107"/>
        <v>2394552.1645930819</v>
      </c>
    </row>
    <row r="1718" spans="1:15" x14ac:dyDescent="0.25">
      <c r="A1718" s="43">
        <v>44465</v>
      </c>
      <c r="B1718" s="51">
        <v>103414</v>
      </c>
      <c r="C1718" s="66" t="s">
        <v>105</v>
      </c>
      <c r="D1718" s="66" t="s">
        <v>439</v>
      </c>
      <c r="E1718" t="s">
        <v>40</v>
      </c>
      <c r="F1718" s="50" t="s">
        <v>573</v>
      </c>
      <c r="G1718" s="50" t="s">
        <v>574</v>
      </c>
      <c r="H1718" s="50">
        <v>2</v>
      </c>
      <c r="I1718" s="100">
        <v>6.7391919697301583</v>
      </c>
      <c r="J1718" s="52">
        <v>3834.68</v>
      </c>
      <c r="K1718" s="67">
        <f t="shared" si="108"/>
        <v>2672491.2551262076</v>
      </c>
      <c r="L1718" s="95">
        <f>+VLOOKUP(E1718,MARGEN!A:B,2,FALSE)</f>
        <v>0.1</v>
      </c>
      <c r="M1718" s="112">
        <f t="shared" si="105"/>
        <v>267249.12551262078</v>
      </c>
      <c r="N1718" s="113">
        <f t="shared" si="106"/>
        <v>10689.965020504831</v>
      </c>
      <c r="O1718" s="113">
        <f t="shared" si="107"/>
        <v>2394552.1645930819</v>
      </c>
    </row>
    <row r="1719" spans="1:15" x14ac:dyDescent="0.25">
      <c r="A1719" s="43">
        <v>44466</v>
      </c>
      <c r="B1719" s="51">
        <v>103414</v>
      </c>
      <c r="C1719" s="66" t="s">
        <v>105</v>
      </c>
      <c r="D1719" s="66" t="s">
        <v>439</v>
      </c>
      <c r="E1719" t="s">
        <v>40</v>
      </c>
      <c r="F1719" s="50" t="s">
        <v>573</v>
      </c>
      <c r="G1719" s="50" t="s">
        <v>574</v>
      </c>
      <c r="H1719" s="50">
        <v>2</v>
      </c>
      <c r="I1719" s="100">
        <v>6.7391919697301583</v>
      </c>
      <c r="J1719" s="52">
        <v>3834.68</v>
      </c>
      <c r="K1719" s="67">
        <f t="shared" si="108"/>
        <v>2672491.2551262076</v>
      </c>
      <c r="L1719" s="95">
        <f>+VLOOKUP(E1719,MARGEN!A:B,2,FALSE)</f>
        <v>0.1</v>
      </c>
      <c r="M1719" s="112">
        <f t="shared" si="105"/>
        <v>267249.12551262078</v>
      </c>
      <c r="N1719" s="113">
        <f t="shared" si="106"/>
        <v>10689.965020504831</v>
      </c>
      <c r="O1719" s="113">
        <f t="shared" si="107"/>
        <v>2394552.1645930819</v>
      </c>
    </row>
    <row r="1720" spans="1:15" x14ac:dyDescent="0.25">
      <c r="A1720" s="43">
        <v>44467</v>
      </c>
      <c r="B1720" s="51">
        <v>101110</v>
      </c>
      <c r="C1720" s="66" t="s">
        <v>105</v>
      </c>
      <c r="D1720" s="66" t="s">
        <v>439</v>
      </c>
      <c r="E1720" t="s">
        <v>40</v>
      </c>
      <c r="F1720" s="50" t="s">
        <v>573</v>
      </c>
      <c r="G1720" s="50" t="s">
        <v>574</v>
      </c>
      <c r="H1720" s="50">
        <v>2</v>
      </c>
      <c r="I1720" s="100">
        <v>6.7391919697301583</v>
      </c>
      <c r="J1720" s="52">
        <v>3834.68</v>
      </c>
      <c r="K1720" s="67">
        <f t="shared" si="108"/>
        <v>2612949.8018238423</v>
      </c>
      <c r="L1720" s="95">
        <f>+VLOOKUP(E1720,MARGEN!A:B,2,FALSE)</f>
        <v>0.1</v>
      </c>
      <c r="M1720" s="112">
        <f t="shared" si="105"/>
        <v>261294.98018238426</v>
      </c>
      <c r="N1720" s="113">
        <f t="shared" si="106"/>
        <v>10451.799207295369</v>
      </c>
      <c r="O1720" s="113">
        <f t="shared" si="107"/>
        <v>2341203.0224341629</v>
      </c>
    </row>
    <row r="1721" spans="1:15" x14ac:dyDescent="0.25">
      <c r="A1721" s="43">
        <v>44468</v>
      </c>
      <c r="B1721" s="51">
        <v>102022</v>
      </c>
      <c r="C1721" s="66" t="s">
        <v>105</v>
      </c>
      <c r="D1721" s="66" t="s">
        <v>439</v>
      </c>
      <c r="E1721" t="s">
        <v>40</v>
      </c>
      <c r="F1721" s="50" t="s">
        <v>573</v>
      </c>
      <c r="G1721" s="50" t="s">
        <v>574</v>
      </c>
      <c r="H1721" s="50">
        <v>2</v>
      </c>
      <c r="I1721" s="100">
        <v>6.7391919697301583</v>
      </c>
      <c r="J1721" s="52">
        <v>3834.68</v>
      </c>
      <c r="K1721" s="67">
        <f t="shared" si="108"/>
        <v>2636518.2937560286</v>
      </c>
      <c r="L1721" s="95">
        <f>+VLOOKUP(E1721,MARGEN!A:B,2,FALSE)</f>
        <v>0.1</v>
      </c>
      <c r="M1721" s="112">
        <f t="shared" si="105"/>
        <v>263651.82937560289</v>
      </c>
      <c r="N1721" s="113">
        <f t="shared" si="106"/>
        <v>10546.073175024114</v>
      </c>
      <c r="O1721" s="113">
        <f t="shared" si="107"/>
        <v>2362320.3912054016</v>
      </c>
    </row>
    <row r="1722" spans="1:15" x14ac:dyDescent="0.25">
      <c r="A1722" s="43">
        <v>44469</v>
      </c>
      <c r="B1722" s="51">
        <v>103366</v>
      </c>
      <c r="C1722" s="66" t="s">
        <v>105</v>
      </c>
      <c r="D1722" s="66" t="s">
        <v>439</v>
      </c>
      <c r="E1722" t="s">
        <v>40</v>
      </c>
      <c r="F1722" s="50" t="s">
        <v>573</v>
      </c>
      <c r="G1722" s="50" t="s">
        <v>574</v>
      </c>
      <c r="H1722" s="50">
        <v>2</v>
      </c>
      <c r="I1722" s="100">
        <v>6.7391919697301583</v>
      </c>
      <c r="J1722" s="52">
        <v>3834.68</v>
      </c>
      <c r="K1722" s="67">
        <f t="shared" si="108"/>
        <v>2671250.8081824081</v>
      </c>
      <c r="L1722" s="95">
        <f>+VLOOKUP(E1722,MARGEN!A:B,2,FALSE)</f>
        <v>0.1</v>
      </c>
      <c r="M1722" s="112">
        <f t="shared" si="105"/>
        <v>267125.08081824082</v>
      </c>
      <c r="N1722" s="113">
        <f t="shared" si="106"/>
        <v>10685.003232729632</v>
      </c>
      <c r="O1722" s="113">
        <f t="shared" si="107"/>
        <v>2393440.7241314375</v>
      </c>
    </row>
    <row r="1723" spans="1:15" x14ac:dyDescent="0.25">
      <c r="A1723" s="13">
        <v>44446</v>
      </c>
      <c r="B1723" s="97">
        <v>24500</v>
      </c>
      <c r="C1723" t="s">
        <v>104</v>
      </c>
      <c r="D1723" t="s">
        <v>364</v>
      </c>
      <c r="E1723" t="s">
        <v>50</v>
      </c>
      <c r="F1723" t="s">
        <v>558</v>
      </c>
      <c r="G1723" s="50" t="s">
        <v>559</v>
      </c>
      <c r="H1723" s="50">
        <v>2</v>
      </c>
      <c r="I1723" s="100">
        <v>6.7391919697301583</v>
      </c>
      <c r="J1723" s="52">
        <v>3834.68</v>
      </c>
      <c r="K1723" s="67">
        <f t="shared" si="108"/>
        <v>633144.79423087859</v>
      </c>
      <c r="L1723" s="95">
        <f>+VLOOKUP(E1723,MARGEN!A:B,2,FALSE)</f>
        <v>0.1</v>
      </c>
      <c r="M1723" s="112">
        <f t="shared" si="105"/>
        <v>63314.479423087862</v>
      </c>
      <c r="N1723" s="113">
        <f t="shared" si="106"/>
        <v>2532.5791769235143</v>
      </c>
      <c r="O1723" s="113">
        <f t="shared" si="107"/>
        <v>567297.73563086719</v>
      </c>
    </row>
    <row r="1724" spans="1:15" x14ac:dyDescent="0.25">
      <c r="A1724" s="13">
        <v>44447</v>
      </c>
      <c r="B1724" s="51">
        <v>24500</v>
      </c>
      <c r="C1724" s="66" t="s">
        <v>104</v>
      </c>
      <c r="D1724" s="66" t="s">
        <v>364</v>
      </c>
      <c r="E1724" t="s">
        <v>50</v>
      </c>
      <c r="F1724" s="50" t="s">
        <v>558</v>
      </c>
      <c r="G1724" s="50" t="s">
        <v>559</v>
      </c>
      <c r="H1724" s="50">
        <v>2</v>
      </c>
      <c r="I1724" s="100">
        <v>6.7391919697301583</v>
      </c>
      <c r="J1724" s="52">
        <v>3834.68</v>
      </c>
      <c r="K1724" s="67">
        <f t="shared" si="108"/>
        <v>633144.79423087859</v>
      </c>
      <c r="L1724" s="95">
        <f>+VLOOKUP(E1724,MARGEN!A:B,2,FALSE)</f>
        <v>0.1</v>
      </c>
      <c r="M1724" s="112">
        <f t="shared" si="105"/>
        <v>63314.479423087862</v>
      </c>
      <c r="N1724" s="113">
        <f t="shared" si="106"/>
        <v>2532.5791769235143</v>
      </c>
      <c r="O1724" s="113">
        <f t="shared" si="107"/>
        <v>567297.73563086719</v>
      </c>
    </row>
    <row r="1725" spans="1:15" x14ac:dyDescent="0.25">
      <c r="A1725" s="43">
        <v>44448</v>
      </c>
      <c r="B1725" s="97">
        <v>24500</v>
      </c>
      <c r="C1725" t="s">
        <v>104</v>
      </c>
      <c r="D1725" s="94" t="s">
        <v>364</v>
      </c>
      <c r="E1725" t="s">
        <v>50</v>
      </c>
      <c r="F1725" t="s">
        <v>566</v>
      </c>
      <c r="G1725" s="50" t="s">
        <v>559</v>
      </c>
      <c r="H1725" s="50">
        <v>2</v>
      </c>
      <c r="I1725" s="100">
        <v>6.7391919697301583</v>
      </c>
      <c r="J1725" s="52">
        <v>3834.68</v>
      </c>
      <c r="K1725" s="67">
        <f t="shared" si="108"/>
        <v>633144.79423087859</v>
      </c>
      <c r="L1725" s="95">
        <f>+VLOOKUP(E1725,MARGEN!A:B,2,FALSE)</f>
        <v>0.1</v>
      </c>
      <c r="M1725" s="112">
        <f t="shared" si="105"/>
        <v>63314.479423087862</v>
      </c>
      <c r="N1725" s="113">
        <f t="shared" si="106"/>
        <v>2532.5791769235143</v>
      </c>
      <c r="O1725" s="113">
        <f t="shared" si="107"/>
        <v>567297.73563086719</v>
      </c>
    </row>
    <row r="1726" spans="1:15" x14ac:dyDescent="0.25">
      <c r="A1726" s="43">
        <v>44449</v>
      </c>
      <c r="B1726" s="97">
        <v>24498</v>
      </c>
      <c r="C1726" t="s">
        <v>104</v>
      </c>
      <c r="D1726" s="94" t="s">
        <v>364</v>
      </c>
      <c r="E1726" t="s">
        <v>50</v>
      </c>
      <c r="F1726" t="s">
        <v>562</v>
      </c>
      <c r="G1726" s="50" t="s">
        <v>559</v>
      </c>
      <c r="H1726" s="50">
        <v>2</v>
      </c>
      <c r="I1726" s="100">
        <v>6.7391919697301583</v>
      </c>
      <c r="J1726" s="52">
        <v>3834.68</v>
      </c>
      <c r="K1726" s="67">
        <f t="shared" si="108"/>
        <v>633093.10894155374</v>
      </c>
      <c r="L1726" s="95">
        <f>+VLOOKUP(E1726,MARGEN!A:B,2,FALSE)</f>
        <v>0.1</v>
      </c>
      <c r="M1726" s="112">
        <f t="shared" si="105"/>
        <v>63309.31089415538</v>
      </c>
      <c r="N1726" s="113">
        <f t="shared" si="106"/>
        <v>2532.3724357662149</v>
      </c>
      <c r="O1726" s="113">
        <f t="shared" si="107"/>
        <v>567251.42561163206</v>
      </c>
    </row>
    <row r="1727" spans="1:15" x14ac:dyDescent="0.25">
      <c r="A1727" s="43">
        <v>44450</v>
      </c>
      <c r="B1727" s="97">
        <v>24500</v>
      </c>
      <c r="C1727" t="s">
        <v>104</v>
      </c>
      <c r="D1727" s="94" t="s">
        <v>364</v>
      </c>
      <c r="E1727" t="s">
        <v>50</v>
      </c>
      <c r="F1727" t="s">
        <v>566</v>
      </c>
      <c r="G1727" s="50" t="s">
        <v>559</v>
      </c>
      <c r="H1727" s="50">
        <v>2</v>
      </c>
      <c r="I1727" s="100">
        <v>6.7391919697301583</v>
      </c>
      <c r="J1727" s="52">
        <v>3834.68</v>
      </c>
      <c r="K1727" s="67">
        <f t="shared" si="108"/>
        <v>633144.79423087859</v>
      </c>
      <c r="L1727" s="95">
        <f>+VLOOKUP(E1727,MARGEN!A:B,2,FALSE)</f>
        <v>0.1</v>
      </c>
      <c r="M1727" s="112">
        <f t="shared" si="105"/>
        <v>63314.479423087862</v>
      </c>
      <c r="N1727" s="113">
        <f t="shared" si="106"/>
        <v>2532.5791769235143</v>
      </c>
      <c r="O1727" s="113">
        <f t="shared" si="107"/>
        <v>567297.73563086719</v>
      </c>
    </row>
    <row r="1728" spans="1:15" x14ac:dyDescent="0.25">
      <c r="A1728" s="43">
        <v>44454</v>
      </c>
      <c r="B1728" s="97">
        <v>24498</v>
      </c>
      <c r="C1728" t="s">
        <v>104</v>
      </c>
      <c r="D1728" s="94" t="s">
        <v>364</v>
      </c>
      <c r="E1728" t="s">
        <v>50</v>
      </c>
      <c r="F1728" t="s">
        <v>562</v>
      </c>
      <c r="G1728" s="50" t="s">
        <v>559</v>
      </c>
      <c r="H1728" s="50">
        <v>2</v>
      </c>
      <c r="I1728" s="100">
        <v>6.7391919697301583</v>
      </c>
      <c r="J1728" s="52">
        <v>3834.68</v>
      </c>
      <c r="K1728" s="67">
        <f t="shared" si="108"/>
        <v>633093.10894155374</v>
      </c>
      <c r="L1728" s="95">
        <f>+VLOOKUP(E1728,MARGEN!A:B,2,FALSE)</f>
        <v>0.1</v>
      </c>
      <c r="M1728" s="112">
        <f t="shared" si="105"/>
        <v>63309.31089415538</v>
      </c>
      <c r="N1728" s="113">
        <f t="shared" si="106"/>
        <v>2532.3724357662149</v>
      </c>
      <c r="O1728" s="113">
        <f t="shared" si="107"/>
        <v>567251.42561163206</v>
      </c>
    </row>
    <row r="1729" spans="1:15" x14ac:dyDescent="0.25">
      <c r="A1729" s="43">
        <v>44455</v>
      </c>
      <c r="B1729" s="97">
        <v>24499</v>
      </c>
      <c r="C1729" t="s">
        <v>104</v>
      </c>
      <c r="D1729" s="94" t="s">
        <v>364</v>
      </c>
      <c r="E1729" t="s">
        <v>50</v>
      </c>
      <c r="F1729" t="s">
        <v>551</v>
      </c>
      <c r="G1729" s="50" t="s">
        <v>205</v>
      </c>
      <c r="H1729" s="50">
        <v>2</v>
      </c>
      <c r="I1729" s="100">
        <v>6.7391919697301583</v>
      </c>
      <c r="J1729" s="52">
        <v>3834.68</v>
      </c>
      <c r="K1729" s="67">
        <f t="shared" si="108"/>
        <v>633118.95158621611</v>
      </c>
      <c r="L1729" s="95">
        <f>+VLOOKUP(E1729,MARGEN!A:B,2,FALSE)</f>
        <v>0.1</v>
      </c>
      <c r="M1729" s="112">
        <f t="shared" si="105"/>
        <v>63311.895158621614</v>
      </c>
      <c r="N1729" s="113">
        <f t="shared" si="106"/>
        <v>2532.4758063448644</v>
      </c>
      <c r="O1729" s="113">
        <f t="shared" si="107"/>
        <v>567274.58062124962</v>
      </c>
    </row>
    <row r="1730" spans="1:15" x14ac:dyDescent="0.25">
      <c r="A1730" s="43">
        <v>44456</v>
      </c>
      <c r="B1730" s="97">
        <v>24499</v>
      </c>
      <c r="C1730" t="s">
        <v>104</v>
      </c>
      <c r="D1730" s="94" t="s">
        <v>364</v>
      </c>
      <c r="E1730" t="s">
        <v>50</v>
      </c>
      <c r="F1730" t="s">
        <v>551</v>
      </c>
      <c r="G1730" s="50" t="s">
        <v>205</v>
      </c>
      <c r="H1730" s="50">
        <v>2</v>
      </c>
      <c r="I1730" s="100">
        <v>6.7391919697301583</v>
      </c>
      <c r="J1730" s="52">
        <v>3834.68</v>
      </c>
      <c r="K1730" s="67">
        <f t="shared" si="108"/>
        <v>633118.95158621611</v>
      </c>
      <c r="L1730" s="95">
        <f>+VLOOKUP(E1730,MARGEN!A:B,2,FALSE)</f>
        <v>0.1</v>
      </c>
      <c r="M1730" s="112">
        <f t="shared" si="105"/>
        <v>63311.895158621614</v>
      </c>
      <c r="N1730" s="113">
        <f t="shared" si="106"/>
        <v>2532.4758063448644</v>
      </c>
      <c r="O1730" s="113">
        <f t="shared" si="107"/>
        <v>567274.58062124962</v>
      </c>
    </row>
    <row r="1731" spans="1:15" x14ac:dyDescent="0.25">
      <c r="A1731" s="43">
        <v>44457</v>
      </c>
      <c r="B1731" s="97">
        <v>24499</v>
      </c>
      <c r="C1731" t="s">
        <v>104</v>
      </c>
      <c r="D1731" s="94" t="s">
        <v>364</v>
      </c>
      <c r="E1731" t="s">
        <v>50</v>
      </c>
      <c r="F1731" t="s">
        <v>551</v>
      </c>
      <c r="G1731" s="50" t="s">
        <v>205</v>
      </c>
      <c r="H1731" s="50">
        <v>2</v>
      </c>
      <c r="I1731" s="100">
        <v>6.7391919697301583</v>
      </c>
      <c r="J1731" s="52">
        <v>3834.68</v>
      </c>
      <c r="K1731" s="67">
        <f t="shared" si="108"/>
        <v>633118.95158621611</v>
      </c>
      <c r="L1731" s="95">
        <f>+VLOOKUP(E1731,MARGEN!A:B,2,FALSE)</f>
        <v>0.1</v>
      </c>
      <c r="M1731" s="112">
        <f t="shared" ref="M1731:M1794" si="109">+K1731*L1731</f>
        <v>63311.895158621614</v>
      </c>
      <c r="N1731" s="113">
        <f t="shared" ref="N1731:N1794" si="110">+K1731*4/1000</f>
        <v>2532.4758063448644</v>
      </c>
      <c r="O1731" s="113">
        <f t="shared" ref="O1731:O1794" si="111">+K1731-M1731-N1731</f>
        <v>567274.58062124962</v>
      </c>
    </row>
    <row r="1732" spans="1:15" x14ac:dyDescent="0.25">
      <c r="A1732" s="43">
        <v>44458</v>
      </c>
      <c r="B1732" s="97">
        <v>24499</v>
      </c>
      <c r="C1732" t="s">
        <v>104</v>
      </c>
      <c r="D1732" s="94" t="s">
        <v>364</v>
      </c>
      <c r="E1732" t="s">
        <v>50</v>
      </c>
      <c r="F1732" t="s">
        <v>551</v>
      </c>
      <c r="G1732" s="50" t="s">
        <v>205</v>
      </c>
      <c r="H1732" s="50">
        <v>2</v>
      </c>
      <c r="I1732" s="100">
        <v>6.7391919697301583</v>
      </c>
      <c r="J1732" s="52">
        <v>3834.68</v>
      </c>
      <c r="K1732" s="67">
        <f t="shared" si="108"/>
        <v>633118.95158621611</v>
      </c>
      <c r="L1732" s="95">
        <f>+VLOOKUP(E1732,MARGEN!A:B,2,FALSE)</f>
        <v>0.1</v>
      </c>
      <c r="M1732" s="112">
        <f t="shared" si="109"/>
        <v>63311.895158621614</v>
      </c>
      <c r="N1732" s="113">
        <f t="shared" si="110"/>
        <v>2532.4758063448644</v>
      </c>
      <c r="O1732" s="113">
        <f t="shared" si="111"/>
        <v>567274.58062124962</v>
      </c>
    </row>
    <row r="1733" spans="1:15" x14ac:dyDescent="0.25">
      <c r="A1733" s="43">
        <v>44459</v>
      </c>
      <c r="B1733" s="97">
        <v>24503</v>
      </c>
      <c r="C1733" t="s">
        <v>104</v>
      </c>
      <c r="D1733" s="94" t="s">
        <v>364</v>
      </c>
      <c r="E1733" t="s">
        <v>50</v>
      </c>
      <c r="F1733" t="s">
        <v>573</v>
      </c>
      <c r="G1733" s="50" t="s">
        <v>574</v>
      </c>
      <c r="H1733" s="50">
        <v>2</v>
      </c>
      <c r="I1733" s="100">
        <v>6.7391919697301583</v>
      </c>
      <c r="J1733" s="52">
        <v>3834.68</v>
      </c>
      <c r="K1733" s="67">
        <f t="shared" si="108"/>
        <v>633222.32216486614</v>
      </c>
      <c r="L1733" s="95">
        <f>+VLOOKUP(E1733,MARGEN!A:B,2,FALSE)</f>
        <v>0.1</v>
      </c>
      <c r="M1733" s="112">
        <f t="shared" si="109"/>
        <v>63322.23221648662</v>
      </c>
      <c r="N1733" s="113">
        <f t="shared" si="110"/>
        <v>2532.8892886594645</v>
      </c>
      <c r="O1733" s="113">
        <f t="shared" si="111"/>
        <v>567367.20065972011</v>
      </c>
    </row>
    <row r="1734" spans="1:15" x14ac:dyDescent="0.25">
      <c r="A1734" s="43">
        <v>44460</v>
      </c>
      <c r="B1734" s="97">
        <v>24503</v>
      </c>
      <c r="C1734" t="s">
        <v>104</v>
      </c>
      <c r="D1734" t="s">
        <v>364</v>
      </c>
      <c r="E1734" t="s">
        <v>50</v>
      </c>
      <c r="F1734" t="s">
        <v>573</v>
      </c>
      <c r="G1734" s="50" t="s">
        <v>574</v>
      </c>
      <c r="H1734" s="50">
        <v>2</v>
      </c>
      <c r="I1734" s="100">
        <v>6.7391919697301583</v>
      </c>
      <c r="J1734" s="52">
        <v>3834.68</v>
      </c>
      <c r="K1734" s="67">
        <f t="shared" si="108"/>
        <v>633222.32216486614</v>
      </c>
      <c r="L1734" s="95">
        <f>+VLOOKUP(E1734,MARGEN!A:B,2,FALSE)</f>
        <v>0.1</v>
      </c>
      <c r="M1734" s="112">
        <f t="shared" si="109"/>
        <v>63322.23221648662</v>
      </c>
      <c r="N1734" s="113">
        <f t="shared" si="110"/>
        <v>2532.8892886594645</v>
      </c>
      <c r="O1734" s="113">
        <f t="shared" si="111"/>
        <v>567367.20065972011</v>
      </c>
    </row>
    <row r="1735" spans="1:15" x14ac:dyDescent="0.25">
      <c r="A1735" s="43">
        <v>44461</v>
      </c>
      <c r="B1735" s="97">
        <v>24503</v>
      </c>
      <c r="C1735" t="s">
        <v>104</v>
      </c>
      <c r="D1735" t="s">
        <v>364</v>
      </c>
      <c r="E1735" t="s">
        <v>50</v>
      </c>
      <c r="F1735" t="s">
        <v>573</v>
      </c>
      <c r="G1735" s="50" t="s">
        <v>574</v>
      </c>
      <c r="H1735" s="50">
        <v>2</v>
      </c>
      <c r="I1735" s="100">
        <v>6.7391919697301583</v>
      </c>
      <c r="J1735" s="52">
        <v>3834.68</v>
      </c>
      <c r="K1735" s="67">
        <f t="shared" si="108"/>
        <v>633222.32216486614</v>
      </c>
      <c r="L1735" s="95">
        <f>+VLOOKUP(E1735,MARGEN!A:B,2,FALSE)</f>
        <v>0.1</v>
      </c>
      <c r="M1735" s="112">
        <f t="shared" si="109"/>
        <v>63322.23221648662</v>
      </c>
      <c r="N1735" s="113">
        <f t="shared" si="110"/>
        <v>2532.8892886594645</v>
      </c>
      <c r="O1735" s="113">
        <f t="shared" si="111"/>
        <v>567367.20065972011</v>
      </c>
    </row>
    <row r="1736" spans="1:15" x14ac:dyDescent="0.25">
      <c r="A1736" s="43">
        <v>44462</v>
      </c>
      <c r="B1736" s="97">
        <v>24503</v>
      </c>
      <c r="C1736" t="s">
        <v>104</v>
      </c>
      <c r="D1736" t="s">
        <v>364</v>
      </c>
      <c r="E1736" t="s">
        <v>50</v>
      </c>
      <c r="F1736" t="s">
        <v>573</v>
      </c>
      <c r="G1736" s="50" t="s">
        <v>574</v>
      </c>
      <c r="H1736" s="50">
        <v>2</v>
      </c>
      <c r="I1736" s="100">
        <v>6.7391919697301583</v>
      </c>
      <c r="J1736" s="52">
        <v>3834.68</v>
      </c>
      <c r="K1736" s="67">
        <f t="shared" si="108"/>
        <v>633222.32216486614</v>
      </c>
      <c r="L1736" s="95">
        <f>+VLOOKUP(E1736,MARGEN!A:B,2,FALSE)</f>
        <v>0.1</v>
      </c>
      <c r="M1736" s="112">
        <f t="shared" si="109"/>
        <v>63322.23221648662</v>
      </c>
      <c r="N1736" s="113">
        <f t="shared" si="110"/>
        <v>2532.8892886594645</v>
      </c>
      <c r="O1736" s="113">
        <f t="shared" si="111"/>
        <v>567367.20065972011</v>
      </c>
    </row>
    <row r="1737" spans="1:15" x14ac:dyDescent="0.25">
      <c r="A1737" s="43">
        <v>44463</v>
      </c>
      <c r="B1737" s="97">
        <v>24503</v>
      </c>
      <c r="C1737" t="s">
        <v>104</v>
      </c>
      <c r="D1737" t="s">
        <v>364</v>
      </c>
      <c r="E1737" t="s">
        <v>50</v>
      </c>
      <c r="F1737" t="s">
        <v>573</v>
      </c>
      <c r="G1737" s="50" t="s">
        <v>574</v>
      </c>
      <c r="H1737" s="50">
        <v>2</v>
      </c>
      <c r="I1737" s="100">
        <v>6.7391919697301583</v>
      </c>
      <c r="J1737" s="52">
        <v>3834.68</v>
      </c>
      <c r="K1737" s="67">
        <f t="shared" ref="K1737:K1800" si="112">+B1737*I1737*J1737/1000</f>
        <v>633222.32216486614</v>
      </c>
      <c r="L1737" s="95">
        <f>+VLOOKUP(E1737,MARGEN!A:B,2,FALSE)</f>
        <v>0.1</v>
      </c>
      <c r="M1737" s="112">
        <f t="shared" si="109"/>
        <v>63322.23221648662</v>
      </c>
      <c r="N1737" s="113">
        <f t="shared" si="110"/>
        <v>2532.8892886594645</v>
      </c>
      <c r="O1737" s="113">
        <f t="shared" si="111"/>
        <v>567367.20065972011</v>
      </c>
    </row>
    <row r="1738" spans="1:15" x14ac:dyDescent="0.25">
      <c r="A1738" s="43">
        <v>44464</v>
      </c>
      <c r="B1738" s="97">
        <v>24503</v>
      </c>
      <c r="C1738" t="s">
        <v>104</v>
      </c>
      <c r="D1738" t="s">
        <v>364</v>
      </c>
      <c r="E1738" t="s">
        <v>50</v>
      </c>
      <c r="F1738" t="s">
        <v>573</v>
      </c>
      <c r="G1738" s="50" t="s">
        <v>574</v>
      </c>
      <c r="H1738" s="50">
        <v>2</v>
      </c>
      <c r="I1738" s="100">
        <v>6.7391919697301583</v>
      </c>
      <c r="J1738" s="52">
        <v>3834.68</v>
      </c>
      <c r="K1738" s="67">
        <f t="shared" si="112"/>
        <v>633222.32216486614</v>
      </c>
      <c r="L1738" s="95">
        <f>+VLOOKUP(E1738,MARGEN!A:B,2,FALSE)</f>
        <v>0.1</v>
      </c>
      <c r="M1738" s="112">
        <f t="shared" si="109"/>
        <v>63322.23221648662</v>
      </c>
      <c r="N1738" s="113">
        <f t="shared" si="110"/>
        <v>2532.8892886594645</v>
      </c>
      <c r="O1738" s="113">
        <f t="shared" si="111"/>
        <v>567367.20065972011</v>
      </c>
    </row>
    <row r="1739" spans="1:15" x14ac:dyDescent="0.25">
      <c r="A1739" s="43">
        <v>44465</v>
      </c>
      <c r="B1739" s="51">
        <v>24503</v>
      </c>
      <c r="C1739" s="66" t="s">
        <v>104</v>
      </c>
      <c r="D1739" s="66" t="s">
        <v>364</v>
      </c>
      <c r="E1739" t="s">
        <v>50</v>
      </c>
      <c r="F1739" s="50" t="s">
        <v>573</v>
      </c>
      <c r="G1739" s="50" t="s">
        <v>574</v>
      </c>
      <c r="H1739" s="50">
        <v>2</v>
      </c>
      <c r="I1739" s="100">
        <v>6.7391919697301583</v>
      </c>
      <c r="J1739" s="52">
        <v>3834.68</v>
      </c>
      <c r="K1739" s="67">
        <f t="shared" si="112"/>
        <v>633222.32216486614</v>
      </c>
      <c r="L1739" s="95">
        <f>+VLOOKUP(E1739,MARGEN!A:B,2,FALSE)</f>
        <v>0.1</v>
      </c>
      <c r="M1739" s="112">
        <f t="shared" si="109"/>
        <v>63322.23221648662</v>
      </c>
      <c r="N1739" s="113">
        <f t="shared" si="110"/>
        <v>2532.8892886594645</v>
      </c>
      <c r="O1739" s="113">
        <f t="shared" si="111"/>
        <v>567367.20065972011</v>
      </c>
    </row>
    <row r="1740" spans="1:15" x14ac:dyDescent="0.25">
      <c r="A1740" s="43">
        <v>44466</v>
      </c>
      <c r="B1740" s="51">
        <v>24503</v>
      </c>
      <c r="C1740" s="66" t="s">
        <v>104</v>
      </c>
      <c r="D1740" s="66" t="s">
        <v>364</v>
      </c>
      <c r="E1740" t="s">
        <v>50</v>
      </c>
      <c r="F1740" s="50" t="s">
        <v>573</v>
      </c>
      <c r="G1740" s="50" t="s">
        <v>574</v>
      </c>
      <c r="H1740" s="50">
        <v>2</v>
      </c>
      <c r="I1740" s="100">
        <v>6.7391919697301583</v>
      </c>
      <c r="J1740" s="52">
        <v>3834.68</v>
      </c>
      <c r="K1740" s="67">
        <f t="shared" si="112"/>
        <v>633222.32216486614</v>
      </c>
      <c r="L1740" s="95">
        <f>+VLOOKUP(E1740,MARGEN!A:B,2,FALSE)</f>
        <v>0.1</v>
      </c>
      <c r="M1740" s="112">
        <f t="shared" si="109"/>
        <v>63322.23221648662</v>
      </c>
      <c r="N1740" s="113">
        <f t="shared" si="110"/>
        <v>2532.8892886594645</v>
      </c>
      <c r="O1740" s="113">
        <f t="shared" si="111"/>
        <v>567367.20065972011</v>
      </c>
    </row>
    <row r="1741" spans="1:15" x14ac:dyDescent="0.25">
      <c r="A1741" s="43">
        <v>44467</v>
      </c>
      <c r="B1741" s="51">
        <v>24503</v>
      </c>
      <c r="C1741" s="66" t="s">
        <v>104</v>
      </c>
      <c r="D1741" s="66" t="s">
        <v>364</v>
      </c>
      <c r="E1741" t="s">
        <v>50</v>
      </c>
      <c r="F1741" s="50" t="s">
        <v>573</v>
      </c>
      <c r="G1741" s="50" t="s">
        <v>574</v>
      </c>
      <c r="H1741" s="50">
        <v>2</v>
      </c>
      <c r="I1741" s="100">
        <v>6.7391919697301583</v>
      </c>
      <c r="J1741" s="52">
        <v>3834.68</v>
      </c>
      <c r="K1741" s="67">
        <f t="shared" si="112"/>
        <v>633222.32216486614</v>
      </c>
      <c r="L1741" s="95">
        <f>+VLOOKUP(E1741,MARGEN!A:B,2,FALSE)</f>
        <v>0.1</v>
      </c>
      <c r="M1741" s="112">
        <f t="shared" si="109"/>
        <v>63322.23221648662</v>
      </c>
      <c r="N1741" s="113">
        <f t="shared" si="110"/>
        <v>2532.8892886594645</v>
      </c>
      <c r="O1741" s="113">
        <f t="shared" si="111"/>
        <v>567367.20065972011</v>
      </c>
    </row>
    <row r="1742" spans="1:15" x14ac:dyDescent="0.25">
      <c r="A1742" s="43">
        <v>44468</v>
      </c>
      <c r="B1742" s="51">
        <v>24503</v>
      </c>
      <c r="C1742" s="66" t="s">
        <v>104</v>
      </c>
      <c r="D1742" s="66" t="s">
        <v>364</v>
      </c>
      <c r="E1742" t="s">
        <v>50</v>
      </c>
      <c r="F1742" s="50" t="s">
        <v>573</v>
      </c>
      <c r="G1742" s="50" t="s">
        <v>574</v>
      </c>
      <c r="H1742" s="50">
        <v>2</v>
      </c>
      <c r="I1742" s="100">
        <v>6.7391919697301583</v>
      </c>
      <c r="J1742" s="52">
        <v>3834.68</v>
      </c>
      <c r="K1742" s="67">
        <f t="shared" si="112"/>
        <v>633222.32216486614</v>
      </c>
      <c r="L1742" s="95">
        <f>+VLOOKUP(E1742,MARGEN!A:B,2,FALSE)</f>
        <v>0.1</v>
      </c>
      <c r="M1742" s="112">
        <f t="shared" si="109"/>
        <v>63322.23221648662</v>
      </c>
      <c r="N1742" s="113">
        <f t="shared" si="110"/>
        <v>2532.8892886594645</v>
      </c>
      <c r="O1742" s="113">
        <f t="shared" si="111"/>
        <v>567367.20065972011</v>
      </c>
    </row>
    <row r="1743" spans="1:15" x14ac:dyDescent="0.25">
      <c r="A1743" s="43">
        <v>44469</v>
      </c>
      <c r="B1743" s="51">
        <v>24503</v>
      </c>
      <c r="C1743" s="66" t="s">
        <v>104</v>
      </c>
      <c r="D1743" s="66" t="s">
        <v>364</v>
      </c>
      <c r="E1743" t="s">
        <v>50</v>
      </c>
      <c r="F1743" s="50" t="s">
        <v>573</v>
      </c>
      <c r="G1743" s="50" t="s">
        <v>574</v>
      </c>
      <c r="H1743" s="50">
        <v>2</v>
      </c>
      <c r="I1743" s="100">
        <v>6.7391919697301583</v>
      </c>
      <c r="J1743" s="52">
        <v>3834.68</v>
      </c>
      <c r="K1743" s="67">
        <f t="shared" si="112"/>
        <v>633222.32216486614</v>
      </c>
      <c r="L1743" s="95">
        <f>+VLOOKUP(E1743,MARGEN!A:B,2,FALSE)</f>
        <v>0.1</v>
      </c>
      <c r="M1743" s="112">
        <f t="shared" si="109"/>
        <v>63322.23221648662</v>
      </c>
      <c r="N1743" s="113">
        <f t="shared" si="110"/>
        <v>2532.8892886594645</v>
      </c>
      <c r="O1743" s="113">
        <f t="shared" si="111"/>
        <v>567367.20065972011</v>
      </c>
    </row>
    <row r="1744" spans="1:15" x14ac:dyDescent="0.25">
      <c r="A1744" s="13">
        <v>44447</v>
      </c>
      <c r="B1744" s="97">
        <v>11734</v>
      </c>
      <c r="C1744" t="s">
        <v>98</v>
      </c>
      <c r="D1744" t="s">
        <v>476</v>
      </c>
      <c r="E1744" t="s">
        <v>49</v>
      </c>
      <c r="F1744" t="s">
        <v>558</v>
      </c>
      <c r="G1744" s="50" t="s">
        <v>559</v>
      </c>
      <c r="H1744" s="50">
        <v>2</v>
      </c>
      <c r="I1744" s="100">
        <v>6.7391919697301583</v>
      </c>
      <c r="J1744" s="52">
        <v>3834.68</v>
      </c>
      <c r="K1744" s="67">
        <f t="shared" si="112"/>
        <v>303237.59246959712</v>
      </c>
      <c r="L1744" s="95">
        <f>+VLOOKUP(E1744,MARGEN!A:B,2,FALSE)</f>
        <v>0.1</v>
      </c>
      <c r="M1744" s="112">
        <f t="shared" si="109"/>
        <v>30323.759246959715</v>
      </c>
      <c r="N1744" s="113">
        <f t="shared" si="110"/>
        <v>1212.9503698783885</v>
      </c>
      <c r="O1744" s="113">
        <f t="shared" si="111"/>
        <v>271700.88285275904</v>
      </c>
    </row>
    <row r="1745" spans="1:15" x14ac:dyDescent="0.25">
      <c r="A1745" s="13">
        <v>44448</v>
      </c>
      <c r="B1745" s="97">
        <v>11734</v>
      </c>
      <c r="C1745" t="s">
        <v>98</v>
      </c>
      <c r="D1745" s="94" t="s">
        <v>476</v>
      </c>
      <c r="E1745" t="s">
        <v>49</v>
      </c>
      <c r="F1745" t="s">
        <v>558</v>
      </c>
      <c r="G1745" s="50" t="s">
        <v>559</v>
      </c>
      <c r="H1745" s="50">
        <v>2</v>
      </c>
      <c r="I1745" s="100">
        <v>6.7391919697301583</v>
      </c>
      <c r="J1745" s="52">
        <v>3834.68</v>
      </c>
      <c r="K1745" s="67">
        <f t="shared" si="112"/>
        <v>303237.59246959712</v>
      </c>
      <c r="L1745" s="95">
        <f>+VLOOKUP(E1745,MARGEN!A:B,2,FALSE)</f>
        <v>0.1</v>
      </c>
      <c r="M1745" s="112">
        <f t="shared" si="109"/>
        <v>30323.759246959715</v>
      </c>
      <c r="N1745" s="113">
        <f t="shared" si="110"/>
        <v>1212.9503698783885</v>
      </c>
      <c r="O1745" s="113">
        <f t="shared" si="111"/>
        <v>271700.88285275904</v>
      </c>
    </row>
    <row r="1746" spans="1:15" x14ac:dyDescent="0.25">
      <c r="A1746" s="13">
        <v>44449</v>
      </c>
      <c r="B1746" s="97">
        <v>11734</v>
      </c>
      <c r="C1746" t="s">
        <v>98</v>
      </c>
      <c r="D1746" s="94" t="s">
        <v>476</v>
      </c>
      <c r="E1746" t="s">
        <v>49</v>
      </c>
      <c r="F1746" t="s">
        <v>558</v>
      </c>
      <c r="G1746" s="50" t="s">
        <v>559</v>
      </c>
      <c r="H1746" s="50">
        <v>2</v>
      </c>
      <c r="I1746" s="100">
        <v>6.7391919697301583</v>
      </c>
      <c r="J1746" s="52">
        <v>3834.68</v>
      </c>
      <c r="K1746" s="67">
        <f t="shared" si="112"/>
        <v>303237.59246959712</v>
      </c>
      <c r="L1746" s="95">
        <f>+VLOOKUP(E1746,MARGEN!A:B,2,FALSE)</f>
        <v>0.1</v>
      </c>
      <c r="M1746" s="112">
        <f t="shared" si="109"/>
        <v>30323.759246959715</v>
      </c>
      <c r="N1746" s="113">
        <f t="shared" si="110"/>
        <v>1212.9503698783885</v>
      </c>
      <c r="O1746" s="113">
        <f t="shared" si="111"/>
        <v>271700.88285275904</v>
      </c>
    </row>
    <row r="1747" spans="1:15" x14ac:dyDescent="0.25">
      <c r="A1747" s="13">
        <v>44450</v>
      </c>
      <c r="B1747" s="97">
        <v>11734</v>
      </c>
      <c r="C1747" t="s">
        <v>98</v>
      </c>
      <c r="D1747" s="94" t="s">
        <v>476</v>
      </c>
      <c r="E1747" t="s">
        <v>49</v>
      </c>
      <c r="F1747" t="s">
        <v>566</v>
      </c>
      <c r="G1747" s="50" t="s">
        <v>559</v>
      </c>
      <c r="H1747" s="50">
        <v>2</v>
      </c>
      <c r="I1747" s="100">
        <v>6.7391919697301583</v>
      </c>
      <c r="J1747" s="52">
        <v>3834.68</v>
      </c>
      <c r="K1747" s="67">
        <f t="shared" si="112"/>
        <v>303237.59246959712</v>
      </c>
      <c r="L1747" s="95">
        <f>+VLOOKUP(E1747,MARGEN!A:B,2,FALSE)</f>
        <v>0.1</v>
      </c>
      <c r="M1747" s="112">
        <f t="shared" si="109"/>
        <v>30323.759246959715</v>
      </c>
      <c r="N1747" s="113">
        <f t="shared" si="110"/>
        <v>1212.9503698783885</v>
      </c>
      <c r="O1747" s="113">
        <f t="shared" si="111"/>
        <v>271700.88285275904</v>
      </c>
    </row>
    <row r="1748" spans="1:15" x14ac:dyDescent="0.25">
      <c r="A1748" s="13">
        <v>44451</v>
      </c>
      <c r="B1748" s="97">
        <v>11734</v>
      </c>
      <c r="C1748" t="s">
        <v>98</v>
      </c>
      <c r="D1748" s="94" t="s">
        <v>476</v>
      </c>
      <c r="E1748" t="s">
        <v>49</v>
      </c>
      <c r="F1748" t="s">
        <v>566</v>
      </c>
      <c r="G1748" s="50" t="s">
        <v>559</v>
      </c>
      <c r="H1748" s="50">
        <v>2</v>
      </c>
      <c r="I1748" s="100">
        <v>6.7391919697301583</v>
      </c>
      <c r="J1748" s="52">
        <v>3834.68</v>
      </c>
      <c r="K1748" s="67">
        <f t="shared" si="112"/>
        <v>303237.59246959712</v>
      </c>
      <c r="L1748" s="95">
        <f>+VLOOKUP(E1748,MARGEN!A:B,2,FALSE)</f>
        <v>0.1</v>
      </c>
      <c r="M1748" s="112">
        <f t="shared" si="109"/>
        <v>30323.759246959715</v>
      </c>
      <c r="N1748" s="113">
        <f t="shared" si="110"/>
        <v>1212.9503698783885</v>
      </c>
      <c r="O1748" s="113">
        <f t="shared" si="111"/>
        <v>271700.88285275904</v>
      </c>
    </row>
    <row r="1749" spans="1:15" x14ac:dyDescent="0.25">
      <c r="A1749" s="13">
        <v>44452</v>
      </c>
      <c r="B1749" s="51">
        <v>11734</v>
      </c>
      <c r="C1749" s="66" t="s">
        <v>98</v>
      </c>
      <c r="D1749" s="66" t="s">
        <v>476</v>
      </c>
      <c r="E1749" t="s">
        <v>49</v>
      </c>
      <c r="F1749" s="50" t="s">
        <v>558</v>
      </c>
      <c r="G1749" s="50" t="s">
        <v>559</v>
      </c>
      <c r="H1749" s="50">
        <v>2</v>
      </c>
      <c r="I1749" s="100">
        <v>6.7391919697301583</v>
      </c>
      <c r="J1749" s="52">
        <v>3834.68</v>
      </c>
      <c r="K1749" s="67">
        <f t="shared" si="112"/>
        <v>303237.59246959712</v>
      </c>
      <c r="L1749" s="95">
        <f>+VLOOKUP(E1749,MARGEN!A:B,2,FALSE)</f>
        <v>0.1</v>
      </c>
      <c r="M1749" s="112">
        <f t="shared" si="109"/>
        <v>30323.759246959715</v>
      </c>
      <c r="N1749" s="113">
        <f t="shared" si="110"/>
        <v>1212.9503698783885</v>
      </c>
      <c r="O1749" s="113">
        <f t="shared" si="111"/>
        <v>271700.88285275904</v>
      </c>
    </row>
    <row r="1750" spans="1:15" x14ac:dyDescent="0.25">
      <c r="A1750" s="13">
        <v>44453</v>
      </c>
      <c r="B1750" s="97">
        <v>11734</v>
      </c>
      <c r="C1750" t="s">
        <v>98</v>
      </c>
      <c r="D1750" s="94" t="s">
        <v>476</v>
      </c>
      <c r="E1750" t="s">
        <v>49</v>
      </c>
      <c r="F1750" t="s">
        <v>558</v>
      </c>
      <c r="G1750" s="50" t="s">
        <v>559</v>
      </c>
      <c r="H1750" s="50">
        <v>2</v>
      </c>
      <c r="I1750" s="100">
        <v>6.7391919697301583</v>
      </c>
      <c r="J1750" s="52">
        <v>3834.68</v>
      </c>
      <c r="K1750" s="67">
        <f t="shared" si="112"/>
        <v>303237.59246959712</v>
      </c>
      <c r="L1750" s="95">
        <f>+VLOOKUP(E1750,MARGEN!A:B,2,FALSE)</f>
        <v>0.1</v>
      </c>
      <c r="M1750" s="112">
        <f t="shared" si="109"/>
        <v>30323.759246959715</v>
      </c>
      <c r="N1750" s="113">
        <f t="shared" si="110"/>
        <v>1212.9503698783885</v>
      </c>
      <c r="O1750" s="113">
        <f t="shared" si="111"/>
        <v>271700.88285275904</v>
      </c>
    </row>
    <row r="1751" spans="1:15" x14ac:dyDescent="0.25">
      <c r="A1751" s="13">
        <v>44454</v>
      </c>
      <c r="B1751" s="97">
        <v>11734</v>
      </c>
      <c r="C1751" t="s">
        <v>98</v>
      </c>
      <c r="D1751" s="94" t="s">
        <v>476</v>
      </c>
      <c r="E1751" t="s">
        <v>49</v>
      </c>
      <c r="F1751" t="s">
        <v>558</v>
      </c>
      <c r="G1751" s="50" t="s">
        <v>559</v>
      </c>
      <c r="H1751" s="50">
        <v>2</v>
      </c>
      <c r="I1751" s="100">
        <v>6.7391919697301583</v>
      </c>
      <c r="J1751" s="52">
        <v>3834.68</v>
      </c>
      <c r="K1751" s="67">
        <f t="shared" si="112"/>
        <v>303237.59246959712</v>
      </c>
      <c r="L1751" s="95">
        <f>+VLOOKUP(E1751,MARGEN!A:B,2,FALSE)</f>
        <v>0.1</v>
      </c>
      <c r="M1751" s="112">
        <f t="shared" si="109"/>
        <v>30323.759246959715</v>
      </c>
      <c r="N1751" s="113">
        <f t="shared" si="110"/>
        <v>1212.9503698783885</v>
      </c>
      <c r="O1751" s="113">
        <f t="shared" si="111"/>
        <v>271700.88285275904</v>
      </c>
    </row>
    <row r="1752" spans="1:15" x14ac:dyDescent="0.25">
      <c r="A1752" s="13">
        <v>44455</v>
      </c>
      <c r="B1752" s="97">
        <v>11734</v>
      </c>
      <c r="C1752" t="s">
        <v>98</v>
      </c>
      <c r="D1752" s="94" t="s">
        <v>476</v>
      </c>
      <c r="E1752" t="s">
        <v>49</v>
      </c>
      <c r="F1752" t="s">
        <v>558</v>
      </c>
      <c r="G1752" s="50" t="s">
        <v>559</v>
      </c>
      <c r="H1752" s="50">
        <v>2</v>
      </c>
      <c r="I1752" s="100">
        <v>6.7391919697301583</v>
      </c>
      <c r="J1752" s="52">
        <v>3834.68</v>
      </c>
      <c r="K1752" s="67">
        <f t="shared" si="112"/>
        <v>303237.59246959712</v>
      </c>
      <c r="L1752" s="95">
        <f>+VLOOKUP(E1752,MARGEN!A:B,2,FALSE)</f>
        <v>0.1</v>
      </c>
      <c r="M1752" s="112">
        <f t="shared" si="109"/>
        <v>30323.759246959715</v>
      </c>
      <c r="N1752" s="113">
        <f t="shared" si="110"/>
        <v>1212.9503698783885</v>
      </c>
      <c r="O1752" s="113">
        <f t="shared" si="111"/>
        <v>271700.88285275904</v>
      </c>
    </row>
    <row r="1753" spans="1:15" x14ac:dyDescent="0.25">
      <c r="A1753" s="13">
        <v>44456</v>
      </c>
      <c r="B1753" s="97">
        <v>11734</v>
      </c>
      <c r="C1753" t="s">
        <v>98</v>
      </c>
      <c r="D1753" s="94" t="s">
        <v>476</v>
      </c>
      <c r="E1753" t="s">
        <v>49</v>
      </c>
      <c r="F1753" t="s">
        <v>558</v>
      </c>
      <c r="G1753" s="50" t="s">
        <v>559</v>
      </c>
      <c r="H1753" s="50">
        <v>2</v>
      </c>
      <c r="I1753" s="100">
        <v>6.7391919697301583</v>
      </c>
      <c r="J1753" s="52">
        <v>3834.68</v>
      </c>
      <c r="K1753" s="67">
        <f t="shared" si="112"/>
        <v>303237.59246959712</v>
      </c>
      <c r="L1753" s="95">
        <f>+VLOOKUP(E1753,MARGEN!A:B,2,FALSE)</f>
        <v>0.1</v>
      </c>
      <c r="M1753" s="112">
        <f t="shared" si="109"/>
        <v>30323.759246959715</v>
      </c>
      <c r="N1753" s="113">
        <f t="shared" si="110"/>
        <v>1212.9503698783885</v>
      </c>
      <c r="O1753" s="113">
        <f t="shared" si="111"/>
        <v>271700.88285275904</v>
      </c>
    </row>
    <row r="1754" spans="1:15" x14ac:dyDescent="0.25">
      <c r="A1754" s="13">
        <v>44457</v>
      </c>
      <c r="B1754" s="97">
        <v>11734</v>
      </c>
      <c r="C1754" t="s">
        <v>98</v>
      </c>
      <c r="D1754" s="94" t="s">
        <v>476</v>
      </c>
      <c r="E1754" t="s">
        <v>49</v>
      </c>
      <c r="F1754" t="s">
        <v>558</v>
      </c>
      <c r="G1754" s="50" t="s">
        <v>559</v>
      </c>
      <c r="H1754" s="50">
        <v>2</v>
      </c>
      <c r="I1754" s="100">
        <v>6.7391919697301583</v>
      </c>
      <c r="J1754" s="52">
        <v>3834.68</v>
      </c>
      <c r="K1754" s="67">
        <f t="shared" si="112"/>
        <v>303237.59246959712</v>
      </c>
      <c r="L1754" s="95">
        <f>+VLOOKUP(E1754,MARGEN!A:B,2,FALSE)</f>
        <v>0.1</v>
      </c>
      <c r="M1754" s="112">
        <f t="shared" si="109"/>
        <v>30323.759246959715</v>
      </c>
      <c r="N1754" s="113">
        <f t="shared" si="110"/>
        <v>1212.9503698783885</v>
      </c>
      <c r="O1754" s="113">
        <f t="shared" si="111"/>
        <v>271700.88285275904</v>
      </c>
    </row>
    <row r="1755" spans="1:15" x14ac:dyDescent="0.25">
      <c r="A1755" s="13">
        <v>44458</v>
      </c>
      <c r="B1755" s="97">
        <v>11734</v>
      </c>
      <c r="C1755" t="s">
        <v>98</v>
      </c>
      <c r="D1755" s="94" t="s">
        <v>476</v>
      </c>
      <c r="E1755" t="s">
        <v>49</v>
      </c>
      <c r="F1755" t="s">
        <v>566</v>
      </c>
      <c r="G1755" s="50" t="s">
        <v>559</v>
      </c>
      <c r="H1755" s="50">
        <v>2</v>
      </c>
      <c r="I1755" s="100">
        <v>6.7391919697301583</v>
      </c>
      <c r="J1755" s="52">
        <v>3834.68</v>
      </c>
      <c r="K1755" s="67">
        <f t="shared" si="112"/>
        <v>303237.59246959712</v>
      </c>
      <c r="L1755" s="95">
        <f>+VLOOKUP(E1755,MARGEN!A:B,2,FALSE)</f>
        <v>0.1</v>
      </c>
      <c r="M1755" s="112">
        <f t="shared" si="109"/>
        <v>30323.759246959715</v>
      </c>
      <c r="N1755" s="113">
        <f t="shared" si="110"/>
        <v>1212.9503698783885</v>
      </c>
      <c r="O1755" s="113">
        <f t="shared" si="111"/>
        <v>271700.88285275904</v>
      </c>
    </row>
    <row r="1756" spans="1:15" x14ac:dyDescent="0.25">
      <c r="A1756" s="13">
        <v>44459</v>
      </c>
      <c r="B1756" s="97">
        <v>11733</v>
      </c>
      <c r="C1756" t="s">
        <v>98</v>
      </c>
      <c r="D1756" s="94" t="s">
        <v>476</v>
      </c>
      <c r="E1756" t="s">
        <v>49</v>
      </c>
      <c r="F1756" t="s">
        <v>551</v>
      </c>
      <c r="G1756" s="50" t="s">
        <v>205</v>
      </c>
      <c r="H1756" s="50">
        <v>2</v>
      </c>
      <c r="I1756" s="100">
        <v>6.7391919697301583</v>
      </c>
      <c r="J1756" s="52">
        <v>3834.68</v>
      </c>
      <c r="K1756" s="67">
        <f t="shared" si="112"/>
        <v>303211.74982493464</v>
      </c>
      <c r="L1756" s="95">
        <f>+VLOOKUP(E1756,MARGEN!A:B,2,FALSE)</f>
        <v>0.1</v>
      </c>
      <c r="M1756" s="112">
        <f t="shared" si="109"/>
        <v>30321.174982493467</v>
      </c>
      <c r="N1756" s="113">
        <f t="shared" si="110"/>
        <v>1212.8469992997386</v>
      </c>
      <c r="O1756" s="113">
        <f t="shared" si="111"/>
        <v>271677.72784314147</v>
      </c>
    </row>
    <row r="1757" spans="1:15" x14ac:dyDescent="0.25">
      <c r="A1757" s="13">
        <v>44460</v>
      </c>
      <c r="B1757" s="51">
        <v>11733</v>
      </c>
      <c r="C1757" s="66" t="s">
        <v>98</v>
      </c>
      <c r="D1757" s="66" t="s">
        <v>476</v>
      </c>
      <c r="E1757" t="s">
        <v>49</v>
      </c>
      <c r="F1757" s="50" t="s">
        <v>551</v>
      </c>
      <c r="G1757" s="50" t="s">
        <v>205</v>
      </c>
      <c r="H1757" s="50">
        <v>2</v>
      </c>
      <c r="I1757" s="100">
        <v>6.7391919697301583</v>
      </c>
      <c r="J1757" s="52">
        <v>3834.68</v>
      </c>
      <c r="K1757" s="67">
        <f t="shared" si="112"/>
        <v>303211.74982493464</v>
      </c>
      <c r="L1757" s="95">
        <f>+VLOOKUP(E1757,MARGEN!A:B,2,FALSE)</f>
        <v>0.1</v>
      </c>
      <c r="M1757" s="112">
        <f t="shared" si="109"/>
        <v>30321.174982493467</v>
      </c>
      <c r="N1757" s="113">
        <f t="shared" si="110"/>
        <v>1212.8469992997386</v>
      </c>
      <c r="O1757" s="113">
        <f t="shared" si="111"/>
        <v>271677.72784314147</v>
      </c>
    </row>
    <row r="1758" spans="1:15" x14ac:dyDescent="0.25">
      <c r="A1758" s="13">
        <v>44461</v>
      </c>
      <c r="B1758" s="97">
        <v>11733</v>
      </c>
      <c r="C1758" t="s">
        <v>98</v>
      </c>
      <c r="D1758" s="94" t="s">
        <v>476</v>
      </c>
      <c r="E1758" t="s">
        <v>49</v>
      </c>
      <c r="F1758" t="s">
        <v>551</v>
      </c>
      <c r="G1758" s="50" t="s">
        <v>205</v>
      </c>
      <c r="H1758" s="50">
        <v>2</v>
      </c>
      <c r="I1758" s="100">
        <v>6.7391919697301583</v>
      </c>
      <c r="J1758" s="52">
        <v>3834.68</v>
      </c>
      <c r="K1758" s="67">
        <f t="shared" si="112"/>
        <v>303211.74982493464</v>
      </c>
      <c r="L1758" s="95">
        <f>+VLOOKUP(E1758,MARGEN!A:B,2,FALSE)</f>
        <v>0.1</v>
      </c>
      <c r="M1758" s="112">
        <f t="shared" si="109"/>
        <v>30321.174982493467</v>
      </c>
      <c r="N1758" s="113">
        <f t="shared" si="110"/>
        <v>1212.8469992997386</v>
      </c>
      <c r="O1758" s="113">
        <f t="shared" si="111"/>
        <v>271677.72784314147</v>
      </c>
    </row>
    <row r="1759" spans="1:15" x14ac:dyDescent="0.25">
      <c r="A1759" s="13">
        <v>44462</v>
      </c>
      <c r="B1759" s="97">
        <v>11733</v>
      </c>
      <c r="C1759" t="s">
        <v>98</v>
      </c>
      <c r="D1759" s="94" t="s">
        <v>476</v>
      </c>
      <c r="E1759" t="s">
        <v>49</v>
      </c>
      <c r="F1759" t="s">
        <v>551</v>
      </c>
      <c r="G1759" s="50" t="s">
        <v>205</v>
      </c>
      <c r="H1759" s="50">
        <v>2</v>
      </c>
      <c r="I1759" s="100">
        <v>6.7391919697301583</v>
      </c>
      <c r="J1759" s="52">
        <v>3834.68</v>
      </c>
      <c r="K1759" s="67">
        <f t="shared" si="112"/>
        <v>303211.74982493464</v>
      </c>
      <c r="L1759" s="95">
        <f>+VLOOKUP(E1759,MARGEN!A:B,2,FALSE)</f>
        <v>0.1</v>
      </c>
      <c r="M1759" s="112">
        <f t="shared" si="109"/>
        <v>30321.174982493467</v>
      </c>
      <c r="N1759" s="113">
        <f t="shared" si="110"/>
        <v>1212.8469992997386</v>
      </c>
      <c r="O1759" s="113">
        <f t="shared" si="111"/>
        <v>271677.72784314147</v>
      </c>
    </row>
    <row r="1760" spans="1:15" x14ac:dyDescent="0.25">
      <c r="A1760" s="13">
        <v>44463</v>
      </c>
      <c r="B1760" s="97">
        <v>11735</v>
      </c>
      <c r="C1760" t="s">
        <v>98</v>
      </c>
      <c r="D1760" s="94" t="s">
        <v>476</v>
      </c>
      <c r="E1760" t="s">
        <v>49</v>
      </c>
      <c r="F1760" t="s">
        <v>573</v>
      </c>
      <c r="G1760" s="50" t="s">
        <v>574</v>
      </c>
      <c r="H1760" s="50">
        <v>2</v>
      </c>
      <c r="I1760" s="100">
        <v>6.7391919697301583</v>
      </c>
      <c r="J1760" s="52">
        <v>3834.68</v>
      </c>
      <c r="K1760" s="67">
        <f t="shared" si="112"/>
        <v>303263.43511425966</v>
      </c>
      <c r="L1760" s="95">
        <f>+VLOOKUP(E1760,MARGEN!A:B,2,FALSE)</f>
        <v>0.1</v>
      </c>
      <c r="M1760" s="112">
        <f t="shared" si="109"/>
        <v>30326.343511425966</v>
      </c>
      <c r="N1760" s="113">
        <f t="shared" si="110"/>
        <v>1213.0537404570387</v>
      </c>
      <c r="O1760" s="113">
        <f t="shared" si="111"/>
        <v>271724.03786237666</v>
      </c>
    </row>
    <row r="1761" spans="1:15" x14ac:dyDescent="0.25">
      <c r="A1761" s="13">
        <v>44464</v>
      </c>
      <c r="B1761" s="97">
        <v>11735</v>
      </c>
      <c r="C1761" t="s">
        <v>98</v>
      </c>
      <c r="D1761" s="94" t="s">
        <v>476</v>
      </c>
      <c r="E1761" t="s">
        <v>49</v>
      </c>
      <c r="F1761" t="s">
        <v>573</v>
      </c>
      <c r="G1761" s="50" t="s">
        <v>574</v>
      </c>
      <c r="H1761" s="50">
        <v>2</v>
      </c>
      <c r="I1761" s="100">
        <v>6.7391919697301583</v>
      </c>
      <c r="J1761" s="52">
        <v>3834.68</v>
      </c>
      <c r="K1761" s="67">
        <f t="shared" si="112"/>
        <v>303263.43511425966</v>
      </c>
      <c r="L1761" s="95">
        <f>+VLOOKUP(E1761,MARGEN!A:B,2,FALSE)</f>
        <v>0.1</v>
      </c>
      <c r="M1761" s="112">
        <f t="shared" si="109"/>
        <v>30326.343511425966</v>
      </c>
      <c r="N1761" s="113">
        <f t="shared" si="110"/>
        <v>1213.0537404570387</v>
      </c>
      <c r="O1761" s="113">
        <f t="shared" si="111"/>
        <v>271724.03786237666</v>
      </c>
    </row>
    <row r="1762" spans="1:15" x14ac:dyDescent="0.25">
      <c r="A1762" s="13">
        <v>44465</v>
      </c>
      <c r="B1762" s="97">
        <v>11734</v>
      </c>
      <c r="C1762" t="s">
        <v>98</v>
      </c>
      <c r="D1762" t="s">
        <v>476</v>
      </c>
      <c r="E1762" t="s">
        <v>49</v>
      </c>
      <c r="F1762" t="s">
        <v>558</v>
      </c>
      <c r="G1762" s="50" t="s">
        <v>574</v>
      </c>
      <c r="H1762" s="50">
        <v>2</v>
      </c>
      <c r="I1762" s="100">
        <v>6.7391919697301583</v>
      </c>
      <c r="J1762" s="52">
        <v>3834.68</v>
      </c>
      <c r="K1762" s="67">
        <f t="shared" si="112"/>
        <v>303237.59246959712</v>
      </c>
      <c r="L1762" s="95">
        <f>+VLOOKUP(E1762,MARGEN!A:B,2,FALSE)</f>
        <v>0.1</v>
      </c>
      <c r="M1762" s="112">
        <f t="shared" si="109"/>
        <v>30323.759246959715</v>
      </c>
      <c r="N1762" s="113">
        <f t="shared" si="110"/>
        <v>1212.9503698783885</v>
      </c>
      <c r="O1762" s="113">
        <f t="shared" si="111"/>
        <v>271700.88285275904</v>
      </c>
    </row>
    <row r="1763" spans="1:15" x14ac:dyDescent="0.25">
      <c r="A1763" s="13">
        <v>44466</v>
      </c>
      <c r="B1763" s="97">
        <v>11734</v>
      </c>
      <c r="C1763" t="s">
        <v>98</v>
      </c>
      <c r="D1763" t="s">
        <v>476</v>
      </c>
      <c r="E1763" t="s">
        <v>49</v>
      </c>
      <c r="F1763" t="s">
        <v>558</v>
      </c>
      <c r="G1763" s="50" t="s">
        <v>574</v>
      </c>
      <c r="H1763" s="50">
        <v>2</v>
      </c>
      <c r="I1763" s="100">
        <v>6.7391919697301583</v>
      </c>
      <c r="J1763" s="52">
        <v>3834.68</v>
      </c>
      <c r="K1763" s="67">
        <f t="shared" si="112"/>
        <v>303237.59246959712</v>
      </c>
      <c r="L1763" s="95">
        <f>+VLOOKUP(E1763,MARGEN!A:B,2,FALSE)</f>
        <v>0.1</v>
      </c>
      <c r="M1763" s="112">
        <f t="shared" si="109"/>
        <v>30323.759246959715</v>
      </c>
      <c r="N1763" s="113">
        <f t="shared" si="110"/>
        <v>1212.9503698783885</v>
      </c>
      <c r="O1763" s="113">
        <f t="shared" si="111"/>
        <v>271700.88285275904</v>
      </c>
    </row>
    <row r="1764" spans="1:15" x14ac:dyDescent="0.25">
      <c r="A1764" s="13">
        <v>44467</v>
      </c>
      <c r="B1764" s="97">
        <v>11734</v>
      </c>
      <c r="C1764" t="s">
        <v>98</v>
      </c>
      <c r="D1764" t="s">
        <v>476</v>
      </c>
      <c r="E1764" t="s">
        <v>49</v>
      </c>
      <c r="F1764" t="s">
        <v>558</v>
      </c>
      <c r="G1764" s="50" t="s">
        <v>574</v>
      </c>
      <c r="H1764" s="50">
        <v>2</v>
      </c>
      <c r="I1764" s="100">
        <v>6.7391919697301583</v>
      </c>
      <c r="J1764" s="52">
        <v>3834.68</v>
      </c>
      <c r="K1764" s="67">
        <f t="shared" si="112"/>
        <v>303237.59246959712</v>
      </c>
      <c r="L1764" s="95">
        <f>+VLOOKUP(E1764,MARGEN!A:B,2,FALSE)</f>
        <v>0.1</v>
      </c>
      <c r="M1764" s="112">
        <f t="shared" si="109"/>
        <v>30323.759246959715</v>
      </c>
      <c r="N1764" s="113">
        <f t="shared" si="110"/>
        <v>1212.9503698783885</v>
      </c>
      <c r="O1764" s="113">
        <f t="shared" si="111"/>
        <v>271700.88285275904</v>
      </c>
    </row>
    <row r="1765" spans="1:15" x14ac:dyDescent="0.25">
      <c r="A1765" s="13">
        <v>44440</v>
      </c>
      <c r="B1765" s="97">
        <v>5975</v>
      </c>
      <c r="C1765" t="s">
        <v>279</v>
      </c>
      <c r="D1765" s="94" t="s">
        <v>493</v>
      </c>
      <c r="E1765" t="s">
        <v>17</v>
      </c>
      <c r="F1765" t="s">
        <v>558</v>
      </c>
      <c r="G1765" s="50" t="s">
        <v>559</v>
      </c>
      <c r="H1765" s="50">
        <v>2</v>
      </c>
      <c r="I1765" s="100">
        <v>6.7391919697301583</v>
      </c>
      <c r="J1765" s="52">
        <v>3834.68</v>
      </c>
      <c r="K1765" s="67">
        <f t="shared" si="112"/>
        <v>154409.80185834694</v>
      </c>
      <c r="L1765" s="95">
        <f>+VLOOKUP(E1765,MARGEN!A:B,2,FALSE)</f>
        <v>0.1</v>
      </c>
      <c r="M1765" s="112">
        <f t="shared" si="109"/>
        <v>15440.980185834695</v>
      </c>
      <c r="N1765" s="113">
        <f t="shared" si="110"/>
        <v>617.63920743338781</v>
      </c>
      <c r="O1765" s="113">
        <f t="shared" si="111"/>
        <v>138351.18246507886</v>
      </c>
    </row>
    <row r="1766" spans="1:15" x14ac:dyDescent="0.25">
      <c r="A1766" s="13">
        <v>44440</v>
      </c>
      <c r="B1766" s="97">
        <v>5279</v>
      </c>
      <c r="C1766" t="s">
        <v>278</v>
      </c>
      <c r="D1766" s="94" t="s">
        <v>453</v>
      </c>
      <c r="E1766" t="s">
        <v>17</v>
      </c>
      <c r="F1766" t="s">
        <v>558</v>
      </c>
      <c r="G1766" s="50" t="s">
        <v>559</v>
      </c>
      <c r="H1766" s="50">
        <v>2</v>
      </c>
      <c r="I1766" s="100">
        <v>6.7391919697301583</v>
      </c>
      <c r="J1766" s="52">
        <v>3834.68</v>
      </c>
      <c r="K1766" s="67">
        <f t="shared" si="112"/>
        <v>136423.32117325746</v>
      </c>
      <c r="L1766" s="95">
        <f>+VLOOKUP(E1766,MARGEN!A:B,2,FALSE)</f>
        <v>0.1</v>
      </c>
      <c r="M1766" s="112">
        <f t="shared" si="109"/>
        <v>13642.332117325746</v>
      </c>
      <c r="N1766" s="113">
        <f t="shared" si="110"/>
        <v>545.6932846930298</v>
      </c>
      <c r="O1766" s="113">
        <f t="shared" si="111"/>
        <v>122235.29577123869</v>
      </c>
    </row>
    <row r="1767" spans="1:15" x14ac:dyDescent="0.25">
      <c r="A1767" s="13">
        <v>44440</v>
      </c>
      <c r="B1767" s="97">
        <v>4631</v>
      </c>
      <c r="C1767" t="s">
        <v>136</v>
      </c>
      <c r="D1767" s="94" t="s">
        <v>359</v>
      </c>
      <c r="E1767" t="s">
        <v>17</v>
      </c>
      <c r="F1767" t="s">
        <v>558</v>
      </c>
      <c r="G1767" s="50" t="s">
        <v>559</v>
      </c>
      <c r="H1767" s="50">
        <v>2</v>
      </c>
      <c r="I1767" s="100">
        <v>6.7391919697301583</v>
      </c>
      <c r="J1767" s="52">
        <v>3834.68</v>
      </c>
      <c r="K1767" s="67">
        <f t="shared" si="112"/>
        <v>119677.28743196731</v>
      </c>
      <c r="L1767" s="95">
        <f>+VLOOKUP(E1767,MARGEN!A:B,2,FALSE)</f>
        <v>0.1</v>
      </c>
      <c r="M1767" s="112">
        <f t="shared" si="109"/>
        <v>11967.728743196732</v>
      </c>
      <c r="N1767" s="113">
        <f t="shared" si="110"/>
        <v>478.70914972786926</v>
      </c>
      <c r="O1767" s="113">
        <f t="shared" si="111"/>
        <v>107230.84953904271</v>
      </c>
    </row>
    <row r="1768" spans="1:15" x14ac:dyDescent="0.25">
      <c r="A1768" s="13">
        <v>44440</v>
      </c>
      <c r="B1768" s="97">
        <v>4271</v>
      </c>
      <c r="C1768" t="s">
        <v>193</v>
      </c>
      <c r="D1768" s="94" t="s">
        <v>380</v>
      </c>
      <c r="E1768" t="s">
        <v>17</v>
      </c>
      <c r="F1768" t="s">
        <v>558</v>
      </c>
      <c r="G1768" s="50" t="s">
        <v>559</v>
      </c>
      <c r="H1768" s="50">
        <v>2</v>
      </c>
      <c r="I1768" s="100">
        <v>6.7391919697301583</v>
      </c>
      <c r="J1768" s="52">
        <v>3834.68</v>
      </c>
      <c r="K1768" s="67">
        <f t="shared" si="112"/>
        <v>110373.93535347277</v>
      </c>
      <c r="L1768" s="95">
        <f>+VLOOKUP(E1768,MARGEN!A:B,2,FALSE)</f>
        <v>0.1</v>
      </c>
      <c r="M1768" s="112">
        <f t="shared" si="109"/>
        <v>11037.393535347277</v>
      </c>
      <c r="N1768" s="113">
        <f t="shared" si="110"/>
        <v>441.4957414138911</v>
      </c>
      <c r="O1768" s="113">
        <f t="shared" si="111"/>
        <v>98895.046076711602</v>
      </c>
    </row>
    <row r="1769" spans="1:15" x14ac:dyDescent="0.25">
      <c r="A1769" s="13">
        <v>44440</v>
      </c>
      <c r="B1769" s="97">
        <v>3887</v>
      </c>
      <c r="C1769" t="s">
        <v>293</v>
      </c>
      <c r="D1769" s="94" t="s">
        <v>499</v>
      </c>
      <c r="E1769" t="s">
        <v>17</v>
      </c>
      <c r="F1769" t="s">
        <v>558</v>
      </c>
      <c r="G1769" s="50" t="s">
        <v>559</v>
      </c>
      <c r="H1769" s="50">
        <v>2</v>
      </c>
      <c r="I1769" s="100">
        <v>6.7391919697301583</v>
      </c>
      <c r="J1769" s="52">
        <v>3834.68</v>
      </c>
      <c r="K1769" s="67">
        <f t="shared" si="112"/>
        <v>100450.35980307858</v>
      </c>
      <c r="L1769" s="95">
        <f>+VLOOKUP(E1769,MARGEN!A:B,2,FALSE)</f>
        <v>0.1</v>
      </c>
      <c r="M1769" s="112">
        <f t="shared" si="109"/>
        <v>10045.035980307859</v>
      </c>
      <c r="N1769" s="113">
        <f t="shared" si="110"/>
        <v>401.80143921231434</v>
      </c>
      <c r="O1769" s="113">
        <f t="shared" si="111"/>
        <v>90003.522383558404</v>
      </c>
    </row>
    <row r="1770" spans="1:15" x14ac:dyDescent="0.25">
      <c r="A1770" s="13">
        <v>44440</v>
      </c>
      <c r="B1770" s="97">
        <v>3623</v>
      </c>
      <c r="C1770" t="s">
        <v>149</v>
      </c>
      <c r="D1770" s="94" t="s">
        <v>325</v>
      </c>
      <c r="E1770" t="s">
        <v>17</v>
      </c>
      <c r="F1770" t="s">
        <v>558</v>
      </c>
      <c r="G1770" s="50" t="s">
        <v>559</v>
      </c>
      <c r="H1770" s="50">
        <v>2</v>
      </c>
      <c r="I1770" s="100">
        <v>6.7391919697301583</v>
      </c>
      <c r="J1770" s="52">
        <v>3834.68</v>
      </c>
      <c r="K1770" s="67">
        <f t="shared" si="112"/>
        <v>93627.901612182584</v>
      </c>
      <c r="L1770" s="95">
        <f>+VLOOKUP(E1770,MARGEN!A:B,2,FALSE)</f>
        <v>0.1</v>
      </c>
      <c r="M1770" s="112">
        <f t="shared" si="109"/>
        <v>9362.7901612182595</v>
      </c>
      <c r="N1770" s="113">
        <f t="shared" si="110"/>
        <v>374.51160644873033</v>
      </c>
      <c r="O1770" s="113">
        <f t="shared" si="111"/>
        <v>83890.599844515586</v>
      </c>
    </row>
    <row r="1771" spans="1:15" x14ac:dyDescent="0.25">
      <c r="A1771" s="13">
        <v>44440</v>
      </c>
      <c r="B1771" s="97">
        <v>3599</v>
      </c>
      <c r="C1771" t="s">
        <v>192</v>
      </c>
      <c r="D1771" s="94" t="s">
        <v>347</v>
      </c>
      <c r="E1771" t="s">
        <v>17</v>
      </c>
      <c r="F1771" t="s">
        <v>558</v>
      </c>
      <c r="G1771" s="50" t="s">
        <v>559</v>
      </c>
      <c r="H1771" s="50">
        <v>2</v>
      </c>
      <c r="I1771" s="100">
        <v>6.7391919697301583</v>
      </c>
      <c r="J1771" s="52">
        <v>3834.68</v>
      </c>
      <c r="K1771" s="67">
        <f t="shared" si="112"/>
        <v>93007.678140282951</v>
      </c>
      <c r="L1771" s="95">
        <f>+VLOOKUP(E1771,MARGEN!A:B,2,FALSE)</f>
        <v>0.1</v>
      </c>
      <c r="M1771" s="112">
        <f t="shared" si="109"/>
        <v>9300.7678140282951</v>
      </c>
      <c r="N1771" s="113">
        <f t="shared" si="110"/>
        <v>372.03071256113179</v>
      </c>
      <c r="O1771" s="113">
        <f t="shared" si="111"/>
        <v>83334.879613693527</v>
      </c>
    </row>
    <row r="1772" spans="1:15" x14ac:dyDescent="0.25">
      <c r="A1772" s="13">
        <v>44440</v>
      </c>
      <c r="B1772" s="97">
        <v>3359</v>
      </c>
      <c r="C1772" t="s">
        <v>309</v>
      </c>
      <c r="D1772" s="94" t="s">
        <v>544</v>
      </c>
      <c r="E1772" t="s">
        <v>17</v>
      </c>
      <c r="F1772" t="s">
        <v>558</v>
      </c>
      <c r="G1772" s="50" t="s">
        <v>559</v>
      </c>
      <c r="H1772" s="50">
        <v>2</v>
      </c>
      <c r="I1772" s="100">
        <v>6.7391919697301583</v>
      </c>
      <c r="J1772" s="52">
        <v>3834.68</v>
      </c>
      <c r="K1772" s="67">
        <f t="shared" si="112"/>
        <v>86805.443421286589</v>
      </c>
      <c r="L1772" s="95">
        <f>+VLOOKUP(E1772,MARGEN!A:B,2,FALSE)</f>
        <v>0.1</v>
      </c>
      <c r="M1772" s="112">
        <f t="shared" si="109"/>
        <v>8680.54434212866</v>
      </c>
      <c r="N1772" s="113">
        <f t="shared" si="110"/>
        <v>347.22177368514633</v>
      </c>
      <c r="O1772" s="113">
        <f t="shared" si="111"/>
        <v>77777.677305472782</v>
      </c>
    </row>
    <row r="1773" spans="1:15" x14ac:dyDescent="0.25">
      <c r="A1773" s="13">
        <v>44440</v>
      </c>
      <c r="B1773" s="97">
        <v>2903</v>
      </c>
      <c r="C1773" t="s">
        <v>134</v>
      </c>
      <c r="D1773" s="94" t="s">
        <v>362</v>
      </c>
      <c r="E1773" t="s">
        <v>17</v>
      </c>
      <c r="F1773" t="s">
        <v>558</v>
      </c>
      <c r="G1773" s="50" t="s">
        <v>559</v>
      </c>
      <c r="H1773" s="50">
        <v>2</v>
      </c>
      <c r="I1773" s="100">
        <v>6.7391919697301583</v>
      </c>
      <c r="J1773" s="52">
        <v>3834.68</v>
      </c>
      <c r="K1773" s="67">
        <f t="shared" si="112"/>
        <v>75021.197455193484</v>
      </c>
      <c r="L1773" s="95">
        <f>+VLOOKUP(E1773,MARGEN!A:B,2,FALSE)</f>
        <v>0.1</v>
      </c>
      <c r="M1773" s="112">
        <f t="shared" si="109"/>
        <v>7502.1197455193487</v>
      </c>
      <c r="N1773" s="113">
        <f t="shared" si="110"/>
        <v>300.08478982077395</v>
      </c>
      <c r="O1773" s="113">
        <f t="shared" si="111"/>
        <v>67218.992919853365</v>
      </c>
    </row>
    <row r="1774" spans="1:15" x14ac:dyDescent="0.25">
      <c r="A1774" s="13">
        <v>44440</v>
      </c>
      <c r="B1774" s="97">
        <v>2783</v>
      </c>
      <c r="C1774" t="s">
        <v>131</v>
      </c>
      <c r="D1774" t="s">
        <v>344</v>
      </c>
      <c r="E1774" t="s">
        <v>17</v>
      </c>
      <c r="F1774" t="s">
        <v>558</v>
      </c>
      <c r="G1774" s="50" t="s">
        <v>559</v>
      </c>
      <c r="H1774" s="50">
        <v>2</v>
      </c>
      <c r="I1774" s="100">
        <v>6.7391919697301583</v>
      </c>
      <c r="J1774" s="52">
        <v>3834.68</v>
      </c>
      <c r="K1774" s="67">
        <f t="shared" si="112"/>
        <v>71920.080095695317</v>
      </c>
      <c r="L1774" s="95">
        <f>+VLOOKUP(E1774,MARGEN!A:B,2,FALSE)</f>
        <v>0.1</v>
      </c>
      <c r="M1774" s="112">
        <f t="shared" si="109"/>
        <v>7192.0080095695321</v>
      </c>
      <c r="N1774" s="113">
        <f t="shared" si="110"/>
        <v>287.68032038278125</v>
      </c>
      <c r="O1774" s="113">
        <f t="shared" si="111"/>
        <v>64440.391765743007</v>
      </c>
    </row>
    <row r="1775" spans="1:15" x14ac:dyDescent="0.25">
      <c r="A1775" s="13">
        <v>44440</v>
      </c>
      <c r="B1775" s="97">
        <v>2711</v>
      </c>
      <c r="C1775" t="s">
        <v>132</v>
      </c>
      <c r="D1775" s="94" t="s">
        <v>376</v>
      </c>
      <c r="E1775" t="s">
        <v>17</v>
      </c>
      <c r="F1775" t="s">
        <v>558</v>
      </c>
      <c r="G1775" s="50" t="s">
        <v>559</v>
      </c>
      <c r="H1775" s="50">
        <v>2</v>
      </c>
      <c r="I1775" s="100">
        <v>6.7391919697301583</v>
      </c>
      <c r="J1775" s="52">
        <v>3834.68</v>
      </c>
      <c r="K1775" s="67">
        <f t="shared" si="112"/>
        <v>70059.409679996417</v>
      </c>
      <c r="L1775" s="95">
        <f>+VLOOKUP(E1775,MARGEN!A:B,2,FALSE)</f>
        <v>0.1</v>
      </c>
      <c r="M1775" s="112">
        <f t="shared" si="109"/>
        <v>7005.9409679996425</v>
      </c>
      <c r="N1775" s="113">
        <f t="shared" si="110"/>
        <v>280.23763871998568</v>
      </c>
      <c r="O1775" s="113">
        <f t="shared" si="111"/>
        <v>62773.231073276787</v>
      </c>
    </row>
    <row r="1776" spans="1:15" x14ac:dyDescent="0.25">
      <c r="A1776" s="13">
        <v>44440</v>
      </c>
      <c r="B1776" s="97">
        <v>2567</v>
      </c>
      <c r="C1776" t="s">
        <v>310</v>
      </c>
      <c r="D1776" s="94" t="s">
        <v>540</v>
      </c>
      <c r="E1776" t="s">
        <v>17</v>
      </c>
      <c r="F1776" t="s">
        <v>558</v>
      </c>
      <c r="G1776" s="50" t="s">
        <v>559</v>
      </c>
      <c r="H1776" s="50">
        <v>2</v>
      </c>
      <c r="I1776" s="100">
        <v>6.7391919697301583</v>
      </c>
      <c r="J1776" s="52">
        <v>3834.68</v>
      </c>
      <c r="K1776" s="67">
        <f t="shared" si="112"/>
        <v>66338.068848598588</v>
      </c>
      <c r="L1776" s="95">
        <f>+VLOOKUP(E1776,MARGEN!A:B,2,FALSE)</f>
        <v>0.1</v>
      </c>
      <c r="M1776" s="112">
        <f t="shared" si="109"/>
        <v>6633.8068848598596</v>
      </c>
      <c r="N1776" s="113">
        <f t="shared" si="110"/>
        <v>265.35227539439433</v>
      </c>
      <c r="O1776" s="113">
        <f t="shared" si="111"/>
        <v>59438.909688344334</v>
      </c>
    </row>
    <row r="1777" spans="1:15" x14ac:dyDescent="0.25">
      <c r="A1777" s="13">
        <v>44440</v>
      </c>
      <c r="B1777" s="97">
        <v>2519</v>
      </c>
      <c r="C1777" t="s">
        <v>146</v>
      </c>
      <c r="D1777" s="94" t="s">
        <v>348</v>
      </c>
      <c r="E1777" t="s">
        <v>17</v>
      </c>
      <c r="F1777" t="s">
        <v>558</v>
      </c>
      <c r="G1777" s="50" t="s">
        <v>559</v>
      </c>
      <c r="H1777" s="50">
        <v>2</v>
      </c>
      <c r="I1777" s="100">
        <v>6.7391919697301583</v>
      </c>
      <c r="J1777" s="52">
        <v>3834.68</v>
      </c>
      <c r="K1777" s="67">
        <f t="shared" si="112"/>
        <v>65097.621904799322</v>
      </c>
      <c r="L1777" s="95">
        <f>+VLOOKUP(E1777,MARGEN!A:B,2,FALSE)</f>
        <v>0.1</v>
      </c>
      <c r="M1777" s="112">
        <f t="shared" si="109"/>
        <v>6509.7621904799325</v>
      </c>
      <c r="N1777" s="113">
        <f t="shared" si="110"/>
        <v>260.3904876191973</v>
      </c>
      <c r="O1777" s="113">
        <f t="shared" si="111"/>
        <v>58327.469226700196</v>
      </c>
    </row>
    <row r="1778" spans="1:15" x14ac:dyDescent="0.25">
      <c r="A1778" s="13">
        <v>44440</v>
      </c>
      <c r="B1778" s="97">
        <v>2519</v>
      </c>
      <c r="C1778" t="s">
        <v>127</v>
      </c>
      <c r="D1778" s="94" t="s">
        <v>411</v>
      </c>
      <c r="E1778" t="s">
        <v>17</v>
      </c>
      <c r="F1778" t="s">
        <v>558</v>
      </c>
      <c r="G1778" s="50" t="s">
        <v>559</v>
      </c>
      <c r="H1778" s="50">
        <v>2</v>
      </c>
      <c r="I1778" s="100">
        <v>6.7391919697301583</v>
      </c>
      <c r="J1778" s="52">
        <v>3834.68</v>
      </c>
      <c r="K1778" s="67">
        <f t="shared" si="112"/>
        <v>65097.621904799322</v>
      </c>
      <c r="L1778" s="95">
        <f>+VLOOKUP(E1778,MARGEN!A:B,2,FALSE)</f>
        <v>0.1</v>
      </c>
      <c r="M1778" s="112">
        <f t="shared" si="109"/>
        <v>6509.7621904799325</v>
      </c>
      <c r="N1778" s="113">
        <f t="shared" si="110"/>
        <v>260.3904876191973</v>
      </c>
      <c r="O1778" s="113">
        <f t="shared" si="111"/>
        <v>58327.469226700196</v>
      </c>
    </row>
    <row r="1779" spans="1:15" x14ac:dyDescent="0.25">
      <c r="A1779" s="13">
        <v>44440</v>
      </c>
      <c r="B1779" s="97">
        <v>2423</v>
      </c>
      <c r="C1779" t="s">
        <v>281</v>
      </c>
      <c r="D1779" s="94" t="s">
        <v>495</v>
      </c>
      <c r="E1779" t="s">
        <v>17</v>
      </c>
      <c r="F1779" t="s">
        <v>558</v>
      </c>
      <c r="G1779" s="50" t="s">
        <v>559</v>
      </c>
      <c r="H1779" s="50">
        <v>2</v>
      </c>
      <c r="I1779" s="100">
        <v>6.7391919697301583</v>
      </c>
      <c r="J1779" s="52">
        <v>3834.68</v>
      </c>
      <c r="K1779" s="67">
        <f t="shared" si="112"/>
        <v>62616.728017200774</v>
      </c>
      <c r="L1779" s="95">
        <f>+VLOOKUP(E1779,MARGEN!A:B,2,FALSE)</f>
        <v>0.1</v>
      </c>
      <c r="M1779" s="112">
        <f t="shared" si="109"/>
        <v>6261.6728017200776</v>
      </c>
      <c r="N1779" s="113">
        <f t="shared" si="110"/>
        <v>250.46691206880308</v>
      </c>
      <c r="O1779" s="113">
        <f t="shared" si="111"/>
        <v>56104.588303411889</v>
      </c>
    </row>
    <row r="1780" spans="1:15" x14ac:dyDescent="0.25">
      <c r="A1780" s="13">
        <v>44440</v>
      </c>
      <c r="B1780" s="97">
        <v>2399</v>
      </c>
      <c r="C1780" t="s">
        <v>163</v>
      </c>
      <c r="D1780" t="s">
        <v>398</v>
      </c>
      <c r="E1780" t="s">
        <v>17</v>
      </c>
      <c r="F1780" t="s">
        <v>558</v>
      </c>
      <c r="G1780" s="50" t="s">
        <v>559</v>
      </c>
      <c r="H1780" s="50">
        <v>2</v>
      </c>
      <c r="I1780" s="100">
        <v>6.7391919697301583</v>
      </c>
      <c r="J1780" s="52">
        <v>3834.68</v>
      </c>
      <c r="K1780" s="67">
        <f t="shared" si="112"/>
        <v>61996.504545301133</v>
      </c>
      <c r="L1780" s="95">
        <f>+VLOOKUP(E1780,MARGEN!A:B,2,FALSE)</f>
        <v>0.1</v>
      </c>
      <c r="M1780" s="112">
        <f t="shared" si="109"/>
        <v>6199.6504545301141</v>
      </c>
      <c r="N1780" s="113">
        <f t="shared" si="110"/>
        <v>247.98601818120454</v>
      </c>
      <c r="O1780" s="113">
        <f t="shared" si="111"/>
        <v>55548.868072589816</v>
      </c>
    </row>
    <row r="1781" spans="1:15" x14ac:dyDescent="0.25">
      <c r="A1781" s="13">
        <v>44440</v>
      </c>
      <c r="B1781" s="97">
        <v>2303</v>
      </c>
      <c r="C1781" t="s">
        <v>130</v>
      </c>
      <c r="D1781" s="94" t="s">
        <v>367</v>
      </c>
      <c r="E1781" t="s">
        <v>17</v>
      </c>
      <c r="F1781" t="s">
        <v>558</v>
      </c>
      <c r="G1781" s="50" t="s">
        <v>559</v>
      </c>
      <c r="H1781" s="50">
        <v>2</v>
      </c>
      <c r="I1781" s="100">
        <v>6.7391919697301583</v>
      </c>
      <c r="J1781" s="52">
        <v>3834.68</v>
      </c>
      <c r="K1781" s="67">
        <f t="shared" si="112"/>
        <v>59515.610657702593</v>
      </c>
      <c r="L1781" s="95">
        <f>+VLOOKUP(E1781,MARGEN!A:B,2,FALSE)</f>
        <v>0.1</v>
      </c>
      <c r="M1781" s="112">
        <f t="shared" si="109"/>
        <v>5951.56106577026</v>
      </c>
      <c r="N1781" s="113">
        <f t="shared" si="110"/>
        <v>238.06244263081038</v>
      </c>
      <c r="O1781" s="113">
        <f t="shared" si="111"/>
        <v>53325.987149301516</v>
      </c>
    </row>
    <row r="1782" spans="1:15" x14ac:dyDescent="0.25">
      <c r="A1782" s="13">
        <v>44440</v>
      </c>
      <c r="B1782" s="51">
        <v>2303</v>
      </c>
      <c r="C1782" s="66" t="s">
        <v>128</v>
      </c>
      <c r="D1782" s="66" t="s">
        <v>416</v>
      </c>
      <c r="E1782" t="s">
        <v>17</v>
      </c>
      <c r="F1782" s="50" t="s">
        <v>558</v>
      </c>
      <c r="G1782" s="50" t="s">
        <v>559</v>
      </c>
      <c r="H1782" s="50">
        <v>2</v>
      </c>
      <c r="I1782" s="100">
        <v>6.7391919697301583</v>
      </c>
      <c r="J1782" s="52">
        <v>3834.68</v>
      </c>
      <c r="K1782" s="67">
        <f t="shared" si="112"/>
        <v>59515.610657702593</v>
      </c>
      <c r="L1782" s="95">
        <f>+VLOOKUP(E1782,MARGEN!A:B,2,FALSE)</f>
        <v>0.1</v>
      </c>
      <c r="M1782" s="112">
        <f t="shared" si="109"/>
        <v>5951.56106577026</v>
      </c>
      <c r="N1782" s="113">
        <f t="shared" si="110"/>
        <v>238.06244263081038</v>
      </c>
      <c r="O1782" s="113">
        <f t="shared" si="111"/>
        <v>53325.987149301516</v>
      </c>
    </row>
    <row r="1783" spans="1:15" x14ac:dyDescent="0.25">
      <c r="A1783" s="13">
        <v>44440</v>
      </c>
      <c r="B1783" s="97">
        <v>2231</v>
      </c>
      <c r="C1783" t="s">
        <v>126</v>
      </c>
      <c r="D1783" t="s">
        <v>438</v>
      </c>
      <c r="E1783" t="s">
        <v>17</v>
      </c>
      <c r="F1783" t="s">
        <v>558</v>
      </c>
      <c r="G1783" s="50" t="s">
        <v>559</v>
      </c>
      <c r="H1783" s="50">
        <v>2</v>
      </c>
      <c r="I1783" s="100">
        <v>6.7391919697301583</v>
      </c>
      <c r="J1783" s="52">
        <v>3834.68</v>
      </c>
      <c r="K1783" s="67">
        <f t="shared" si="112"/>
        <v>57654.940242003679</v>
      </c>
      <c r="L1783" s="95">
        <f>+VLOOKUP(E1783,MARGEN!A:B,2,FALSE)</f>
        <v>0.1</v>
      </c>
      <c r="M1783" s="112">
        <f t="shared" si="109"/>
        <v>5765.4940242003686</v>
      </c>
      <c r="N1783" s="113">
        <f t="shared" si="110"/>
        <v>230.6197609680147</v>
      </c>
      <c r="O1783" s="113">
        <f t="shared" si="111"/>
        <v>51658.826456835297</v>
      </c>
    </row>
    <row r="1784" spans="1:15" x14ac:dyDescent="0.25">
      <c r="A1784" s="13">
        <v>44440</v>
      </c>
      <c r="B1784" s="97">
        <v>2231</v>
      </c>
      <c r="C1784" t="s">
        <v>157</v>
      </c>
      <c r="D1784" s="94" t="s">
        <v>435</v>
      </c>
      <c r="E1784" t="s">
        <v>17</v>
      </c>
      <c r="F1784" t="s">
        <v>558</v>
      </c>
      <c r="G1784" s="50" t="s">
        <v>559</v>
      </c>
      <c r="H1784" s="50">
        <v>2</v>
      </c>
      <c r="I1784" s="100">
        <v>6.7391919697301583</v>
      </c>
      <c r="J1784" s="52">
        <v>3834.68</v>
      </c>
      <c r="K1784" s="67">
        <f t="shared" si="112"/>
        <v>57654.940242003679</v>
      </c>
      <c r="L1784" s="95">
        <f>+VLOOKUP(E1784,MARGEN!A:B,2,FALSE)</f>
        <v>0.1</v>
      </c>
      <c r="M1784" s="112">
        <f t="shared" si="109"/>
        <v>5765.4940242003686</v>
      </c>
      <c r="N1784" s="113">
        <f t="shared" si="110"/>
        <v>230.6197609680147</v>
      </c>
      <c r="O1784" s="113">
        <f t="shared" si="111"/>
        <v>51658.826456835297</v>
      </c>
    </row>
    <row r="1785" spans="1:15" x14ac:dyDescent="0.25">
      <c r="A1785" s="13">
        <v>44440</v>
      </c>
      <c r="B1785" s="51">
        <v>2135</v>
      </c>
      <c r="C1785" s="66" t="s">
        <v>282</v>
      </c>
      <c r="D1785" s="66" t="s">
        <v>494</v>
      </c>
      <c r="E1785" t="s">
        <v>17</v>
      </c>
      <c r="F1785" s="50" t="s">
        <v>558</v>
      </c>
      <c r="G1785" s="50" t="s">
        <v>559</v>
      </c>
      <c r="H1785" s="50">
        <v>2</v>
      </c>
      <c r="I1785" s="100">
        <v>6.7391919697301583</v>
      </c>
      <c r="J1785" s="52">
        <v>3834.68</v>
      </c>
      <c r="K1785" s="67">
        <f t="shared" si="112"/>
        <v>55174.046354405145</v>
      </c>
      <c r="L1785" s="95">
        <f>+VLOOKUP(E1785,MARGEN!A:B,2,FALSE)</f>
        <v>0.1</v>
      </c>
      <c r="M1785" s="112">
        <f t="shared" si="109"/>
        <v>5517.4046354405145</v>
      </c>
      <c r="N1785" s="113">
        <f t="shared" si="110"/>
        <v>220.69618541762057</v>
      </c>
      <c r="O1785" s="113">
        <f t="shared" si="111"/>
        <v>49435.945533547012</v>
      </c>
    </row>
    <row r="1786" spans="1:15" x14ac:dyDescent="0.25">
      <c r="A1786" s="13">
        <v>44440</v>
      </c>
      <c r="B1786" s="97">
        <v>2135</v>
      </c>
      <c r="C1786" t="s">
        <v>312</v>
      </c>
      <c r="D1786" s="94" t="s">
        <v>542</v>
      </c>
      <c r="E1786" t="s">
        <v>17</v>
      </c>
      <c r="F1786" t="s">
        <v>558</v>
      </c>
      <c r="G1786" s="50" t="s">
        <v>559</v>
      </c>
      <c r="H1786" s="50">
        <v>2</v>
      </c>
      <c r="I1786" s="100">
        <v>6.7391919697301583</v>
      </c>
      <c r="J1786" s="52">
        <v>3834.68</v>
      </c>
      <c r="K1786" s="67">
        <f t="shared" si="112"/>
        <v>55174.046354405145</v>
      </c>
      <c r="L1786" s="95">
        <f>+VLOOKUP(E1786,MARGEN!A:B,2,FALSE)</f>
        <v>0.1</v>
      </c>
      <c r="M1786" s="112">
        <f t="shared" si="109"/>
        <v>5517.4046354405145</v>
      </c>
      <c r="N1786" s="113">
        <f t="shared" si="110"/>
        <v>220.69618541762057</v>
      </c>
      <c r="O1786" s="113">
        <f t="shared" si="111"/>
        <v>49435.945533547012</v>
      </c>
    </row>
    <row r="1787" spans="1:15" x14ac:dyDescent="0.25">
      <c r="A1787" s="13">
        <v>44440</v>
      </c>
      <c r="B1787" s="97">
        <v>2015</v>
      </c>
      <c r="C1787" t="s">
        <v>123</v>
      </c>
      <c r="D1787" s="94" t="s">
        <v>396</v>
      </c>
      <c r="E1787" t="s">
        <v>17</v>
      </c>
      <c r="F1787" t="s">
        <v>558</v>
      </c>
      <c r="G1787" s="50" t="s">
        <v>559</v>
      </c>
      <c r="H1787" s="50">
        <v>2</v>
      </c>
      <c r="I1787" s="100">
        <v>6.7391919697301583</v>
      </c>
      <c r="J1787" s="52">
        <v>3834.68</v>
      </c>
      <c r="K1787" s="67">
        <f t="shared" si="112"/>
        <v>52072.928994906957</v>
      </c>
      <c r="L1787" s="95">
        <f>+VLOOKUP(E1787,MARGEN!A:B,2,FALSE)</f>
        <v>0.1</v>
      </c>
      <c r="M1787" s="112">
        <f t="shared" si="109"/>
        <v>5207.2928994906961</v>
      </c>
      <c r="N1787" s="113">
        <f t="shared" si="110"/>
        <v>208.29171597962784</v>
      </c>
      <c r="O1787" s="113">
        <f t="shared" si="111"/>
        <v>46657.344379436632</v>
      </c>
    </row>
    <row r="1788" spans="1:15" x14ac:dyDescent="0.25">
      <c r="A1788" s="13">
        <v>44440</v>
      </c>
      <c r="B1788" s="97">
        <v>1991</v>
      </c>
      <c r="C1788" t="s">
        <v>295</v>
      </c>
      <c r="D1788" s="94" t="s">
        <v>532</v>
      </c>
      <c r="E1788" t="s">
        <v>17</v>
      </c>
      <c r="F1788" t="s">
        <v>558</v>
      </c>
      <c r="G1788" s="50" t="s">
        <v>559</v>
      </c>
      <c r="H1788" s="50">
        <v>2</v>
      </c>
      <c r="I1788" s="100">
        <v>6.7391919697301583</v>
      </c>
      <c r="J1788" s="52">
        <v>3834.68</v>
      </c>
      <c r="K1788" s="67">
        <f t="shared" si="112"/>
        <v>51452.705523007324</v>
      </c>
      <c r="L1788" s="95">
        <f>+VLOOKUP(E1788,MARGEN!A:B,2,FALSE)</f>
        <v>0.1</v>
      </c>
      <c r="M1788" s="112">
        <f t="shared" si="109"/>
        <v>5145.2705523007326</v>
      </c>
      <c r="N1788" s="113">
        <f t="shared" si="110"/>
        <v>205.8108220920293</v>
      </c>
      <c r="O1788" s="113">
        <f t="shared" si="111"/>
        <v>46101.624148614566</v>
      </c>
    </row>
    <row r="1789" spans="1:15" x14ac:dyDescent="0.25">
      <c r="A1789" s="13">
        <v>44440</v>
      </c>
      <c r="B1789" s="97">
        <v>1871</v>
      </c>
      <c r="C1789" t="s">
        <v>304</v>
      </c>
      <c r="D1789" s="94" t="s">
        <v>522</v>
      </c>
      <c r="E1789" t="s">
        <v>17</v>
      </c>
      <c r="F1789" t="s">
        <v>558</v>
      </c>
      <c r="G1789" s="50" t="s">
        <v>559</v>
      </c>
      <c r="H1789" s="50">
        <v>2</v>
      </c>
      <c r="I1789" s="100">
        <v>6.7391919697301583</v>
      </c>
      <c r="J1789" s="52">
        <v>3834.68</v>
      </c>
      <c r="K1789" s="67">
        <f t="shared" si="112"/>
        <v>48351.588163509143</v>
      </c>
      <c r="L1789" s="95">
        <f>+VLOOKUP(E1789,MARGEN!A:B,2,FALSE)</f>
        <v>0.1</v>
      </c>
      <c r="M1789" s="112">
        <f t="shared" si="109"/>
        <v>4835.1588163509141</v>
      </c>
      <c r="N1789" s="113">
        <f t="shared" si="110"/>
        <v>193.40635265403657</v>
      </c>
      <c r="O1789" s="113">
        <f t="shared" si="111"/>
        <v>43323.022994504194</v>
      </c>
    </row>
    <row r="1790" spans="1:15" x14ac:dyDescent="0.25">
      <c r="A1790" s="13">
        <v>44440</v>
      </c>
      <c r="B1790" s="97">
        <v>1871</v>
      </c>
      <c r="C1790" t="s">
        <v>125</v>
      </c>
      <c r="D1790" s="94" t="s">
        <v>341</v>
      </c>
      <c r="E1790" t="s">
        <v>17</v>
      </c>
      <c r="F1790" t="s">
        <v>558</v>
      </c>
      <c r="G1790" s="50" t="s">
        <v>559</v>
      </c>
      <c r="H1790" s="50">
        <v>2</v>
      </c>
      <c r="I1790" s="100">
        <v>6.7391919697301583</v>
      </c>
      <c r="J1790" s="52">
        <v>3834.68</v>
      </c>
      <c r="K1790" s="67">
        <f t="shared" si="112"/>
        <v>48351.588163509143</v>
      </c>
      <c r="L1790" s="95">
        <f>+VLOOKUP(E1790,MARGEN!A:B,2,FALSE)</f>
        <v>0.1</v>
      </c>
      <c r="M1790" s="112">
        <f t="shared" si="109"/>
        <v>4835.1588163509141</v>
      </c>
      <c r="N1790" s="113">
        <f t="shared" si="110"/>
        <v>193.40635265403657</v>
      </c>
      <c r="O1790" s="113">
        <f t="shared" si="111"/>
        <v>43323.022994504194</v>
      </c>
    </row>
    <row r="1791" spans="1:15" x14ac:dyDescent="0.25">
      <c r="A1791" s="13">
        <v>44440</v>
      </c>
      <c r="B1791" s="97">
        <v>1775</v>
      </c>
      <c r="C1791" t="s">
        <v>311</v>
      </c>
      <c r="D1791" s="94" t="s">
        <v>541</v>
      </c>
      <c r="E1791" t="s">
        <v>17</v>
      </c>
      <c r="F1791" t="s">
        <v>558</v>
      </c>
      <c r="G1791" s="50" t="s">
        <v>559</v>
      </c>
      <c r="H1791" s="50">
        <v>2</v>
      </c>
      <c r="I1791" s="100">
        <v>6.7391919697301583</v>
      </c>
      <c r="J1791" s="52">
        <v>3834.68</v>
      </c>
      <c r="K1791" s="67">
        <f t="shared" si="112"/>
        <v>45870.694275910595</v>
      </c>
      <c r="L1791" s="95">
        <f>+VLOOKUP(E1791,MARGEN!A:B,2,FALSE)</f>
        <v>0.1</v>
      </c>
      <c r="M1791" s="112">
        <f t="shared" si="109"/>
        <v>4587.06942759106</v>
      </c>
      <c r="N1791" s="113">
        <f t="shared" si="110"/>
        <v>183.48277710364238</v>
      </c>
      <c r="O1791" s="113">
        <f t="shared" si="111"/>
        <v>41100.142071215894</v>
      </c>
    </row>
    <row r="1792" spans="1:15" x14ac:dyDescent="0.25">
      <c r="A1792" s="13">
        <v>44440</v>
      </c>
      <c r="B1792" s="97">
        <v>1727</v>
      </c>
      <c r="C1792" t="s">
        <v>188</v>
      </c>
      <c r="D1792" s="94" t="s">
        <v>397</v>
      </c>
      <c r="E1792" t="s">
        <v>17</v>
      </c>
      <c r="F1792" t="s">
        <v>558</v>
      </c>
      <c r="G1792" s="50" t="s">
        <v>559</v>
      </c>
      <c r="H1792" s="50">
        <v>2</v>
      </c>
      <c r="I1792" s="100">
        <v>6.7391919697301583</v>
      </c>
      <c r="J1792" s="52">
        <v>3834.68</v>
      </c>
      <c r="K1792" s="67">
        <f t="shared" si="112"/>
        <v>44630.247332111321</v>
      </c>
      <c r="L1792" s="95">
        <f>+VLOOKUP(E1792,MARGEN!A:B,2,FALSE)</f>
        <v>0.1</v>
      </c>
      <c r="M1792" s="112">
        <f t="shared" si="109"/>
        <v>4463.0247332111321</v>
      </c>
      <c r="N1792" s="113">
        <f t="shared" si="110"/>
        <v>178.5209893284453</v>
      </c>
      <c r="O1792" s="113">
        <f t="shared" si="111"/>
        <v>39988.701609571741</v>
      </c>
    </row>
    <row r="1793" spans="1:15" x14ac:dyDescent="0.25">
      <c r="A1793" s="13">
        <v>44440</v>
      </c>
      <c r="B1793" s="97">
        <v>1727</v>
      </c>
      <c r="C1793" t="s">
        <v>174</v>
      </c>
      <c r="D1793" s="94" t="s">
        <v>395</v>
      </c>
      <c r="E1793" t="s">
        <v>17</v>
      </c>
      <c r="F1793" t="s">
        <v>558</v>
      </c>
      <c r="G1793" s="50" t="s">
        <v>559</v>
      </c>
      <c r="H1793" s="50">
        <v>2</v>
      </c>
      <c r="I1793" s="100">
        <v>6.7391919697301583</v>
      </c>
      <c r="J1793" s="52">
        <v>3834.68</v>
      </c>
      <c r="K1793" s="67">
        <f t="shared" si="112"/>
        <v>44630.247332111321</v>
      </c>
      <c r="L1793" s="95">
        <f>+VLOOKUP(E1793,MARGEN!A:B,2,FALSE)</f>
        <v>0.1</v>
      </c>
      <c r="M1793" s="112">
        <f t="shared" si="109"/>
        <v>4463.0247332111321</v>
      </c>
      <c r="N1793" s="113">
        <f t="shared" si="110"/>
        <v>178.5209893284453</v>
      </c>
      <c r="O1793" s="113">
        <f t="shared" si="111"/>
        <v>39988.701609571741</v>
      </c>
    </row>
    <row r="1794" spans="1:15" x14ac:dyDescent="0.25">
      <c r="A1794" s="13">
        <v>44440</v>
      </c>
      <c r="B1794" s="97">
        <v>1727</v>
      </c>
      <c r="C1794" t="s">
        <v>170</v>
      </c>
      <c r="D1794" s="94" t="s">
        <v>437</v>
      </c>
      <c r="E1794" t="s">
        <v>17</v>
      </c>
      <c r="F1794" t="s">
        <v>558</v>
      </c>
      <c r="G1794" s="50" t="s">
        <v>559</v>
      </c>
      <c r="H1794" s="50">
        <v>2</v>
      </c>
      <c r="I1794" s="100">
        <v>6.7391919697301583</v>
      </c>
      <c r="J1794" s="52">
        <v>3834.68</v>
      </c>
      <c r="K1794" s="67">
        <f t="shared" si="112"/>
        <v>44630.247332111321</v>
      </c>
      <c r="L1794" s="95">
        <f>+VLOOKUP(E1794,MARGEN!A:B,2,FALSE)</f>
        <v>0.1</v>
      </c>
      <c r="M1794" s="112">
        <f t="shared" si="109"/>
        <v>4463.0247332111321</v>
      </c>
      <c r="N1794" s="113">
        <f t="shared" si="110"/>
        <v>178.5209893284453</v>
      </c>
      <c r="O1794" s="113">
        <f t="shared" si="111"/>
        <v>39988.701609571741</v>
      </c>
    </row>
    <row r="1795" spans="1:15" x14ac:dyDescent="0.25">
      <c r="A1795" s="13">
        <v>44440</v>
      </c>
      <c r="B1795" s="97">
        <v>1703</v>
      </c>
      <c r="C1795" t="s">
        <v>120</v>
      </c>
      <c r="D1795" s="94" t="s">
        <v>452</v>
      </c>
      <c r="E1795" t="s">
        <v>17</v>
      </c>
      <c r="F1795" t="s">
        <v>558</v>
      </c>
      <c r="G1795" s="50" t="s">
        <v>559</v>
      </c>
      <c r="H1795" s="50">
        <v>2</v>
      </c>
      <c r="I1795" s="100">
        <v>6.7391919697301583</v>
      </c>
      <c r="J1795" s="52">
        <v>3834.68</v>
      </c>
      <c r="K1795" s="67">
        <f t="shared" si="112"/>
        <v>44010.023860211688</v>
      </c>
      <c r="L1795" s="95">
        <f>+VLOOKUP(E1795,MARGEN!A:B,2,FALSE)</f>
        <v>0.1</v>
      </c>
      <c r="M1795" s="112">
        <f t="shared" ref="M1795:M1858" si="113">+K1795*L1795</f>
        <v>4401.0023860211686</v>
      </c>
      <c r="N1795" s="113">
        <f t="shared" ref="N1795:N1858" si="114">+K1795*4/1000</f>
        <v>176.04009544084676</v>
      </c>
      <c r="O1795" s="113">
        <f t="shared" ref="O1795:O1858" si="115">+K1795-M1795-N1795</f>
        <v>39432.981378749675</v>
      </c>
    </row>
    <row r="1796" spans="1:15" x14ac:dyDescent="0.25">
      <c r="A1796" s="13">
        <v>44440</v>
      </c>
      <c r="B1796" s="97">
        <v>1703</v>
      </c>
      <c r="C1796" t="s">
        <v>296</v>
      </c>
      <c r="D1796" s="94" t="s">
        <v>498</v>
      </c>
      <c r="E1796" t="s">
        <v>17</v>
      </c>
      <c r="F1796" t="s">
        <v>558</v>
      </c>
      <c r="G1796" s="50" t="s">
        <v>559</v>
      </c>
      <c r="H1796" s="50">
        <v>2</v>
      </c>
      <c r="I1796" s="100">
        <v>6.7391919697301583</v>
      </c>
      <c r="J1796" s="52">
        <v>3834.68</v>
      </c>
      <c r="K1796" s="67">
        <f t="shared" si="112"/>
        <v>44010.023860211688</v>
      </c>
      <c r="L1796" s="95">
        <f>+VLOOKUP(E1796,MARGEN!A:B,2,FALSE)</f>
        <v>0.1</v>
      </c>
      <c r="M1796" s="112">
        <f t="shared" si="113"/>
        <v>4401.0023860211686</v>
      </c>
      <c r="N1796" s="113">
        <f t="shared" si="114"/>
        <v>176.04009544084676</v>
      </c>
      <c r="O1796" s="113">
        <f t="shared" si="115"/>
        <v>39432.981378749675</v>
      </c>
    </row>
    <row r="1797" spans="1:15" x14ac:dyDescent="0.25">
      <c r="A1797" s="13">
        <v>44440</v>
      </c>
      <c r="B1797" s="97">
        <v>1679</v>
      </c>
      <c r="C1797" t="s">
        <v>194</v>
      </c>
      <c r="D1797" s="94" t="s">
        <v>417</v>
      </c>
      <c r="E1797" t="s">
        <v>17</v>
      </c>
      <c r="F1797" t="s">
        <v>558</v>
      </c>
      <c r="G1797" s="50" t="s">
        <v>559</v>
      </c>
      <c r="H1797" s="50">
        <v>2</v>
      </c>
      <c r="I1797" s="100">
        <v>6.7391919697301583</v>
      </c>
      <c r="J1797" s="52">
        <v>3834.68</v>
      </c>
      <c r="K1797" s="67">
        <f t="shared" si="112"/>
        <v>43389.800388312047</v>
      </c>
      <c r="L1797" s="95">
        <f>+VLOOKUP(E1797,MARGEN!A:B,2,FALSE)</f>
        <v>0.1</v>
      </c>
      <c r="M1797" s="112">
        <f t="shared" si="113"/>
        <v>4338.9800388312051</v>
      </c>
      <c r="N1797" s="113">
        <f t="shared" si="114"/>
        <v>173.55920155324819</v>
      </c>
      <c r="O1797" s="113">
        <f t="shared" si="115"/>
        <v>38877.261147927595</v>
      </c>
    </row>
    <row r="1798" spans="1:15" x14ac:dyDescent="0.25">
      <c r="A1798" s="13">
        <v>44440</v>
      </c>
      <c r="B1798" s="97">
        <v>1679</v>
      </c>
      <c r="C1798" t="s">
        <v>287</v>
      </c>
      <c r="D1798" s="94" t="s">
        <v>496</v>
      </c>
      <c r="E1798" t="s">
        <v>17</v>
      </c>
      <c r="F1798" t="s">
        <v>558</v>
      </c>
      <c r="G1798" s="50" t="s">
        <v>559</v>
      </c>
      <c r="H1798" s="50">
        <v>2</v>
      </c>
      <c r="I1798" s="100">
        <v>6.7391919697301583</v>
      </c>
      <c r="J1798" s="52">
        <v>3834.68</v>
      </c>
      <c r="K1798" s="67">
        <f t="shared" si="112"/>
        <v>43389.800388312047</v>
      </c>
      <c r="L1798" s="95">
        <f>+VLOOKUP(E1798,MARGEN!A:B,2,FALSE)</f>
        <v>0.1</v>
      </c>
      <c r="M1798" s="112">
        <f t="shared" si="113"/>
        <v>4338.9800388312051</v>
      </c>
      <c r="N1798" s="113">
        <f t="shared" si="114"/>
        <v>173.55920155324819</v>
      </c>
      <c r="O1798" s="113">
        <f t="shared" si="115"/>
        <v>38877.261147927595</v>
      </c>
    </row>
    <row r="1799" spans="1:15" x14ac:dyDescent="0.25">
      <c r="A1799" s="13">
        <v>44440</v>
      </c>
      <c r="B1799" s="97">
        <v>1679</v>
      </c>
      <c r="C1799" t="s">
        <v>175</v>
      </c>
      <c r="D1799" s="94" t="s">
        <v>432</v>
      </c>
      <c r="E1799" t="s">
        <v>17</v>
      </c>
      <c r="F1799" t="s">
        <v>558</v>
      </c>
      <c r="G1799" s="50" t="s">
        <v>559</v>
      </c>
      <c r="H1799" s="50">
        <v>2</v>
      </c>
      <c r="I1799" s="100">
        <v>6.7391919697301583</v>
      </c>
      <c r="J1799" s="52">
        <v>3834.68</v>
      </c>
      <c r="K1799" s="67">
        <f t="shared" si="112"/>
        <v>43389.800388312047</v>
      </c>
      <c r="L1799" s="95">
        <f>+VLOOKUP(E1799,MARGEN!A:B,2,FALSE)</f>
        <v>0.1</v>
      </c>
      <c r="M1799" s="112">
        <f t="shared" si="113"/>
        <v>4338.9800388312051</v>
      </c>
      <c r="N1799" s="113">
        <f t="shared" si="114"/>
        <v>173.55920155324819</v>
      </c>
      <c r="O1799" s="113">
        <f t="shared" si="115"/>
        <v>38877.261147927595</v>
      </c>
    </row>
    <row r="1800" spans="1:15" x14ac:dyDescent="0.25">
      <c r="A1800" s="13">
        <v>44440</v>
      </c>
      <c r="B1800" s="97">
        <v>1679</v>
      </c>
      <c r="C1800" t="s">
        <v>121</v>
      </c>
      <c r="D1800" s="94" t="s">
        <v>381</v>
      </c>
      <c r="E1800" t="s">
        <v>17</v>
      </c>
      <c r="F1800" t="s">
        <v>558</v>
      </c>
      <c r="G1800" s="50" t="s">
        <v>559</v>
      </c>
      <c r="H1800" s="50">
        <v>2</v>
      </c>
      <c r="I1800" s="100">
        <v>6.7391919697301583</v>
      </c>
      <c r="J1800" s="52">
        <v>3834.68</v>
      </c>
      <c r="K1800" s="67">
        <f t="shared" si="112"/>
        <v>43389.800388312047</v>
      </c>
      <c r="L1800" s="95">
        <f>+VLOOKUP(E1800,MARGEN!A:B,2,FALSE)</f>
        <v>0.1</v>
      </c>
      <c r="M1800" s="112">
        <f t="shared" si="113"/>
        <v>4338.9800388312051</v>
      </c>
      <c r="N1800" s="113">
        <f t="shared" si="114"/>
        <v>173.55920155324819</v>
      </c>
      <c r="O1800" s="113">
        <f t="shared" si="115"/>
        <v>38877.261147927595</v>
      </c>
    </row>
    <row r="1801" spans="1:15" x14ac:dyDescent="0.25">
      <c r="A1801" s="13">
        <v>44440</v>
      </c>
      <c r="B1801" s="97">
        <v>1631</v>
      </c>
      <c r="C1801" t="s">
        <v>196</v>
      </c>
      <c r="D1801" s="94" t="s">
        <v>413</v>
      </c>
      <c r="E1801" t="s">
        <v>17</v>
      </c>
      <c r="F1801" t="s">
        <v>558</v>
      </c>
      <c r="G1801" s="50" t="s">
        <v>559</v>
      </c>
      <c r="H1801" s="50">
        <v>2</v>
      </c>
      <c r="I1801" s="100">
        <v>6.7391919697301583</v>
      </c>
      <c r="J1801" s="52">
        <v>3834.68</v>
      </c>
      <c r="K1801" s="67">
        <f t="shared" ref="K1801:K1864" si="116">+B1801*I1801*J1801/1000</f>
        <v>42149.353444512773</v>
      </c>
      <c r="L1801" s="95">
        <f>+VLOOKUP(E1801,MARGEN!A:B,2,FALSE)</f>
        <v>0.1</v>
      </c>
      <c r="M1801" s="112">
        <f t="shared" si="113"/>
        <v>4214.9353444512772</v>
      </c>
      <c r="N1801" s="113">
        <f t="shared" si="114"/>
        <v>168.59741377805111</v>
      </c>
      <c r="O1801" s="113">
        <f t="shared" si="115"/>
        <v>37765.820686283449</v>
      </c>
    </row>
    <row r="1802" spans="1:15" x14ac:dyDescent="0.25">
      <c r="A1802" s="13">
        <v>44440</v>
      </c>
      <c r="B1802" s="51">
        <v>1631</v>
      </c>
      <c r="C1802" s="66" t="s">
        <v>209</v>
      </c>
      <c r="D1802" s="66" t="s">
        <v>441</v>
      </c>
      <c r="E1802" t="s">
        <v>17</v>
      </c>
      <c r="F1802" s="50" t="s">
        <v>558</v>
      </c>
      <c r="G1802" s="50" t="s">
        <v>559</v>
      </c>
      <c r="H1802" s="50">
        <v>2</v>
      </c>
      <c r="I1802" s="100">
        <v>6.7391919697301583</v>
      </c>
      <c r="J1802" s="52">
        <v>3834.68</v>
      </c>
      <c r="K1802" s="67">
        <f t="shared" si="116"/>
        <v>42149.353444512773</v>
      </c>
      <c r="L1802" s="95">
        <f>+VLOOKUP(E1802,MARGEN!A:B,2,FALSE)</f>
        <v>0.1</v>
      </c>
      <c r="M1802" s="112">
        <f t="shared" si="113"/>
        <v>4214.9353444512772</v>
      </c>
      <c r="N1802" s="113">
        <f t="shared" si="114"/>
        <v>168.59741377805111</v>
      </c>
      <c r="O1802" s="113">
        <f t="shared" si="115"/>
        <v>37765.820686283449</v>
      </c>
    </row>
    <row r="1803" spans="1:15" x14ac:dyDescent="0.25">
      <c r="A1803" s="13">
        <v>44440</v>
      </c>
      <c r="B1803" s="97">
        <v>1559</v>
      </c>
      <c r="C1803" t="s">
        <v>176</v>
      </c>
      <c r="D1803" s="94" t="s">
        <v>430</v>
      </c>
      <c r="E1803" t="s">
        <v>17</v>
      </c>
      <c r="F1803" t="s">
        <v>558</v>
      </c>
      <c r="G1803" s="50" t="s">
        <v>559</v>
      </c>
      <c r="H1803" s="50">
        <v>2</v>
      </c>
      <c r="I1803" s="100">
        <v>6.7391919697301583</v>
      </c>
      <c r="J1803" s="52">
        <v>3834.68</v>
      </c>
      <c r="K1803" s="67">
        <f t="shared" si="116"/>
        <v>40288.683028813866</v>
      </c>
      <c r="L1803" s="95">
        <f>+VLOOKUP(E1803,MARGEN!A:B,2,FALSE)</f>
        <v>0.1</v>
      </c>
      <c r="M1803" s="112">
        <f t="shared" si="113"/>
        <v>4028.8683028813866</v>
      </c>
      <c r="N1803" s="113">
        <f t="shared" si="114"/>
        <v>161.15473211525546</v>
      </c>
      <c r="O1803" s="113">
        <f t="shared" si="115"/>
        <v>36098.659993817222</v>
      </c>
    </row>
    <row r="1804" spans="1:15" x14ac:dyDescent="0.25">
      <c r="A1804" s="13">
        <v>44440</v>
      </c>
      <c r="B1804" s="97">
        <v>1511</v>
      </c>
      <c r="C1804" t="s">
        <v>119</v>
      </c>
      <c r="D1804" s="94" t="s">
        <v>377</v>
      </c>
      <c r="E1804" t="s">
        <v>17</v>
      </c>
      <c r="F1804" t="s">
        <v>558</v>
      </c>
      <c r="G1804" s="50" t="s">
        <v>559</v>
      </c>
      <c r="H1804" s="50">
        <v>2</v>
      </c>
      <c r="I1804" s="100">
        <v>6.7391919697301583</v>
      </c>
      <c r="J1804" s="52">
        <v>3834.68</v>
      </c>
      <c r="K1804" s="67">
        <f t="shared" si="116"/>
        <v>39048.2360850146</v>
      </c>
      <c r="L1804" s="95">
        <f>+VLOOKUP(E1804,MARGEN!A:B,2,FALSE)</f>
        <v>0.1</v>
      </c>
      <c r="M1804" s="112">
        <f t="shared" si="113"/>
        <v>3904.8236085014601</v>
      </c>
      <c r="N1804" s="113">
        <f t="shared" si="114"/>
        <v>156.1929443400584</v>
      </c>
      <c r="O1804" s="113">
        <f t="shared" si="115"/>
        <v>34987.219532173083</v>
      </c>
    </row>
    <row r="1805" spans="1:15" x14ac:dyDescent="0.25">
      <c r="A1805" s="13">
        <v>44440</v>
      </c>
      <c r="B1805" s="97">
        <v>1511</v>
      </c>
      <c r="C1805" t="s">
        <v>291</v>
      </c>
      <c r="D1805" s="94" t="s">
        <v>492</v>
      </c>
      <c r="E1805" t="s">
        <v>17</v>
      </c>
      <c r="F1805" t="s">
        <v>558</v>
      </c>
      <c r="G1805" s="50" t="s">
        <v>559</v>
      </c>
      <c r="H1805" s="50">
        <v>2</v>
      </c>
      <c r="I1805" s="100">
        <v>6.7391919697301583</v>
      </c>
      <c r="J1805" s="52">
        <v>3834.68</v>
      </c>
      <c r="K1805" s="67">
        <f t="shared" si="116"/>
        <v>39048.2360850146</v>
      </c>
      <c r="L1805" s="95">
        <f>+VLOOKUP(E1805,MARGEN!A:B,2,FALSE)</f>
        <v>0.1</v>
      </c>
      <c r="M1805" s="112">
        <f t="shared" si="113"/>
        <v>3904.8236085014601</v>
      </c>
      <c r="N1805" s="113">
        <f t="shared" si="114"/>
        <v>156.1929443400584</v>
      </c>
      <c r="O1805" s="113">
        <f t="shared" si="115"/>
        <v>34987.219532173083</v>
      </c>
    </row>
    <row r="1806" spans="1:15" x14ac:dyDescent="0.25">
      <c r="A1806" s="13">
        <v>44440</v>
      </c>
      <c r="B1806" s="97">
        <v>1439</v>
      </c>
      <c r="C1806" t="s">
        <v>168</v>
      </c>
      <c r="D1806" s="94" t="s">
        <v>352</v>
      </c>
      <c r="E1806" t="s">
        <v>17</v>
      </c>
      <c r="F1806" t="s">
        <v>558</v>
      </c>
      <c r="G1806" s="50" t="s">
        <v>559</v>
      </c>
      <c r="H1806" s="50">
        <v>2</v>
      </c>
      <c r="I1806" s="100">
        <v>6.7391919697301583</v>
      </c>
      <c r="J1806" s="52">
        <v>3834.68</v>
      </c>
      <c r="K1806" s="67">
        <f t="shared" si="116"/>
        <v>37187.565669315685</v>
      </c>
      <c r="L1806" s="95">
        <f>+VLOOKUP(E1806,MARGEN!A:B,2,FALSE)</f>
        <v>0.1</v>
      </c>
      <c r="M1806" s="112">
        <f t="shared" si="113"/>
        <v>3718.7565669315686</v>
      </c>
      <c r="N1806" s="113">
        <f t="shared" si="114"/>
        <v>148.75026267726275</v>
      </c>
      <c r="O1806" s="113">
        <f t="shared" si="115"/>
        <v>33320.058839706857</v>
      </c>
    </row>
    <row r="1807" spans="1:15" x14ac:dyDescent="0.25">
      <c r="A1807" s="13">
        <v>44440</v>
      </c>
      <c r="B1807" s="97">
        <v>1367</v>
      </c>
      <c r="C1807" t="s">
        <v>173</v>
      </c>
      <c r="D1807" s="94" t="s">
        <v>451</v>
      </c>
      <c r="E1807" t="s">
        <v>17</v>
      </c>
      <c r="F1807" t="s">
        <v>558</v>
      </c>
      <c r="G1807" s="50" t="s">
        <v>559</v>
      </c>
      <c r="H1807" s="50">
        <v>2</v>
      </c>
      <c r="I1807" s="100">
        <v>6.7391919697301583</v>
      </c>
      <c r="J1807" s="52">
        <v>3834.68</v>
      </c>
      <c r="K1807" s="67">
        <f t="shared" si="116"/>
        <v>35326.895253616778</v>
      </c>
      <c r="L1807" s="95">
        <f>+VLOOKUP(E1807,MARGEN!A:B,2,FALSE)</f>
        <v>0.1</v>
      </c>
      <c r="M1807" s="112">
        <f t="shared" si="113"/>
        <v>3532.6895253616781</v>
      </c>
      <c r="N1807" s="113">
        <f t="shared" si="114"/>
        <v>141.3075810144671</v>
      </c>
      <c r="O1807" s="113">
        <f t="shared" si="115"/>
        <v>31652.898147240634</v>
      </c>
    </row>
    <row r="1808" spans="1:15" x14ac:dyDescent="0.25">
      <c r="A1808" s="13">
        <v>44440</v>
      </c>
      <c r="B1808" s="97">
        <v>1343</v>
      </c>
      <c r="C1808" t="s">
        <v>292</v>
      </c>
      <c r="D1808" s="94" t="s">
        <v>535</v>
      </c>
      <c r="E1808" t="s">
        <v>17</v>
      </c>
      <c r="F1808" t="s">
        <v>558</v>
      </c>
      <c r="G1808" s="50" t="s">
        <v>559</v>
      </c>
      <c r="H1808" s="50">
        <v>2</v>
      </c>
      <c r="I1808" s="100">
        <v>6.7391919697301583</v>
      </c>
      <c r="J1808" s="52">
        <v>3834.68</v>
      </c>
      <c r="K1808" s="67">
        <f t="shared" si="116"/>
        <v>34706.671781717145</v>
      </c>
      <c r="L1808" s="95">
        <f>+VLOOKUP(E1808,MARGEN!A:B,2,FALSE)</f>
        <v>0.1</v>
      </c>
      <c r="M1808" s="112">
        <f t="shared" si="113"/>
        <v>3470.6671781717146</v>
      </c>
      <c r="N1808" s="113">
        <f t="shared" si="114"/>
        <v>138.82668712686859</v>
      </c>
      <c r="O1808" s="113">
        <f t="shared" si="115"/>
        <v>31097.177916418561</v>
      </c>
    </row>
    <row r="1809" spans="1:15" x14ac:dyDescent="0.25">
      <c r="A1809" s="13">
        <v>44440</v>
      </c>
      <c r="B1809" s="97">
        <v>1319</v>
      </c>
      <c r="C1809" t="s">
        <v>141</v>
      </c>
      <c r="D1809" s="94" t="s">
        <v>450</v>
      </c>
      <c r="E1809" t="s">
        <v>17</v>
      </c>
      <c r="F1809" t="s">
        <v>558</v>
      </c>
      <c r="G1809" s="50" t="s">
        <v>559</v>
      </c>
      <c r="H1809" s="50">
        <v>2</v>
      </c>
      <c r="I1809" s="100">
        <v>6.7391919697301583</v>
      </c>
      <c r="J1809" s="52">
        <v>3834.68</v>
      </c>
      <c r="K1809" s="67">
        <f t="shared" si="116"/>
        <v>34086.448309817511</v>
      </c>
      <c r="L1809" s="95">
        <f>+VLOOKUP(E1809,MARGEN!A:B,2,FALSE)</f>
        <v>0.1</v>
      </c>
      <c r="M1809" s="112">
        <f t="shared" si="113"/>
        <v>3408.6448309817515</v>
      </c>
      <c r="N1809" s="113">
        <f t="shared" si="114"/>
        <v>136.34579323927005</v>
      </c>
      <c r="O1809" s="113">
        <f t="shared" si="115"/>
        <v>30541.457685596492</v>
      </c>
    </row>
    <row r="1810" spans="1:15" x14ac:dyDescent="0.25">
      <c r="A1810" s="13">
        <v>44440</v>
      </c>
      <c r="B1810" s="97">
        <v>1319</v>
      </c>
      <c r="C1810" t="s">
        <v>118</v>
      </c>
      <c r="D1810" s="94" t="s">
        <v>329</v>
      </c>
      <c r="E1810" t="s">
        <v>17</v>
      </c>
      <c r="F1810" t="s">
        <v>558</v>
      </c>
      <c r="G1810" s="50" t="s">
        <v>559</v>
      </c>
      <c r="H1810" s="50">
        <v>2</v>
      </c>
      <c r="I1810" s="100">
        <v>6.7391919697301583</v>
      </c>
      <c r="J1810" s="52">
        <v>3834.68</v>
      </c>
      <c r="K1810" s="67">
        <f t="shared" si="116"/>
        <v>34086.448309817511</v>
      </c>
      <c r="L1810" s="95">
        <f>+VLOOKUP(E1810,MARGEN!A:B,2,FALSE)</f>
        <v>0.1</v>
      </c>
      <c r="M1810" s="112">
        <f t="shared" si="113"/>
        <v>3408.6448309817515</v>
      </c>
      <c r="N1810" s="113">
        <f t="shared" si="114"/>
        <v>136.34579323927005</v>
      </c>
      <c r="O1810" s="113">
        <f t="shared" si="115"/>
        <v>30541.457685596492</v>
      </c>
    </row>
    <row r="1811" spans="1:15" x14ac:dyDescent="0.25">
      <c r="A1811" s="13">
        <v>44440</v>
      </c>
      <c r="B1811" s="97">
        <v>1295</v>
      </c>
      <c r="C1811" t="s">
        <v>302</v>
      </c>
      <c r="D1811" s="94" t="s">
        <v>538</v>
      </c>
      <c r="E1811" t="s">
        <v>17</v>
      </c>
      <c r="F1811" t="s">
        <v>558</v>
      </c>
      <c r="G1811" s="50" t="s">
        <v>559</v>
      </c>
      <c r="H1811" s="50">
        <v>2</v>
      </c>
      <c r="I1811" s="100">
        <v>6.7391919697301583</v>
      </c>
      <c r="J1811" s="52">
        <v>3834.68</v>
      </c>
      <c r="K1811" s="67">
        <f t="shared" si="116"/>
        <v>33466.224837917871</v>
      </c>
      <c r="L1811" s="95">
        <f>+VLOOKUP(E1811,MARGEN!A:B,2,FALSE)</f>
        <v>0.1</v>
      </c>
      <c r="M1811" s="112">
        <f t="shared" si="113"/>
        <v>3346.6224837917871</v>
      </c>
      <c r="N1811" s="113">
        <f t="shared" si="114"/>
        <v>133.86489935167148</v>
      </c>
      <c r="O1811" s="113">
        <f t="shared" si="115"/>
        <v>29985.737454774411</v>
      </c>
    </row>
    <row r="1812" spans="1:15" x14ac:dyDescent="0.25">
      <c r="A1812" s="13">
        <v>44440</v>
      </c>
      <c r="B1812" s="97">
        <v>1295</v>
      </c>
      <c r="C1812" t="s">
        <v>298</v>
      </c>
      <c r="D1812" s="94" t="s">
        <v>536</v>
      </c>
      <c r="E1812" t="s">
        <v>17</v>
      </c>
      <c r="F1812" t="s">
        <v>558</v>
      </c>
      <c r="G1812" s="50" t="s">
        <v>559</v>
      </c>
      <c r="H1812" s="50">
        <v>2</v>
      </c>
      <c r="I1812" s="100">
        <v>6.7391919697301583</v>
      </c>
      <c r="J1812" s="52">
        <v>3834.68</v>
      </c>
      <c r="K1812" s="67">
        <f t="shared" si="116"/>
        <v>33466.224837917871</v>
      </c>
      <c r="L1812" s="95">
        <f>+VLOOKUP(E1812,MARGEN!A:B,2,FALSE)</f>
        <v>0.1</v>
      </c>
      <c r="M1812" s="112">
        <f t="shared" si="113"/>
        <v>3346.6224837917871</v>
      </c>
      <c r="N1812" s="113">
        <f t="shared" si="114"/>
        <v>133.86489935167148</v>
      </c>
      <c r="O1812" s="113">
        <f t="shared" si="115"/>
        <v>29985.737454774411</v>
      </c>
    </row>
    <row r="1813" spans="1:15" x14ac:dyDescent="0.25">
      <c r="A1813" s="13">
        <v>44440</v>
      </c>
      <c r="B1813" s="97">
        <v>1295</v>
      </c>
      <c r="C1813" t="s">
        <v>183</v>
      </c>
      <c r="D1813" s="94" t="s">
        <v>390</v>
      </c>
      <c r="E1813" t="s">
        <v>17</v>
      </c>
      <c r="F1813" t="s">
        <v>558</v>
      </c>
      <c r="G1813" s="50" t="s">
        <v>559</v>
      </c>
      <c r="H1813" s="50">
        <v>2</v>
      </c>
      <c r="I1813" s="100">
        <v>6.7391919697301583</v>
      </c>
      <c r="J1813" s="52">
        <v>3834.68</v>
      </c>
      <c r="K1813" s="67">
        <f t="shared" si="116"/>
        <v>33466.224837917871</v>
      </c>
      <c r="L1813" s="95">
        <f>+VLOOKUP(E1813,MARGEN!A:B,2,FALSE)</f>
        <v>0.1</v>
      </c>
      <c r="M1813" s="112">
        <f t="shared" si="113"/>
        <v>3346.6224837917871</v>
      </c>
      <c r="N1813" s="113">
        <f t="shared" si="114"/>
        <v>133.86489935167148</v>
      </c>
      <c r="O1813" s="113">
        <f t="shared" si="115"/>
        <v>29985.737454774411</v>
      </c>
    </row>
    <row r="1814" spans="1:15" x14ac:dyDescent="0.25">
      <c r="A1814" s="13">
        <v>44440</v>
      </c>
      <c r="B1814" s="97">
        <v>1151</v>
      </c>
      <c r="C1814" t="s">
        <v>184</v>
      </c>
      <c r="D1814" s="94" t="s">
        <v>443</v>
      </c>
      <c r="E1814" t="s">
        <v>17</v>
      </c>
      <c r="F1814" t="s">
        <v>558</v>
      </c>
      <c r="G1814" s="50" t="s">
        <v>559</v>
      </c>
      <c r="H1814" s="50">
        <v>2</v>
      </c>
      <c r="I1814" s="100">
        <v>6.7391919697301583</v>
      </c>
      <c r="J1814" s="52">
        <v>3834.68</v>
      </c>
      <c r="K1814" s="67">
        <f t="shared" si="116"/>
        <v>29744.884006520053</v>
      </c>
      <c r="L1814" s="95">
        <f>+VLOOKUP(E1814,MARGEN!A:B,2,FALSE)</f>
        <v>0.1</v>
      </c>
      <c r="M1814" s="112">
        <f t="shared" si="113"/>
        <v>2974.4884006520056</v>
      </c>
      <c r="N1814" s="113">
        <f t="shared" si="114"/>
        <v>118.97953602608021</v>
      </c>
      <c r="O1814" s="113">
        <f t="shared" si="115"/>
        <v>26651.416069841969</v>
      </c>
    </row>
    <row r="1815" spans="1:15" x14ac:dyDescent="0.25">
      <c r="A1815" s="13">
        <v>44440</v>
      </c>
      <c r="B1815" s="97">
        <v>911</v>
      </c>
      <c r="C1815" t="s">
        <v>182</v>
      </c>
      <c r="D1815" s="94" t="s">
        <v>455</v>
      </c>
      <c r="E1815" t="s">
        <v>17</v>
      </c>
      <c r="F1815" t="s">
        <v>558</v>
      </c>
      <c r="G1815" s="50" t="s">
        <v>559</v>
      </c>
      <c r="H1815" s="50">
        <v>2</v>
      </c>
      <c r="I1815" s="100">
        <v>6.7391919697301583</v>
      </c>
      <c r="J1815" s="52">
        <v>3834.68</v>
      </c>
      <c r="K1815" s="67">
        <f t="shared" si="116"/>
        <v>23542.649287523691</v>
      </c>
      <c r="L1815" s="95">
        <f>+VLOOKUP(E1815,MARGEN!A:B,2,FALSE)</f>
        <v>0.1</v>
      </c>
      <c r="M1815" s="112">
        <f t="shared" si="113"/>
        <v>2354.2649287523691</v>
      </c>
      <c r="N1815" s="113">
        <f t="shared" si="114"/>
        <v>94.170597150094764</v>
      </c>
      <c r="O1815" s="113">
        <f t="shared" si="115"/>
        <v>21094.213761621224</v>
      </c>
    </row>
    <row r="1816" spans="1:15" x14ac:dyDescent="0.25">
      <c r="A1816" s="13">
        <v>44440</v>
      </c>
      <c r="B1816" s="97">
        <v>791</v>
      </c>
      <c r="C1816" t="s">
        <v>307</v>
      </c>
      <c r="D1816" s="94" t="s">
        <v>497</v>
      </c>
      <c r="E1816" t="s">
        <v>17</v>
      </c>
      <c r="F1816" t="s">
        <v>558</v>
      </c>
      <c r="G1816" s="50" t="s">
        <v>559</v>
      </c>
      <c r="H1816" s="50">
        <v>2</v>
      </c>
      <c r="I1816" s="100">
        <v>6.7391919697301583</v>
      </c>
      <c r="J1816" s="52">
        <v>3834.68</v>
      </c>
      <c r="K1816" s="67">
        <f t="shared" si="116"/>
        <v>20441.53192802551</v>
      </c>
      <c r="L1816" s="95">
        <f>+VLOOKUP(E1816,MARGEN!A:B,2,FALSE)</f>
        <v>0.1</v>
      </c>
      <c r="M1816" s="112">
        <f t="shared" si="113"/>
        <v>2044.1531928025511</v>
      </c>
      <c r="N1816" s="113">
        <f t="shared" si="114"/>
        <v>81.766127712102033</v>
      </c>
      <c r="O1816" s="113">
        <f t="shared" si="115"/>
        <v>18315.612607510859</v>
      </c>
    </row>
    <row r="1817" spans="1:15" x14ac:dyDescent="0.25">
      <c r="A1817" s="13">
        <v>44441</v>
      </c>
      <c r="B1817" s="97">
        <v>9350</v>
      </c>
      <c r="C1817" t="s">
        <v>280</v>
      </c>
      <c r="D1817" s="94" t="s">
        <v>457</v>
      </c>
      <c r="E1817" t="s">
        <v>17</v>
      </c>
      <c r="F1817" t="s">
        <v>572</v>
      </c>
      <c r="G1817" s="50" t="s">
        <v>243</v>
      </c>
      <c r="H1817" s="50">
        <v>2</v>
      </c>
      <c r="I1817" s="100">
        <v>6.7391919697301583</v>
      </c>
      <c r="J1817" s="52">
        <v>3834.68</v>
      </c>
      <c r="K1817" s="67">
        <f t="shared" si="116"/>
        <v>241628.72759423326</v>
      </c>
      <c r="L1817" s="95">
        <f>+VLOOKUP(E1817,MARGEN!A:B,2,FALSE)</f>
        <v>0.1</v>
      </c>
      <c r="M1817" s="112">
        <f t="shared" si="113"/>
        <v>24162.872759423328</v>
      </c>
      <c r="N1817" s="113">
        <f t="shared" si="114"/>
        <v>966.51491037693302</v>
      </c>
      <c r="O1817" s="113">
        <f t="shared" si="115"/>
        <v>216499.33992443301</v>
      </c>
    </row>
    <row r="1818" spans="1:15" x14ac:dyDescent="0.25">
      <c r="A1818" s="13">
        <v>44441</v>
      </c>
      <c r="B1818" s="97">
        <v>6761</v>
      </c>
      <c r="C1818" t="s">
        <v>150</v>
      </c>
      <c r="D1818" s="94" t="s">
        <v>357</v>
      </c>
      <c r="E1818" t="s">
        <v>17</v>
      </c>
      <c r="F1818" t="s">
        <v>572</v>
      </c>
      <c r="G1818" s="50" t="s">
        <v>243</v>
      </c>
      <c r="H1818" s="50">
        <v>2</v>
      </c>
      <c r="I1818" s="100">
        <v>6.7391919697301583</v>
      </c>
      <c r="J1818" s="52">
        <v>3834.68</v>
      </c>
      <c r="K1818" s="67">
        <f t="shared" si="116"/>
        <v>174722.12056306002</v>
      </c>
      <c r="L1818" s="95">
        <f>+VLOOKUP(E1818,MARGEN!A:B,2,FALSE)</f>
        <v>0.1</v>
      </c>
      <c r="M1818" s="112">
        <f t="shared" si="113"/>
        <v>17472.212056306002</v>
      </c>
      <c r="N1818" s="113">
        <f t="shared" si="114"/>
        <v>698.88848225224001</v>
      </c>
      <c r="O1818" s="113">
        <f t="shared" si="115"/>
        <v>156551.02002450178</v>
      </c>
    </row>
    <row r="1819" spans="1:15" x14ac:dyDescent="0.25">
      <c r="A1819" s="13">
        <v>44441</v>
      </c>
      <c r="B1819" s="97">
        <v>5975</v>
      </c>
      <c r="C1819" t="s">
        <v>279</v>
      </c>
      <c r="D1819" s="94" t="s">
        <v>493</v>
      </c>
      <c r="E1819" t="s">
        <v>17</v>
      </c>
      <c r="F1819" t="s">
        <v>558</v>
      </c>
      <c r="G1819" s="50" t="s">
        <v>559</v>
      </c>
      <c r="H1819" s="50">
        <v>2</v>
      </c>
      <c r="I1819" s="100">
        <v>6.7391919697301583</v>
      </c>
      <c r="J1819" s="52">
        <v>3834.68</v>
      </c>
      <c r="K1819" s="67">
        <f t="shared" si="116"/>
        <v>154409.80185834694</v>
      </c>
      <c r="L1819" s="95">
        <f>+VLOOKUP(E1819,MARGEN!A:B,2,FALSE)</f>
        <v>0.1</v>
      </c>
      <c r="M1819" s="112">
        <f t="shared" si="113"/>
        <v>15440.980185834695</v>
      </c>
      <c r="N1819" s="113">
        <f t="shared" si="114"/>
        <v>617.63920743338781</v>
      </c>
      <c r="O1819" s="113">
        <f t="shared" si="115"/>
        <v>138351.18246507886</v>
      </c>
    </row>
    <row r="1820" spans="1:15" x14ac:dyDescent="0.25">
      <c r="A1820" s="13">
        <v>44441</v>
      </c>
      <c r="B1820" s="97">
        <v>5303</v>
      </c>
      <c r="C1820" t="s">
        <v>278</v>
      </c>
      <c r="D1820" s="94" t="s">
        <v>453</v>
      </c>
      <c r="E1820" t="s">
        <v>17</v>
      </c>
      <c r="F1820" t="s">
        <v>558</v>
      </c>
      <c r="G1820" s="50" t="s">
        <v>559</v>
      </c>
      <c r="H1820" s="50">
        <v>2</v>
      </c>
      <c r="I1820" s="100">
        <v>6.7391919697301583</v>
      </c>
      <c r="J1820" s="52">
        <v>3834.68</v>
      </c>
      <c r="K1820" s="67">
        <f t="shared" si="116"/>
        <v>137043.54464515712</v>
      </c>
      <c r="L1820" s="95">
        <f>+VLOOKUP(E1820,MARGEN!A:B,2,FALSE)</f>
        <v>0.1</v>
      </c>
      <c r="M1820" s="112">
        <f t="shared" si="113"/>
        <v>13704.354464515713</v>
      </c>
      <c r="N1820" s="113">
        <f t="shared" si="114"/>
        <v>548.17417858062845</v>
      </c>
      <c r="O1820" s="113">
        <f t="shared" si="115"/>
        <v>122791.01600206079</v>
      </c>
    </row>
    <row r="1821" spans="1:15" x14ac:dyDescent="0.25">
      <c r="A1821" s="13">
        <v>44441</v>
      </c>
      <c r="B1821" s="97">
        <v>4631</v>
      </c>
      <c r="C1821" t="s">
        <v>136</v>
      </c>
      <c r="D1821" s="94" t="s">
        <v>359</v>
      </c>
      <c r="E1821" t="s">
        <v>17</v>
      </c>
      <c r="F1821" t="s">
        <v>558</v>
      </c>
      <c r="G1821" s="50" t="s">
        <v>559</v>
      </c>
      <c r="H1821" s="50">
        <v>2</v>
      </c>
      <c r="I1821" s="100">
        <v>6.7391919697301583</v>
      </c>
      <c r="J1821" s="52">
        <v>3834.68</v>
      </c>
      <c r="K1821" s="67">
        <f t="shared" si="116"/>
        <v>119677.28743196731</v>
      </c>
      <c r="L1821" s="95">
        <f>+VLOOKUP(E1821,MARGEN!A:B,2,FALSE)</f>
        <v>0.1</v>
      </c>
      <c r="M1821" s="112">
        <f t="shared" si="113"/>
        <v>11967.728743196732</v>
      </c>
      <c r="N1821" s="113">
        <f t="shared" si="114"/>
        <v>478.70914972786926</v>
      </c>
      <c r="O1821" s="113">
        <f t="shared" si="115"/>
        <v>107230.84953904271</v>
      </c>
    </row>
    <row r="1822" spans="1:15" x14ac:dyDescent="0.25">
      <c r="A1822" s="13">
        <v>44441</v>
      </c>
      <c r="B1822" s="97">
        <v>4271</v>
      </c>
      <c r="C1822" s="88" t="s">
        <v>193</v>
      </c>
      <c r="D1822" t="s">
        <v>380</v>
      </c>
      <c r="E1822" t="s">
        <v>17</v>
      </c>
      <c r="F1822" t="s">
        <v>558</v>
      </c>
      <c r="G1822" s="50" t="s">
        <v>559</v>
      </c>
      <c r="H1822" s="50">
        <v>2</v>
      </c>
      <c r="I1822" s="100">
        <v>6.7391919697301583</v>
      </c>
      <c r="J1822" s="52">
        <v>3834.68</v>
      </c>
      <c r="K1822" s="67">
        <f t="shared" si="116"/>
        <v>110373.93535347277</v>
      </c>
      <c r="L1822" s="95">
        <f>+VLOOKUP(E1822,MARGEN!A:B,2,FALSE)</f>
        <v>0.1</v>
      </c>
      <c r="M1822" s="112">
        <f t="shared" si="113"/>
        <v>11037.393535347277</v>
      </c>
      <c r="N1822" s="113">
        <f t="shared" si="114"/>
        <v>441.4957414138911</v>
      </c>
      <c r="O1822" s="113">
        <f t="shared" si="115"/>
        <v>98895.046076711602</v>
      </c>
    </row>
    <row r="1823" spans="1:15" x14ac:dyDescent="0.25">
      <c r="A1823" s="13">
        <v>44441</v>
      </c>
      <c r="B1823" s="97">
        <v>3887</v>
      </c>
      <c r="C1823" t="s">
        <v>293</v>
      </c>
      <c r="D1823" s="94" t="s">
        <v>499</v>
      </c>
      <c r="E1823" t="s">
        <v>17</v>
      </c>
      <c r="F1823" t="s">
        <v>558</v>
      </c>
      <c r="G1823" s="50" t="s">
        <v>559</v>
      </c>
      <c r="H1823" s="50">
        <v>2</v>
      </c>
      <c r="I1823" s="100">
        <v>6.7391919697301583</v>
      </c>
      <c r="J1823" s="52">
        <v>3834.68</v>
      </c>
      <c r="K1823" s="67">
        <f t="shared" si="116"/>
        <v>100450.35980307858</v>
      </c>
      <c r="L1823" s="95">
        <f>+VLOOKUP(E1823,MARGEN!A:B,2,FALSE)</f>
        <v>0.1</v>
      </c>
      <c r="M1823" s="112">
        <f t="shared" si="113"/>
        <v>10045.035980307859</v>
      </c>
      <c r="N1823" s="113">
        <f t="shared" si="114"/>
        <v>401.80143921231434</v>
      </c>
      <c r="O1823" s="113">
        <f t="shared" si="115"/>
        <v>90003.522383558404</v>
      </c>
    </row>
    <row r="1824" spans="1:15" x14ac:dyDescent="0.25">
      <c r="A1824" s="13">
        <v>44441</v>
      </c>
      <c r="B1824" s="97">
        <v>3788</v>
      </c>
      <c r="C1824" t="s">
        <v>144</v>
      </c>
      <c r="D1824" s="94" t="s">
        <v>343</v>
      </c>
      <c r="E1824" t="s">
        <v>17</v>
      </c>
      <c r="F1824" t="s">
        <v>572</v>
      </c>
      <c r="G1824" s="50" t="s">
        <v>243</v>
      </c>
      <c r="H1824" s="50">
        <v>2</v>
      </c>
      <c r="I1824" s="100">
        <v>6.7391919697301583</v>
      </c>
      <c r="J1824" s="52">
        <v>3834.68</v>
      </c>
      <c r="K1824" s="67">
        <f t="shared" si="116"/>
        <v>97891.937981492592</v>
      </c>
      <c r="L1824" s="95">
        <f>+VLOOKUP(E1824,MARGEN!A:B,2,FALSE)</f>
        <v>0.1</v>
      </c>
      <c r="M1824" s="112">
        <f t="shared" si="113"/>
        <v>9789.1937981492592</v>
      </c>
      <c r="N1824" s="113">
        <f t="shared" si="114"/>
        <v>391.56775192597036</v>
      </c>
      <c r="O1824" s="113">
        <f t="shared" si="115"/>
        <v>87711.176431417363</v>
      </c>
    </row>
    <row r="1825" spans="1:15" x14ac:dyDescent="0.25">
      <c r="A1825" s="13">
        <v>44441</v>
      </c>
      <c r="B1825" s="51">
        <v>3623</v>
      </c>
      <c r="C1825" s="66" t="s">
        <v>149</v>
      </c>
      <c r="D1825" s="66" t="s">
        <v>325</v>
      </c>
      <c r="E1825" t="s">
        <v>17</v>
      </c>
      <c r="F1825" s="50" t="s">
        <v>558</v>
      </c>
      <c r="G1825" s="50" t="s">
        <v>559</v>
      </c>
      <c r="H1825" s="50">
        <v>2</v>
      </c>
      <c r="I1825" s="100">
        <v>6.7391919697301583</v>
      </c>
      <c r="J1825" s="52">
        <v>3834.68</v>
      </c>
      <c r="K1825" s="67">
        <f t="shared" si="116"/>
        <v>93627.901612182584</v>
      </c>
      <c r="L1825" s="95">
        <f>+VLOOKUP(E1825,MARGEN!A:B,2,FALSE)</f>
        <v>0.1</v>
      </c>
      <c r="M1825" s="112">
        <f t="shared" si="113"/>
        <v>9362.7901612182595</v>
      </c>
      <c r="N1825" s="113">
        <f t="shared" si="114"/>
        <v>374.51160644873033</v>
      </c>
      <c r="O1825" s="113">
        <f t="shared" si="115"/>
        <v>83890.599844515586</v>
      </c>
    </row>
    <row r="1826" spans="1:15" x14ac:dyDescent="0.25">
      <c r="A1826" s="13">
        <v>44441</v>
      </c>
      <c r="B1826" s="97">
        <v>3599</v>
      </c>
      <c r="C1826" t="s">
        <v>192</v>
      </c>
      <c r="D1826" s="94" t="s">
        <v>347</v>
      </c>
      <c r="E1826" t="s">
        <v>17</v>
      </c>
      <c r="F1826" t="s">
        <v>558</v>
      </c>
      <c r="G1826" s="50" t="s">
        <v>559</v>
      </c>
      <c r="H1826" s="50">
        <v>2</v>
      </c>
      <c r="I1826" s="100">
        <v>6.7391919697301583</v>
      </c>
      <c r="J1826" s="52">
        <v>3834.68</v>
      </c>
      <c r="K1826" s="67">
        <f t="shared" si="116"/>
        <v>93007.678140282951</v>
      </c>
      <c r="L1826" s="95">
        <f>+VLOOKUP(E1826,MARGEN!A:B,2,FALSE)</f>
        <v>0.1</v>
      </c>
      <c r="M1826" s="112">
        <f t="shared" si="113"/>
        <v>9300.7678140282951</v>
      </c>
      <c r="N1826" s="113">
        <f t="shared" si="114"/>
        <v>372.03071256113179</v>
      </c>
      <c r="O1826" s="113">
        <f t="shared" si="115"/>
        <v>83334.879613693527</v>
      </c>
    </row>
    <row r="1827" spans="1:15" x14ac:dyDescent="0.25">
      <c r="A1827" s="13">
        <v>44441</v>
      </c>
      <c r="B1827" s="97">
        <v>3476</v>
      </c>
      <c r="C1827" t="s">
        <v>165</v>
      </c>
      <c r="D1827" s="94" t="s">
        <v>375</v>
      </c>
      <c r="E1827" t="s">
        <v>17</v>
      </c>
      <c r="F1827" t="s">
        <v>572</v>
      </c>
      <c r="G1827" s="50" t="s">
        <v>243</v>
      </c>
      <c r="H1827" s="50">
        <v>2</v>
      </c>
      <c r="I1827" s="100">
        <v>6.7391919697301583</v>
      </c>
      <c r="J1827" s="52">
        <v>3834.68</v>
      </c>
      <c r="K1827" s="67">
        <f t="shared" si="116"/>
        <v>89829.032846797316</v>
      </c>
      <c r="L1827" s="95">
        <f>+VLOOKUP(E1827,MARGEN!A:B,2,FALSE)</f>
        <v>0.1</v>
      </c>
      <c r="M1827" s="112">
        <f t="shared" si="113"/>
        <v>8982.9032846797327</v>
      </c>
      <c r="N1827" s="113">
        <f t="shared" si="114"/>
        <v>359.31613138718927</v>
      </c>
      <c r="O1827" s="113">
        <f t="shared" si="115"/>
        <v>80486.813430730399</v>
      </c>
    </row>
    <row r="1828" spans="1:15" x14ac:dyDescent="0.25">
      <c r="A1828" s="13">
        <v>44441</v>
      </c>
      <c r="B1828" s="97">
        <v>3359</v>
      </c>
      <c r="C1828" t="s">
        <v>309</v>
      </c>
      <c r="D1828" s="94" t="s">
        <v>544</v>
      </c>
      <c r="E1828" t="s">
        <v>17</v>
      </c>
      <c r="F1828" t="s">
        <v>558</v>
      </c>
      <c r="G1828" s="50" t="s">
        <v>559</v>
      </c>
      <c r="H1828" s="50">
        <v>2</v>
      </c>
      <c r="I1828" s="100">
        <v>6.7391919697301583</v>
      </c>
      <c r="J1828" s="52">
        <v>3834.68</v>
      </c>
      <c r="K1828" s="67">
        <f t="shared" si="116"/>
        <v>86805.443421286589</v>
      </c>
      <c r="L1828" s="95">
        <f>+VLOOKUP(E1828,MARGEN!A:B,2,FALSE)</f>
        <v>0.1</v>
      </c>
      <c r="M1828" s="112">
        <f t="shared" si="113"/>
        <v>8680.54434212866</v>
      </c>
      <c r="N1828" s="113">
        <f t="shared" si="114"/>
        <v>347.22177368514633</v>
      </c>
      <c r="O1828" s="113">
        <f t="shared" si="115"/>
        <v>77777.677305472782</v>
      </c>
    </row>
    <row r="1829" spans="1:15" x14ac:dyDescent="0.25">
      <c r="A1829" s="13">
        <v>44441</v>
      </c>
      <c r="B1829" s="97">
        <v>2903</v>
      </c>
      <c r="C1829" t="s">
        <v>134</v>
      </c>
      <c r="D1829" s="94" t="s">
        <v>362</v>
      </c>
      <c r="E1829" t="s">
        <v>17</v>
      </c>
      <c r="F1829" t="s">
        <v>558</v>
      </c>
      <c r="G1829" s="50" t="s">
        <v>559</v>
      </c>
      <c r="H1829" s="50">
        <v>2</v>
      </c>
      <c r="I1829" s="100">
        <v>6.7391919697301583</v>
      </c>
      <c r="J1829" s="52">
        <v>3834.68</v>
      </c>
      <c r="K1829" s="67">
        <f t="shared" si="116"/>
        <v>75021.197455193484</v>
      </c>
      <c r="L1829" s="95">
        <f>+VLOOKUP(E1829,MARGEN!A:B,2,FALSE)</f>
        <v>0.1</v>
      </c>
      <c r="M1829" s="112">
        <f t="shared" si="113"/>
        <v>7502.1197455193487</v>
      </c>
      <c r="N1829" s="113">
        <f t="shared" si="114"/>
        <v>300.08478982077395</v>
      </c>
      <c r="O1829" s="113">
        <f t="shared" si="115"/>
        <v>67218.992919853365</v>
      </c>
    </row>
    <row r="1830" spans="1:15" x14ac:dyDescent="0.25">
      <c r="A1830" s="13">
        <v>44441</v>
      </c>
      <c r="B1830" s="97">
        <v>2783</v>
      </c>
      <c r="C1830" s="88" t="s">
        <v>131</v>
      </c>
      <c r="D1830" t="s">
        <v>344</v>
      </c>
      <c r="E1830" t="s">
        <v>17</v>
      </c>
      <c r="F1830" t="s">
        <v>558</v>
      </c>
      <c r="G1830" s="50" t="s">
        <v>559</v>
      </c>
      <c r="H1830" s="50">
        <v>2</v>
      </c>
      <c r="I1830" s="100">
        <v>6.7391919697301583</v>
      </c>
      <c r="J1830" s="52">
        <v>3834.68</v>
      </c>
      <c r="K1830" s="67">
        <f t="shared" si="116"/>
        <v>71920.080095695317</v>
      </c>
      <c r="L1830" s="95">
        <f>+VLOOKUP(E1830,MARGEN!A:B,2,FALSE)</f>
        <v>0.1</v>
      </c>
      <c r="M1830" s="112">
        <f t="shared" si="113"/>
        <v>7192.0080095695321</v>
      </c>
      <c r="N1830" s="113">
        <f t="shared" si="114"/>
        <v>287.68032038278125</v>
      </c>
      <c r="O1830" s="113">
        <f t="shared" si="115"/>
        <v>64440.391765743007</v>
      </c>
    </row>
    <row r="1831" spans="1:15" x14ac:dyDescent="0.25">
      <c r="A1831" s="13">
        <v>44441</v>
      </c>
      <c r="B1831" s="97">
        <v>2711</v>
      </c>
      <c r="C1831" t="s">
        <v>132</v>
      </c>
      <c r="D1831" s="94" t="s">
        <v>376</v>
      </c>
      <c r="E1831" t="s">
        <v>17</v>
      </c>
      <c r="F1831" t="s">
        <v>558</v>
      </c>
      <c r="G1831" s="50" t="s">
        <v>559</v>
      </c>
      <c r="H1831" s="50">
        <v>2</v>
      </c>
      <c r="I1831" s="100">
        <v>6.7391919697301583</v>
      </c>
      <c r="J1831" s="52">
        <v>3834.68</v>
      </c>
      <c r="K1831" s="67">
        <f t="shared" si="116"/>
        <v>70059.409679996417</v>
      </c>
      <c r="L1831" s="95">
        <f>+VLOOKUP(E1831,MARGEN!A:B,2,FALSE)</f>
        <v>0.1</v>
      </c>
      <c r="M1831" s="112">
        <f t="shared" si="113"/>
        <v>7005.9409679996425</v>
      </c>
      <c r="N1831" s="113">
        <f t="shared" si="114"/>
        <v>280.23763871998568</v>
      </c>
      <c r="O1831" s="113">
        <f t="shared" si="115"/>
        <v>62773.231073276787</v>
      </c>
    </row>
    <row r="1832" spans="1:15" x14ac:dyDescent="0.25">
      <c r="A1832" s="13">
        <v>44441</v>
      </c>
      <c r="B1832" s="97">
        <v>2661</v>
      </c>
      <c r="C1832" t="s">
        <v>186</v>
      </c>
      <c r="D1832" s="94" t="s">
        <v>440</v>
      </c>
      <c r="E1832" t="s">
        <v>17</v>
      </c>
      <c r="F1832" t="s">
        <v>572</v>
      </c>
      <c r="G1832" s="50" t="s">
        <v>243</v>
      </c>
      <c r="H1832" s="50">
        <v>2</v>
      </c>
      <c r="I1832" s="100">
        <v>6.7391919697301583</v>
      </c>
      <c r="J1832" s="52">
        <v>3834.68</v>
      </c>
      <c r="K1832" s="67">
        <f t="shared" si="116"/>
        <v>68767.277446872176</v>
      </c>
      <c r="L1832" s="95">
        <f>+VLOOKUP(E1832,MARGEN!A:B,2,FALSE)</f>
        <v>0.1</v>
      </c>
      <c r="M1832" s="112">
        <f t="shared" si="113"/>
        <v>6876.7277446872176</v>
      </c>
      <c r="N1832" s="113">
        <f t="shared" si="114"/>
        <v>275.06910978748869</v>
      </c>
      <c r="O1832" s="113">
        <f t="shared" si="115"/>
        <v>61615.480592397471</v>
      </c>
    </row>
    <row r="1833" spans="1:15" x14ac:dyDescent="0.25">
      <c r="A1833" s="13">
        <v>44441</v>
      </c>
      <c r="B1833" s="97">
        <v>2567</v>
      </c>
      <c r="C1833" t="s">
        <v>146</v>
      </c>
      <c r="D1833" s="94" t="s">
        <v>348</v>
      </c>
      <c r="E1833" t="s">
        <v>17</v>
      </c>
      <c r="F1833" t="s">
        <v>558</v>
      </c>
      <c r="G1833" s="50" t="s">
        <v>559</v>
      </c>
      <c r="H1833" s="50">
        <v>2</v>
      </c>
      <c r="I1833" s="100">
        <v>6.7391919697301583</v>
      </c>
      <c r="J1833" s="52">
        <v>3834.68</v>
      </c>
      <c r="K1833" s="67">
        <f t="shared" si="116"/>
        <v>66338.068848598588</v>
      </c>
      <c r="L1833" s="95">
        <f>+VLOOKUP(E1833,MARGEN!A:B,2,FALSE)</f>
        <v>0.1</v>
      </c>
      <c r="M1833" s="112">
        <f t="shared" si="113"/>
        <v>6633.8068848598596</v>
      </c>
      <c r="N1833" s="113">
        <f t="shared" si="114"/>
        <v>265.35227539439433</v>
      </c>
      <c r="O1833" s="113">
        <f t="shared" si="115"/>
        <v>59438.909688344334</v>
      </c>
    </row>
    <row r="1834" spans="1:15" x14ac:dyDescent="0.25">
      <c r="A1834" s="13">
        <v>44441</v>
      </c>
      <c r="B1834" s="97">
        <v>2567</v>
      </c>
      <c r="C1834" t="s">
        <v>310</v>
      </c>
      <c r="D1834" s="94" t="s">
        <v>540</v>
      </c>
      <c r="E1834" t="s">
        <v>17</v>
      </c>
      <c r="F1834" t="s">
        <v>558</v>
      </c>
      <c r="G1834" s="50" t="s">
        <v>559</v>
      </c>
      <c r="H1834" s="50">
        <v>2</v>
      </c>
      <c r="I1834" s="100">
        <v>6.7391919697301583</v>
      </c>
      <c r="J1834" s="52">
        <v>3834.68</v>
      </c>
      <c r="K1834" s="67">
        <f t="shared" si="116"/>
        <v>66338.068848598588</v>
      </c>
      <c r="L1834" s="95">
        <f>+VLOOKUP(E1834,MARGEN!A:B,2,FALSE)</f>
        <v>0.1</v>
      </c>
      <c r="M1834" s="112">
        <f t="shared" si="113"/>
        <v>6633.8068848598596</v>
      </c>
      <c r="N1834" s="113">
        <f t="shared" si="114"/>
        <v>265.35227539439433</v>
      </c>
      <c r="O1834" s="113">
        <f t="shared" si="115"/>
        <v>59438.909688344334</v>
      </c>
    </row>
    <row r="1835" spans="1:15" x14ac:dyDescent="0.25">
      <c r="A1835" s="13">
        <v>44441</v>
      </c>
      <c r="B1835" s="97">
        <v>2543</v>
      </c>
      <c r="C1835" t="s">
        <v>163</v>
      </c>
      <c r="D1835" s="94" t="s">
        <v>398</v>
      </c>
      <c r="E1835" t="s">
        <v>17</v>
      </c>
      <c r="F1835" t="s">
        <v>558</v>
      </c>
      <c r="G1835" s="50" t="s">
        <v>559</v>
      </c>
      <c r="H1835" s="50">
        <v>2</v>
      </c>
      <c r="I1835" s="100">
        <v>6.7391919697301583</v>
      </c>
      <c r="J1835" s="52">
        <v>3834.68</v>
      </c>
      <c r="K1835" s="67">
        <f t="shared" si="116"/>
        <v>65717.84537669897</v>
      </c>
      <c r="L1835" s="95">
        <f>+VLOOKUP(E1835,MARGEN!A:B,2,FALSE)</f>
        <v>0.1</v>
      </c>
      <c r="M1835" s="112">
        <f t="shared" si="113"/>
        <v>6571.784537669897</v>
      </c>
      <c r="N1835" s="113">
        <f t="shared" si="114"/>
        <v>262.8713815067959</v>
      </c>
      <c r="O1835" s="113">
        <f t="shared" si="115"/>
        <v>58883.189457522276</v>
      </c>
    </row>
    <row r="1836" spans="1:15" x14ac:dyDescent="0.25">
      <c r="A1836" s="13">
        <v>44441</v>
      </c>
      <c r="B1836" s="97">
        <v>2519</v>
      </c>
      <c r="C1836" t="s">
        <v>127</v>
      </c>
      <c r="D1836" t="s">
        <v>411</v>
      </c>
      <c r="E1836" t="s">
        <v>17</v>
      </c>
      <c r="F1836" t="s">
        <v>558</v>
      </c>
      <c r="G1836" s="50" t="s">
        <v>559</v>
      </c>
      <c r="H1836" s="50">
        <v>2</v>
      </c>
      <c r="I1836" s="100">
        <v>6.7391919697301583</v>
      </c>
      <c r="J1836" s="52">
        <v>3834.68</v>
      </c>
      <c r="K1836" s="67">
        <f t="shared" si="116"/>
        <v>65097.621904799322</v>
      </c>
      <c r="L1836" s="95">
        <f>+VLOOKUP(E1836,MARGEN!A:B,2,FALSE)</f>
        <v>0.1</v>
      </c>
      <c r="M1836" s="112">
        <f t="shared" si="113"/>
        <v>6509.7621904799325</v>
      </c>
      <c r="N1836" s="113">
        <f t="shared" si="114"/>
        <v>260.3904876191973</v>
      </c>
      <c r="O1836" s="113">
        <f t="shared" si="115"/>
        <v>58327.469226700196</v>
      </c>
    </row>
    <row r="1837" spans="1:15" x14ac:dyDescent="0.25">
      <c r="A1837" s="13">
        <v>44441</v>
      </c>
      <c r="B1837" s="97">
        <v>2423</v>
      </c>
      <c r="C1837" t="s">
        <v>281</v>
      </c>
      <c r="D1837" s="94" t="s">
        <v>495</v>
      </c>
      <c r="E1837" t="s">
        <v>17</v>
      </c>
      <c r="F1837" t="s">
        <v>558</v>
      </c>
      <c r="G1837" s="50" t="s">
        <v>559</v>
      </c>
      <c r="H1837" s="50">
        <v>2</v>
      </c>
      <c r="I1837" s="100">
        <v>6.7391919697301583</v>
      </c>
      <c r="J1837" s="52">
        <v>3834.68</v>
      </c>
      <c r="K1837" s="67">
        <f t="shared" si="116"/>
        <v>62616.728017200774</v>
      </c>
      <c r="L1837" s="95">
        <f>+VLOOKUP(E1837,MARGEN!A:B,2,FALSE)</f>
        <v>0.1</v>
      </c>
      <c r="M1837" s="112">
        <f t="shared" si="113"/>
        <v>6261.6728017200776</v>
      </c>
      <c r="N1837" s="113">
        <f t="shared" si="114"/>
        <v>250.46691206880308</v>
      </c>
      <c r="O1837" s="113">
        <f t="shared" si="115"/>
        <v>56104.588303411889</v>
      </c>
    </row>
    <row r="1838" spans="1:15" x14ac:dyDescent="0.25">
      <c r="A1838" s="13">
        <v>44441</v>
      </c>
      <c r="B1838" s="97">
        <v>2303</v>
      </c>
      <c r="C1838" t="s">
        <v>128</v>
      </c>
      <c r="D1838" s="94" t="s">
        <v>416</v>
      </c>
      <c r="E1838" t="s">
        <v>17</v>
      </c>
      <c r="F1838" t="s">
        <v>558</v>
      </c>
      <c r="G1838" s="50" t="s">
        <v>559</v>
      </c>
      <c r="H1838" s="50">
        <v>2</v>
      </c>
      <c r="I1838" s="100">
        <v>6.7391919697301583</v>
      </c>
      <c r="J1838" s="52">
        <v>3834.68</v>
      </c>
      <c r="K1838" s="67">
        <f t="shared" si="116"/>
        <v>59515.610657702593</v>
      </c>
      <c r="L1838" s="95">
        <f>+VLOOKUP(E1838,MARGEN!A:B,2,FALSE)</f>
        <v>0.1</v>
      </c>
      <c r="M1838" s="112">
        <f t="shared" si="113"/>
        <v>5951.56106577026</v>
      </c>
      <c r="N1838" s="113">
        <f t="shared" si="114"/>
        <v>238.06244263081038</v>
      </c>
      <c r="O1838" s="113">
        <f t="shared" si="115"/>
        <v>53325.987149301516</v>
      </c>
    </row>
    <row r="1839" spans="1:15" x14ac:dyDescent="0.25">
      <c r="A1839" s="13">
        <v>44441</v>
      </c>
      <c r="B1839" s="97">
        <v>2301</v>
      </c>
      <c r="C1839" t="s">
        <v>130</v>
      </c>
      <c r="D1839" s="94" t="s">
        <v>367</v>
      </c>
      <c r="E1839" t="s">
        <v>17</v>
      </c>
      <c r="F1839" t="s">
        <v>572</v>
      </c>
      <c r="G1839" s="50" t="s">
        <v>243</v>
      </c>
      <c r="H1839" s="50">
        <v>2</v>
      </c>
      <c r="I1839" s="100">
        <v>6.7391919697301583</v>
      </c>
      <c r="J1839" s="52">
        <v>3834.68</v>
      </c>
      <c r="K1839" s="67">
        <f t="shared" si="116"/>
        <v>59463.925368377626</v>
      </c>
      <c r="L1839" s="95">
        <f>+VLOOKUP(E1839,MARGEN!A:B,2,FALSE)</f>
        <v>0.1</v>
      </c>
      <c r="M1839" s="112">
        <f t="shared" si="113"/>
        <v>5946.3925368377631</v>
      </c>
      <c r="N1839" s="113">
        <f t="shared" si="114"/>
        <v>237.85570147351049</v>
      </c>
      <c r="O1839" s="113">
        <f t="shared" si="115"/>
        <v>53279.677130066353</v>
      </c>
    </row>
    <row r="1840" spans="1:15" x14ac:dyDescent="0.25">
      <c r="A1840" s="13">
        <v>44441</v>
      </c>
      <c r="B1840" s="97">
        <v>2253</v>
      </c>
      <c r="C1840" t="s">
        <v>122</v>
      </c>
      <c r="D1840" s="94" t="s">
        <v>446</v>
      </c>
      <c r="E1840" t="s">
        <v>17</v>
      </c>
      <c r="F1840" t="s">
        <v>572</v>
      </c>
      <c r="G1840" s="50" t="s">
        <v>243</v>
      </c>
      <c r="H1840" s="50">
        <v>2</v>
      </c>
      <c r="I1840" s="100">
        <v>6.7391919697301583</v>
      </c>
      <c r="J1840" s="52">
        <v>3834.68</v>
      </c>
      <c r="K1840" s="67">
        <f t="shared" si="116"/>
        <v>58223.478424578352</v>
      </c>
      <c r="L1840" s="95">
        <f>+VLOOKUP(E1840,MARGEN!A:B,2,FALSE)</f>
        <v>0.1</v>
      </c>
      <c r="M1840" s="112">
        <f t="shared" si="113"/>
        <v>5822.3478424578352</v>
      </c>
      <c r="N1840" s="113">
        <f t="shared" si="114"/>
        <v>232.89391369831341</v>
      </c>
      <c r="O1840" s="113">
        <f t="shared" si="115"/>
        <v>52168.236668422207</v>
      </c>
    </row>
    <row r="1841" spans="1:15" x14ac:dyDescent="0.25">
      <c r="A1841" s="13">
        <v>44441</v>
      </c>
      <c r="B1841" s="97">
        <v>2231</v>
      </c>
      <c r="C1841" t="s">
        <v>126</v>
      </c>
      <c r="D1841" s="94" t="s">
        <v>438</v>
      </c>
      <c r="E1841" t="s">
        <v>17</v>
      </c>
      <c r="F1841" t="s">
        <v>558</v>
      </c>
      <c r="G1841" s="50" t="s">
        <v>559</v>
      </c>
      <c r="H1841" s="50">
        <v>2</v>
      </c>
      <c r="I1841" s="100">
        <v>6.7391919697301583</v>
      </c>
      <c r="J1841" s="52">
        <v>3834.68</v>
      </c>
      <c r="K1841" s="67">
        <f t="shared" si="116"/>
        <v>57654.940242003679</v>
      </c>
      <c r="L1841" s="95">
        <f>+VLOOKUP(E1841,MARGEN!A:B,2,FALSE)</f>
        <v>0.1</v>
      </c>
      <c r="M1841" s="112">
        <f t="shared" si="113"/>
        <v>5765.4940242003686</v>
      </c>
      <c r="N1841" s="113">
        <f t="shared" si="114"/>
        <v>230.6197609680147</v>
      </c>
      <c r="O1841" s="113">
        <f t="shared" si="115"/>
        <v>51658.826456835297</v>
      </c>
    </row>
    <row r="1842" spans="1:15" x14ac:dyDescent="0.25">
      <c r="A1842" s="13">
        <v>44441</v>
      </c>
      <c r="B1842" s="97">
        <v>2231</v>
      </c>
      <c r="C1842" t="s">
        <v>157</v>
      </c>
      <c r="D1842" s="94" t="s">
        <v>435</v>
      </c>
      <c r="E1842" t="s">
        <v>17</v>
      </c>
      <c r="F1842" t="s">
        <v>558</v>
      </c>
      <c r="G1842" s="50" t="s">
        <v>559</v>
      </c>
      <c r="H1842" s="50">
        <v>2</v>
      </c>
      <c r="I1842" s="100">
        <v>6.7391919697301583</v>
      </c>
      <c r="J1842" s="52">
        <v>3834.68</v>
      </c>
      <c r="K1842" s="67">
        <f t="shared" si="116"/>
        <v>57654.940242003679</v>
      </c>
      <c r="L1842" s="95">
        <f>+VLOOKUP(E1842,MARGEN!A:B,2,FALSE)</f>
        <v>0.1</v>
      </c>
      <c r="M1842" s="112">
        <f t="shared" si="113"/>
        <v>5765.4940242003686</v>
      </c>
      <c r="N1842" s="113">
        <f t="shared" si="114"/>
        <v>230.6197609680147</v>
      </c>
      <c r="O1842" s="113">
        <f t="shared" si="115"/>
        <v>51658.826456835297</v>
      </c>
    </row>
    <row r="1843" spans="1:15" x14ac:dyDescent="0.25">
      <c r="A1843" s="13">
        <v>44441</v>
      </c>
      <c r="B1843" s="97">
        <v>2159</v>
      </c>
      <c r="C1843" t="s">
        <v>282</v>
      </c>
      <c r="D1843" s="94" t="s">
        <v>494</v>
      </c>
      <c r="E1843" t="s">
        <v>17</v>
      </c>
      <c r="F1843" t="s">
        <v>558</v>
      </c>
      <c r="G1843" s="50" t="s">
        <v>559</v>
      </c>
      <c r="H1843" s="50">
        <v>2</v>
      </c>
      <c r="I1843" s="100">
        <v>6.7391919697301583</v>
      </c>
      <c r="J1843" s="52">
        <v>3834.68</v>
      </c>
      <c r="K1843" s="67">
        <f t="shared" si="116"/>
        <v>55794.269826304779</v>
      </c>
      <c r="L1843" s="95">
        <f>+VLOOKUP(E1843,MARGEN!A:B,2,FALSE)</f>
        <v>0.1</v>
      </c>
      <c r="M1843" s="112">
        <f t="shared" si="113"/>
        <v>5579.4269826304781</v>
      </c>
      <c r="N1843" s="113">
        <f t="shared" si="114"/>
        <v>223.17707930521911</v>
      </c>
      <c r="O1843" s="113">
        <f t="shared" si="115"/>
        <v>49991.665764369078</v>
      </c>
    </row>
    <row r="1844" spans="1:15" x14ac:dyDescent="0.25">
      <c r="A1844" s="13">
        <v>44441</v>
      </c>
      <c r="B1844" s="97">
        <v>2135</v>
      </c>
      <c r="C1844" t="s">
        <v>312</v>
      </c>
      <c r="D1844" s="94" t="s">
        <v>542</v>
      </c>
      <c r="E1844" t="s">
        <v>17</v>
      </c>
      <c r="F1844" t="s">
        <v>558</v>
      </c>
      <c r="G1844" s="50" t="s">
        <v>559</v>
      </c>
      <c r="H1844" s="50">
        <v>2</v>
      </c>
      <c r="I1844" s="100">
        <v>6.7391919697301583</v>
      </c>
      <c r="J1844" s="52">
        <v>3834.68</v>
      </c>
      <c r="K1844" s="67">
        <f t="shared" si="116"/>
        <v>55174.046354405145</v>
      </c>
      <c r="L1844" s="95">
        <f>+VLOOKUP(E1844,MARGEN!A:B,2,FALSE)</f>
        <v>0.1</v>
      </c>
      <c r="M1844" s="112">
        <f t="shared" si="113"/>
        <v>5517.4046354405145</v>
      </c>
      <c r="N1844" s="113">
        <f t="shared" si="114"/>
        <v>220.69618541762057</v>
      </c>
      <c r="O1844" s="113">
        <f t="shared" si="115"/>
        <v>49435.945533547012</v>
      </c>
    </row>
    <row r="1845" spans="1:15" x14ac:dyDescent="0.25">
      <c r="A1845" s="13">
        <v>44441</v>
      </c>
      <c r="B1845" s="97">
        <v>2015</v>
      </c>
      <c r="C1845" t="s">
        <v>123</v>
      </c>
      <c r="D1845" s="94" t="s">
        <v>396</v>
      </c>
      <c r="E1845" t="s">
        <v>17</v>
      </c>
      <c r="F1845" t="s">
        <v>558</v>
      </c>
      <c r="G1845" s="50" t="s">
        <v>559</v>
      </c>
      <c r="H1845" s="50">
        <v>2</v>
      </c>
      <c r="I1845" s="100">
        <v>6.7391919697301583</v>
      </c>
      <c r="J1845" s="52">
        <v>3834.68</v>
      </c>
      <c r="K1845" s="67">
        <f t="shared" si="116"/>
        <v>52072.928994906957</v>
      </c>
      <c r="L1845" s="95">
        <f>+VLOOKUP(E1845,MARGEN!A:B,2,FALSE)</f>
        <v>0.1</v>
      </c>
      <c r="M1845" s="112">
        <f t="shared" si="113"/>
        <v>5207.2928994906961</v>
      </c>
      <c r="N1845" s="113">
        <f t="shared" si="114"/>
        <v>208.29171597962784</v>
      </c>
      <c r="O1845" s="113">
        <f t="shared" si="115"/>
        <v>46657.344379436632</v>
      </c>
    </row>
    <row r="1846" spans="1:15" x14ac:dyDescent="0.25">
      <c r="A1846" s="13">
        <v>44441</v>
      </c>
      <c r="B1846" s="97">
        <v>1991</v>
      </c>
      <c r="C1846" t="s">
        <v>295</v>
      </c>
      <c r="D1846" s="94" t="s">
        <v>532</v>
      </c>
      <c r="E1846" t="s">
        <v>17</v>
      </c>
      <c r="F1846" t="s">
        <v>558</v>
      </c>
      <c r="G1846" s="50" t="s">
        <v>559</v>
      </c>
      <c r="H1846" s="50">
        <v>2</v>
      </c>
      <c r="I1846" s="100">
        <v>6.7391919697301583</v>
      </c>
      <c r="J1846" s="52">
        <v>3834.68</v>
      </c>
      <c r="K1846" s="67">
        <f t="shared" si="116"/>
        <v>51452.705523007324</v>
      </c>
      <c r="L1846" s="95">
        <f>+VLOOKUP(E1846,MARGEN!A:B,2,FALSE)</f>
        <v>0.1</v>
      </c>
      <c r="M1846" s="112">
        <f t="shared" si="113"/>
        <v>5145.2705523007326</v>
      </c>
      <c r="N1846" s="113">
        <f t="shared" si="114"/>
        <v>205.8108220920293</v>
      </c>
      <c r="O1846" s="113">
        <f t="shared" si="115"/>
        <v>46101.624148614566</v>
      </c>
    </row>
    <row r="1847" spans="1:15" x14ac:dyDescent="0.25">
      <c r="A1847" s="13">
        <v>44441</v>
      </c>
      <c r="B1847" s="97">
        <v>1847</v>
      </c>
      <c r="C1847" t="s">
        <v>125</v>
      </c>
      <c r="D1847" s="94" t="s">
        <v>341</v>
      </c>
      <c r="E1847" t="s">
        <v>17</v>
      </c>
      <c r="F1847" t="s">
        <v>558</v>
      </c>
      <c r="G1847" s="50" t="s">
        <v>559</v>
      </c>
      <c r="H1847" s="50">
        <v>2</v>
      </c>
      <c r="I1847" s="100">
        <v>6.7391919697301583</v>
      </c>
      <c r="J1847" s="52">
        <v>3834.68</v>
      </c>
      <c r="K1847" s="67">
        <f t="shared" si="116"/>
        <v>47731.364691609502</v>
      </c>
      <c r="L1847" s="95">
        <f>+VLOOKUP(E1847,MARGEN!A:B,2,FALSE)</f>
        <v>0.1</v>
      </c>
      <c r="M1847" s="112">
        <f t="shared" si="113"/>
        <v>4773.1364691609506</v>
      </c>
      <c r="N1847" s="113">
        <f t="shared" si="114"/>
        <v>190.925458766438</v>
      </c>
      <c r="O1847" s="113">
        <f t="shared" si="115"/>
        <v>42767.302763682113</v>
      </c>
    </row>
    <row r="1848" spans="1:15" x14ac:dyDescent="0.25">
      <c r="A1848" s="13">
        <v>44441</v>
      </c>
      <c r="B1848" s="97">
        <v>1823</v>
      </c>
      <c r="C1848" t="s">
        <v>304</v>
      </c>
      <c r="D1848" s="94" t="s">
        <v>522</v>
      </c>
      <c r="E1848" t="s">
        <v>17</v>
      </c>
      <c r="F1848" t="s">
        <v>558</v>
      </c>
      <c r="G1848" s="50" t="s">
        <v>559</v>
      </c>
      <c r="H1848" s="50">
        <v>2</v>
      </c>
      <c r="I1848" s="100">
        <v>6.7391919697301583</v>
      </c>
      <c r="J1848" s="52">
        <v>3834.68</v>
      </c>
      <c r="K1848" s="67">
        <f t="shared" si="116"/>
        <v>47111.141219709876</v>
      </c>
      <c r="L1848" s="95">
        <f>+VLOOKUP(E1848,MARGEN!A:B,2,FALSE)</f>
        <v>0.1</v>
      </c>
      <c r="M1848" s="112">
        <f t="shared" si="113"/>
        <v>4711.114121970988</v>
      </c>
      <c r="N1848" s="113">
        <f t="shared" si="114"/>
        <v>188.44456487883951</v>
      </c>
      <c r="O1848" s="113">
        <f t="shared" si="115"/>
        <v>42211.582532860048</v>
      </c>
    </row>
    <row r="1849" spans="1:15" x14ac:dyDescent="0.25">
      <c r="A1849" s="13">
        <v>44441</v>
      </c>
      <c r="B1849" s="97">
        <v>1775</v>
      </c>
      <c r="C1849" t="s">
        <v>311</v>
      </c>
      <c r="D1849" s="94" t="s">
        <v>541</v>
      </c>
      <c r="E1849" t="s">
        <v>17</v>
      </c>
      <c r="F1849" t="s">
        <v>558</v>
      </c>
      <c r="G1849" s="50" t="s">
        <v>559</v>
      </c>
      <c r="H1849" s="50">
        <v>2</v>
      </c>
      <c r="I1849" s="100">
        <v>6.7391919697301583</v>
      </c>
      <c r="J1849" s="52">
        <v>3834.68</v>
      </c>
      <c r="K1849" s="67">
        <f t="shared" si="116"/>
        <v>45870.694275910595</v>
      </c>
      <c r="L1849" s="95">
        <f>+VLOOKUP(E1849,MARGEN!A:B,2,FALSE)</f>
        <v>0.1</v>
      </c>
      <c r="M1849" s="112">
        <f t="shared" si="113"/>
        <v>4587.06942759106</v>
      </c>
      <c r="N1849" s="113">
        <f t="shared" si="114"/>
        <v>183.48277710364238</v>
      </c>
      <c r="O1849" s="113">
        <f t="shared" si="115"/>
        <v>41100.142071215894</v>
      </c>
    </row>
    <row r="1850" spans="1:15" x14ac:dyDescent="0.25">
      <c r="A1850" s="13">
        <v>44441</v>
      </c>
      <c r="B1850" s="97">
        <v>1750</v>
      </c>
      <c r="C1850" t="s">
        <v>154</v>
      </c>
      <c r="D1850" s="94" t="s">
        <v>419</v>
      </c>
      <c r="E1850" t="s">
        <v>17</v>
      </c>
      <c r="F1850" t="s">
        <v>572</v>
      </c>
      <c r="G1850" s="50" t="s">
        <v>243</v>
      </c>
      <c r="H1850" s="50">
        <v>2</v>
      </c>
      <c r="I1850" s="100">
        <v>6.7391919697301583</v>
      </c>
      <c r="J1850" s="52">
        <v>3834.68</v>
      </c>
      <c r="K1850" s="67">
        <f t="shared" si="116"/>
        <v>45224.628159348475</v>
      </c>
      <c r="L1850" s="95">
        <f>+VLOOKUP(E1850,MARGEN!A:B,2,FALSE)</f>
        <v>0.1</v>
      </c>
      <c r="M1850" s="112">
        <f t="shared" si="113"/>
        <v>4522.4628159348476</v>
      </c>
      <c r="N1850" s="113">
        <f t="shared" si="114"/>
        <v>180.89851263739391</v>
      </c>
      <c r="O1850" s="113">
        <f t="shared" si="115"/>
        <v>40521.266830776229</v>
      </c>
    </row>
    <row r="1851" spans="1:15" x14ac:dyDescent="0.25">
      <c r="A1851" s="13">
        <v>44441</v>
      </c>
      <c r="B1851" s="97">
        <v>1727</v>
      </c>
      <c r="C1851" t="s">
        <v>170</v>
      </c>
      <c r="D1851" s="94" t="s">
        <v>437</v>
      </c>
      <c r="E1851" t="s">
        <v>17</v>
      </c>
      <c r="F1851" t="s">
        <v>558</v>
      </c>
      <c r="G1851" s="50" t="s">
        <v>559</v>
      </c>
      <c r="H1851" s="50">
        <v>2</v>
      </c>
      <c r="I1851" s="100">
        <v>6.7391919697301583</v>
      </c>
      <c r="J1851" s="52">
        <v>3834.68</v>
      </c>
      <c r="K1851" s="67">
        <f t="shared" si="116"/>
        <v>44630.247332111321</v>
      </c>
      <c r="L1851" s="95">
        <f>+VLOOKUP(E1851,MARGEN!A:B,2,FALSE)</f>
        <v>0.1</v>
      </c>
      <c r="M1851" s="112">
        <f t="shared" si="113"/>
        <v>4463.0247332111321</v>
      </c>
      <c r="N1851" s="113">
        <f t="shared" si="114"/>
        <v>178.5209893284453</v>
      </c>
      <c r="O1851" s="113">
        <f t="shared" si="115"/>
        <v>39988.701609571741</v>
      </c>
    </row>
    <row r="1852" spans="1:15" x14ac:dyDescent="0.25">
      <c r="A1852" s="13">
        <v>44441</v>
      </c>
      <c r="B1852" s="97">
        <v>1727</v>
      </c>
      <c r="C1852" t="s">
        <v>174</v>
      </c>
      <c r="D1852" s="94" t="s">
        <v>395</v>
      </c>
      <c r="E1852" t="s">
        <v>17</v>
      </c>
      <c r="F1852" t="s">
        <v>558</v>
      </c>
      <c r="G1852" s="50" t="s">
        <v>559</v>
      </c>
      <c r="H1852" s="50">
        <v>2</v>
      </c>
      <c r="I1852" s="100">
        <v>6.7391919697301583</v>
      </c>
      <c r="J1852" s="52">
        <v>3834.68</v>
      </c>
      <c r="K1852" s="67">
        <f t="shared" si="116"/>
        <v>44630.247332111321</v>
      </c>
      <c r="L1852" s="95">
        <f>+VLOOKUP(E1852,MARGEN!A:B,2,FALSE)</f>
        <v>0.1</v>
      </c>
      <c r="M1852" s="112">
        <f t="shared" si="113"/>
        <v>4463.0247332111321</v>
      </c>
      <c r="N1852" s="113">
        <f t="shared" si="114"/>
        <v>178.5209893284453</v>
      </c>
      <c r="O1852" s="113">
        <f t="shared" si="115"/>
        <v>39988.701609571741</v>
      </c>
    </row>
    <row r="1853" spans="1:15" x14ac:dyDescent="0.25">
      <c r="A1853" s="13">
        <v>44441</v>
      </c>
      <c r="B1853" s="97">
        <v>1727</v>
      </c>
      <c r="C1853" t="s">
        <v>188</v>
      </c>
      <c r="D1853" s="94" t="s">
        <v>397</v>
      </c>
      <c r="E1853" t="s">
        <v>17</v>
      </c>
      <c r="F1853" t="s">
        <v>558</v>
      </c>
      <c r="G1853" s="50" t="s">
        <v>559</v>
      </c>
      <c r="H1853" s="50">
        <v>2</v>
      </c>
      <c r="I1853" s="100">
        <v>6.7391919697301583</v>
      </c>
      <c r="J1853" s="52">
        <v>3834.68</v>
      </c>
      <c r="K1853" s="67">
        <f t="shared" si="116"/>
        <v>44630.247332111321</v>
      </c>
      <c r="L1853" s="95">
        <f>+VLOOKUP(E1853,MARGEN!A:B,2,FALSE)</f>
        <v>0.1</v>
      </c>
      <c r="M1853" s="112">
        <f t="shared" si="113"/>
        <v>4463.0247332111321</v>
      </c>
      <c r="N1853" s="113">
        <f t="shared" si="114"/>
        <v>178.5209893284453</v>
      </c>
      <c r="O1853" s="113">
        <f t="shared" si="115"/>
        <v>39988.701609571741</v>
      </c>
    </row>
    <row r="1854" spans="1:15" x14ac:dyDescent="0.25">
      <c r="A1854" s="13">
        <v>44441</v>
      </c>
      <c r="B1854" s="97">
        <v>1703</v>
      </c>
      <c r="C1854" t="s">
        <v>296</v>
      </c>
      <c r="D1854" t="s">
        <v>498</v>
      </c>
      <c r="E1854" t="s">
        <v>17</v>
      </c>
      <c r="F1854" t="s">
        <v>558</v>
      </c>
      <c r="G1854" s="50" t="s">
        <v>559</v>
      </c>
      <c r="H1854" s="50">
        <v>2</v>
      </c>
      <c r="I1854" s="100">
        <v>6.7391919697301583</v>
      </c>
      <c r="J1854" s="52">
        <v>3834.68</v>
      </c>
      <c r="K1854" s="67">
        <f t="shared" si="116"/>
        <v>44010.023860211688</v>
      </c>
      <c r="L1854" s="95">
        <f>+VLOOKUP(E1854,MARGEN!A:B,2,FALSE)</f>
        <v>0.1</v>
      </c>
      <c r="M1854" s="112">
        <f t="shared" si="113"/>
        <v>4401.0023860211686</v>
      </c>
      <c r="N1854" s="113">
        <f t="shared" si="114"/>
        <v>176.04009544084676</v>
      </c>
      <c r="O1854" s="113">
        <f t="shared" si="115"/>
        <v>39432.981378749675</v>
      </c>
    </row>
    <row r="1855" spans="1:15" x14ac:dyDescent="0.25">
      <c r="A1855" s="13">
        <v>44441</v>
      </c>
      <c r="B1855" s="97">
        <v>1703</v>
      </c>
      <c r="C1855" t="s">
        <v>120</v>
      </c>
      <c r="D1855" s="94" t="s">
        <v>452</v>
      </c>
      <c r="E1855" t="s">
        <v>17</v>
      </c>
      <c r="F1855" t="s">
        <v>558</v>
      </c>
      <c r="G1855" s="50" t="s">
        <v>559</v>
      </c>
      <c r="H1855" s="50">
        <v>2</v>
      </c>
      <c r="I1855" s="100">
        <v>6.7391919697301583</v>
      </c>
      <c r="J1855" s="52">
        <v>3834.68</v>
      </c>
      <c r="K1855" s="67">
        <f t="shared" si="116"/>
        <v>44010.023860211688</v>
      </c>
      <c r="L1855" s="95">
        <f>+VLOOKUP(E1855,MARGEN!A:B,2,FALSE)</f>
        <v>0.1</v>
      </c>
      <c r="M1855" s="112">
        <f t="shared" si="113"/>
        <v>4401.0023860211686</v>
      </c>
      <c r="N1855" s="113">
        <f t="shared" si="114"/>
        <v>176.04009544084676</v>
      </c>
      <c r="O1855" s="113">
        <f t="shared" si="115"/>
        <v>39432.981378749675</v>
      </c>
    </row>
    <row r="1856" spans="1:15" x14ac:dyDescent="0.25">
      <c r="A1856" s="13">
        <v>44441</v>
      </c>
      <c r="B1856" s="97">
        <v>1702</v>
      </c>
      <c r="C1856" t="s">
        <v>172</v>
      </c>
      <c r="D1856" s="94" t="s">
        <v>371</v>
      </c>
      <c r="E1856" t="s">
        <v>17</v>
      </c>
      <c r="F1856" t="s">
        <v>572</v>
      </c>
      <c r="G1856" s="50" t="s">
        <v>243</v>
      </c>
      <c r="H1856" s="50">
        <v>2</v>
      </c>
      <c r="I1856" s="100">
        <v>6.7391919697301583</v>
      </c>
      <c r="J1856" s="52">
        <v>3834.68</v>
      </c>
      <c r="K1856" s="67">
        <f t="shared" si="116"/>
        <v>43984.181215549201</v>
      </c>
      <c r="L1856" s="95">
        <f>+VLOOKUP(E1856,MARGEN!A:B,2,FALSE)</f>
        <v>0.1</v>
      </c>
      <c r="M1856" s="112">
        <f t="shared" si="113"/>
        <v>4398.4181215549206</v>
      </c>
      <c r="N1856" s="113">
        <f t="shared" si="114"/>
        <v>175.9367248621968</v>
      </c>
      <c r="O1856" s="113">
        <f t="shared" si="115"/>
        <v>39409.826369132083</v>
      </c>
    </row>
    <row r="1857" spans="1:15" x14ac:dyDescent="0.25">
      <c r="A1857" s="13">
        <v>44441</v>
      </c>
      <c r="B1857" s="51">
        <v>1679</v>
      </c>
      <c r="C1857" s="66" t="s">
        <v>175</v>
      </c>
      <c r="D1857" s="66" t="s">
        <v>432</v>
      </c>
      <c r="E1857" t="s">
        <v>17</v>
      </c>
      <c r="F1857" s="50" t="s">
        <v>558</v>
      </c>
      <c r="G1857" s="50" t="s">
        <v>559</v>
      </c>
      <c r="H1857" s="50">
        <v>2</v>
      </c>
      <c r="I1857" s="100">
        <v>6.7391919697301583</v>
      </c>
      <c r="J1857" s="52">
        <v>3834.68</v>
      </c>
      <c r="K1857" s="67">
        <f t="shared" si="116"/>
        <v>43389.800388312047</v>
      </c>
      <c r="L1857" s="95">
        <f>+VLOOKUP(E1857,MARGEN!A:B,2,FALSE)</f>
        <v>0.1</v>
      </c>
      <c r="M1857" s="112">
        <f t="shared" si="113"/>
        <v>4338.9800388312051</v>
      </c>
      <c r="N1857" s="113">
        <f t="shared" si="114"/>
        <v>173.55920155324819</v>
      </c>
      <c r="O1857" s="113">
        <f t="shared" si="115"/>
        <v>38877.261147927595</v>
      </c>
    </row>
    <row r="1858" spans="1:15" x14ac:dyDescent="0.25">
      <c r="A1858" s="13">
        <v>44441</v>
      </c>
      <c r="B1858" s="97">
        <v>1679</v>
      </c>
      <c r="C1858" t="s">
        <v>287</v>
      </c>
      <c r="D1858" s="94" t="s">
        <v>496</v>
      </c>
      <c r="E1858" t="s">
        <v>17</v>
      </c>
      <c r="F1858" t="s">
        <v>558</v>
      </c>
      <c r="G1858" s="50" t="s">
        <v>559</v>
      </c>
      <c r="H1858" s="50">
        <v>2</v>
      </c>
      <c r="I1858" s="100">
        <v>6.7391919697301583</v>
      </c>
      <c r="J1858" s="52">
        <v>3834.68</v>
      </c>
      <c r="K1858" s="67">
        <f t="shared" si="116"/>
        <v>43389.800388312047</v>
      </c>
      <c r="L1858" s="95">
        <f>+VLOOKUP(E1858,MARGEN!A:B,2,FALSE)</f>
        <v>0.1</v>
      </c>
      <c r="M1858" s="112">
        <f t="shared" si="113"/>
        <v>4338.9800388312051</v>
      </c>
      <c r="N1858" s="113">
        <f t="shared" si="114"/>
        <v>173.55920155324819</v>
      </c>
      <c r="O1858" s="113">
        <f t="shared" si="115"/>
        <v>38877.261147927595</v>
      </c>
    </row>
    <row r="1859" spans="1:15" x14ac:dyDescent="0.25">
      <c r="A1859" s="13">
        <v>44441</v>
      </c>
      <c r="B1859" s="51">
        <v>1679</v>
      </c>
      <c r="C1859" s="66" t="s">
        <v>121</v>
      </c>
      <c r="D1859" s="66" t="s">
        <v>381</v>
      </c>
      <c r="E1859" t="s">
        <v>17</v>
      </c>
      <c r="F1859" s="50" t="s">
        <v>558</v>
      </c>
      <c r="G1859" s="50" t="s">
        <v>559</v>
      </c>
      <c r="H1859" s="50">
        <v>2</v>
      </c>
      <c r="I1859" s="100">
        <v>6.7391919697301583</v>
      </c>
      <c r="J1859" s="52">
        <v>3834.68</v>
      </c>
      <c r="K1859" s="67">
        <f t="shared" si="116"/>
        <v>43389.800388312047</v>
      </c>
      <c r="L1859" s="95">
        <f>+VLOOKUP(E1859,MARGEN!A:B,2,FALSE)</f>
        <v>0.1</v>
      </c>
      <c r="M1859" s="112">
        <f t="shared" ref="M1859:M1922" si="117">+K1859*L1859</f>
        <v>4338.9800388312051</v>
      </c>
      <c r="N1859" s="113">
        <f t="shared" ref="N1859:N1922" si="118">+K1859*4/1000</f>
        <v>173.55920155324819</v>
      </c>
      <c r="O1859" s="113">
        <f t="shared" ref="O1859:O1922" si="119">+K1859-M1859-N1859</f>
        <v>38877.261147927595</v>
      </c>
    </row>
    <row r="1860" spans="1:15" x14ac:dyDescent="0.25">
      <c r="A1860" s="13">
        <v>44441</v>
      </c>
      <c r="B1860" s="97">
        <v>1679</v>
      </c>
      <c r="C1860" t="s">
        <v>194</v>
      </c>
      <c r="D1860" s="94" t="s">
        <v>417</v>
      </c>
      <c r="E1860" t="s">
        <v>17</v>
      </c>
      <c r="F1860" t="s">
        <v>558</v>
      </c>
      <c r="G1860" s="50" t="s">
        <v>559</v>
      </c>
      <c r="H1860" s="50">
        <v>2</v>
      </c>
      <c r="I1860" s="100">
        <v>6.7391919697301583</v>
      </c>
      <c r="J1860" s="52">
        <v>3834.68</v>
      </c>
      <c r="K1860" s="67">
        <f t="shared" si="116"/>
        <v>43389.800388312047</v>
      </c>
      <c r="L1860" s="95">
        <f>+VLOOKUP(E1860,MARGEN!A:B,2,FALSE)</f>
        <v>0.1</v>
      </c>
      <c r="M1860" s="112">
        <f t="shared" si="117"/>
        <v>4338.9800388312051</v>
      </c>
      <c r="N1860" s="113">
        <f t="shared" si="118"/>
        <v>173.55920155324819</v>
      </c>
      <c r="O1860" s="113">
        <f t="shared" si="119"/>
        <v>38877.261147927595</v>
      </c>
    </row>
    <row r="1861" spans="1:15" x14ac:dyDescent="0.25">
      <c r="A1861" s="13">
        <v>44441</v>
      </c>
      <c r="B1861" s="97">
        <v>1631</v>
      </c>
      <c r="C1861" t="s">
        <v>196</v>
      </c>
      <c r="D1861" s="94" t="s">
        <v>413</v>
      </c>
      <c r="E1861" t="s">
        <v>17</v>
      </c>
      <c r="F1861" t="s">
        <v>558</v>
      </c>
      <c r="G1861" s="50" t="s">
        <v>559</v>
      </c>
      <c r="H1861" s="50">
        <v>2</v>
      </c>
      <c r="I1861" s="100">
        <v>6.7391919697301583</v>
      </c>
      <c r="J1861" s="52">
        <v>3834.68</v>
      </c>
      <c r="K1861" s="67">
        <f t="shared" si="116"/>
        <v>42149.353444512773</v>
      </c>
      <c r="L1861" s="95">
        <f>+VLOOKUP(E1861,MARGEN!A:B,2,FALSE)</f>
        <v>0.1</v>
      </c>
      <c r="M1861" s="112">
        <f t="shared" si="117"/>
        <v>4214.9353444512772</v>
      </c>
      <c r="N1861" s="113">
        <f t="shared" si="118"/>
        <v>168.59741377805111</v>
      </c>
      <c r="O1861" s="113">
        <f t="shared" si="119"/>
        <v>37765.820686283449</v>
      </c>
    </row>
    <row r="1862" spans="1:15" x14ac:dyDescent="0.25">
      <c r="A1862" s="13">
        <v>44441</v>
      </c>
      <c r="B1862" s="97">
        <v>1631</v>
      </c>
      <c r="C1862" t="s">
        <v>209</v>
      </c>
      <c r="D1862" s="94" t="s">
        <v>441</v>
      </c>
      <c r="E1862" t="s">
        <v>17</v>
      </c>
      <c r="F1862" t="s">
        <v>558</v>
      </c>
      <c r="G1862" s="50" t="s">
        <v>559</v>
      </c>
      <c r="H1862" s="50">
        <v>2</v>
      </c>
      <c r="I1862" s="100">
        <v>6.7391919697301583</v>
      </c>
      <c r="J1862" s="52">
        <v>3834.68</v>
      </c>
      <c r="K1862" s="67">
        <f t="shared" si="116"/>
        <v>42149.353444512773</v>
      </c>
      <c r="L1862" s="95">
        <f>+VLOOKUP(E1862,MARGEN!A:B,2,FALSE)</f>
        <v>0.1</v>
      </c>
      <c r="M1862" s="112">
        <f t="shared" si="117"/>
        <v>4214.9353444512772</v>
      </c>
      <c r="N1862" s="113">
        <f t="shared" si="118"/>
        <v>168.59741377805111</v>
      </c>
      <c r="O1862" s="113">
        <f t="shared" si="119"/>
        <v>37765.820686283449</v>
      </c>
    </row>
    <row r="1863" spans="1:15" x14ac:dyDescent="0.25">
      <c r="A1863" s="13">
        <v>44441</v>
      </c>
      <c r="B1863" s="97">
        <v>1630</v>
      </c>
      <c r="C1863" s="88" t="s">
        <v>290</v>
      </c>
      <c r="D1863" t="s">
        <v>454</v>
      </c>
      <c r="E1863" t="s">
        <v>17</v>
      </c>
      <c r="F1863" t="s">
        <v>572</v>
      </c>
      <c r="G1863" s="50" t="s">
        <v>243</v>
      </c>
      <c r="H1863" s="50">
        <v>2</v>
      </c>
      <c r="I1863" s="100">
        <v>6.7391919697301583</v>
      </c>
      <c r="J1863" s="52">
        <v>3834.68</v>
      </c>
      <c r="K1863" s="67">
        <f t="shared" si="116"/>
        <v>42123.510799850294</v>
      </c>
      <c r="L1863" s="95">
        <f>+VLOOKUP(E1863,MARGEN!A:B,2,FALSE)</f>
        <v>0.1</v>
      </c>
      <c r="M1863" s="112">
        <f t="shared" si="117"/>
        <v>4212.3510799850292</v>
      </c>
      <c r="N1863" s="113">
        <f t="shared" si="118"/>
        <v>168.49404319940118</v>
      </c>
      <c r="O1863" s="113">
        <f t="shared" si="119"/>
        <v>37742.665676665863</v>
      </c>
    </row>
    <row r="1864" spans="1:15" x14ac:dyDescent="0.25">
      <c r="A1864" s="13">
        <v>44441</v>
      </c>
      <c r="B1864" s="97">
        <v>1606</v>
      </c>
      <c r="C1864" t="s">
        <v>180</v>
      </c>
      <c r="D1864" s="94" t="s">
        <v>447</v>
      </c>
      <c r="E1864" t="s">
        <v>17</v>
      </c>
      <c r="F1864" t="s">
        <v>572</v>
      </c>
      <c r="G1864" s="50" t="s">
        <v>243</v>
      </c>
      <c r="H1864" s="50">
        <v>2</v>
      </c>
      <c r="I1864" s="100">
        <v>6.7391919697301583</v>
      </c>
      <c r="J1864" s="52">
        <v>3834.68</v>
      </c>
      <c r="K1864" s="67">
        <f t="shared" si="116"/>
        <v>41503.287327950653</v>
      </c>
      <c r="L1864" s="95">
        <f>+VLOOKUP(E1864,MARGEN!A:B,2,FALSE)</f>
        <v>0.1</v>
      </c>
      <c r="M1864" s="112">
        <f t="shared" si="117"/>
        <v>4150.3287327950657</v>
      </c>
      <c r="N1864" s="113">
        <f t="shared" si="118"/>
        <v>166.01314931180261</v>
      </c>
      <c r="O1864" s="113">
        <f t="shared" si="119"/>
        <v>37186.945445843783</v>
      </c>
    </row>
    <row r="1865" spans="1:15" x14ac:dyDescent="0.25">
      <c r="A1865" s="13">
        <v>44441</v>
      </c>
      <c r="B1865" s="97">
        <v>1559</v>
      </c>
      <c r="C1865" t="s">
        <v>119</v>
      </c>
      <c r="D1865" s="94" t="s">
        <v>377</v>
      </c>
      <c r="E1865" t="s">
        <v>17</v>
      </c>
      <c r="F1865" t="s">
        <v>558</v>
      </c>
      <c r="G1865" s="50" t="s">
        <v>559</v>
      </c>
      <c r="H1865" s="50">
        <v>2</v>
      </c>
      <c r="I1865" s="100">
        <v>6.7391919697301583</v>
      </c>
      <c r="J1865" s="52">
        <v>3834.68</v>
      </c>
      <c r="K1865" s="67">
        <f t="shared" ref="K1865:K1928" si="120">+B1865*I1865*J1865/1000</f>
        <v>40288.683028813866</v>
      </c>
      <c r="L1865" s="95">
        <f>+VLOOKUP(E1865,MARGEN!A:B,2,FALSE)</f>
        <v>0.1</v>
      </c>
      <c r="M1865" s="112">
        <f t="shared" si="117"/>
        <v>4028.8683028813866</v>
      </c>
      <c r="N1865" s="113">
        <f t="shared" si="118"/>
        <v>161.15473211525546</v>
      </c>
      <c r="O1865" s="113">
        <f t="shared" si="119"/>
        <v>36098.659993817222</v>
      </c>
    </row>
    <row r="1866" spans="1:15" x14ac:dyDescent="0.25">
      <c r="A1866" s="13">
        <v>44441</v>
      </c>
      <c r="B1866" s="97">
        <v>1559</v>
      </c>
      <c r="C1866" t="s">
        <v>176</v>
      </c>
      <c r="D1866" s="94" t="s">
        <v>430</v>
      </c>
      <c r="E1866" t="s">
        <v>17</v>
      </c>
      <c r="F1866" t="s">
        <v>558</v>
      </c>
      <c r="G1866" s="50" t="s">
        <v>559</v>
      </c>
      <c r="H1866" s="50">
        <v>2</v>
      </c>
      <c r="I1866" s="100">
        <v>6.7391919697301583</v>
      </c>
      <c r="J1866" s="52">
        <v>3834.68</v>
      </c>
      <c r="K1866" s="67">
        <f t="shared" si="120"/>
        <v>40288.683028813866</v>
      </c>
      <c r="L1866" s="95">
        <f>+VLOOKUP(E1866,MARGEN!A:B,2,FALSE)</f>
        <v>0.1</v>
      </c>
      <c r="M1866" s="112">
        <f t="shared" si="117"/>
        <v>4028.8683028813866</v>
      </c>
      <c r="N1866" s="113">
        <f t="shared" si="118"/>
        <v>161.15473211525546</v>
      </c>
      <c r="O1866" s="113">
        <f t="shared" si="119"/>
        <v>36098.659993817222</v>
      </c>
    </row>
    <row r="1867" spans="1:15" x14ac:dyDescent="0.25">
      <c r="A1867" s="13">
        <v>44441</v>
      </c>
      <c r="B1867" s="97">
        <v>1558</v>
      </c>
      <c r="C1867" s="88" t="s">
        <v>552</v>
      </c>
      <c r="D1867" t="s">
        <v>563</v>
      </c>
      <c r="E1867" t="s">
        <v>17</v>
      </c>
      <c r="F1867" t="s">
        <v>572</v>
      </c>
      <c r="G1867" s="50" t="s">
        <v>243</v>
      </c>
      <c r="H1867" s="50">
        <v>2</v>
      </c>
      <c r="I1867" s="100">
        <v>6.7391919697301583</v>
      </c>
      <c r="J1867" s="52">
        <v>3834.68</v>
      </c>
      <c r="K1867" s="67">
        <f t="shared" si="120"/>
        <v>40262.840384151386</v>
      </c>
      <c r="L1867" s="95">
        <f>+VLOOKUP(E1867,MARGEN!A:B,2,FALSE)</f>
        <v>0.1</v>
      </c>
      <c r="M1867" s="112">
        <f t="shared" si="117"/>
        <v>4026.2840384151386</v>
      </c>
      <c r="N1867" s="113">
        <f t="shared" si="118"/>
        <v>161.05136153660555</v>
      </c>
      <c r="O1867" s="113">
        <f t="shared" si="119"/>
        <v>36075.504984199637</v>
      </c>
    </row>
    <row r="1868" spans="1:15" x14ac:dyDescent="0.25">
      <c r="A1868" s="13">
        <v>44441</v>
      </c>
      <c r="B1868" s="97">
        <v>1534</v>
      </c>
      <c r="C1868" t="s">
        <v>137</v>
      </c>
      <c r="D1868" s="94" t="s">
        <v>418</v>
      </c>
      <c r="E1868" t="s">
        <v>17</v>
      </c>
      <c r="F1868" t="s">
        <v>572</v>
      </c>
      <c r="G1868" s="50" t="s">
        <v>243</v>
      </c>
      <c r="H1868" s="50">
        <v>2</v>
      </c>
      <c r="I1868" s="100">
        <v>6.7391919697301583</v>
      </c>
      <c r="J1868" s="52">
        <v>3834.68</v>
      </c>
      <c r="K1868" s="67">
        <f t="shared" si="120"/>
        <v>39642.616912251746</v>
      </c>
      <c r="L1868" s="95">
        <f>+VLOOKUP(E1868,MARGEN!A:B,2,FALSE)</f>
        <v>0.1</v>
      </c>
      <c r="M1868" s="112">
        <f t="shared" si="117"/>
        <v>3964.2616912251747</v>
      </c>
      <c r="N1868" s="113">
        <f t="shared" si="118"/>
        <v>158.57046764900699</v>
      </c>
      <c r="O1868" s="113">
        <f t="shared" si="119"/>
        <v>35519.784753377564</v>
      </c>
    </row>
    <row r="1869" spans="1:15" x14ac:dyDescent="0.25">
      <c r="A1869" s="13">
        <v>44441</v>
      </c>
      <c r="B1869" s="97">
        <v>1511</v>
      </c>
      <c r="C1869" t="s">
        <v>291</v>
      </c>
      <c r="D1869" s="94" t="s">
        <v>492</v>
      </c>
      <c r="E1869" t="s">
        <v>17</v>
      </c>
      <c r="F1869" t="s">
        <v>558</v>
      </c>
      <c r="G1869" s="50" t="s">
        <v>559</v>
      </c>
      <c r="H1869" s="50">
        <v>2</v>
      </c>
      <c r="I1869" s="100">
        <v>6.7391919697301583</v>
      </c>
      <c r="J1869" s="52">
        <v>3834.68</v>
      </c>
      <c r="K1869" s="67">
        <f t="shared" si="120"/>
        <v>39048.2360850146</v>
      </c>
      <c r="L1869" s="95">
        <f>+VLOOKUP(E1869,MARGEN!A:B,2,FALSE)</f>
        <v>0.1</v>
      </c>
      <c r="M1869" s="112">
        <f t="shared" si="117"/>
        <v>3904.8236085014601</v>
      </c>
      <c r="N1869" s="113">
        <f t="shared" si="118"/>
        <v>156.1929443400584</v>
      </c>
      <c r="O1869" s="113">
        <f t="shared" si="119"/>
        <v>34987.219532173083</v>
      </c>
    </row>
    <row r="1870" spans="1:15" x14ac:dyDescent="0.25">
      <c r="A1870" s="13">
        <v>44441</v>
      </c>
      <c r="B1870" s="97">
        <v>1486</v>
      </c>
      <c r="C1870" t="s">
        <v>169</v>
      </c>
      <c r="D1870" s="94" t="s">
        <v>351</v>
      </c>
      <c r="E1870" t="s">
        <v>17</v>
      </c>
      <c r="F1870" t="s">
        <v>572</v>
      </c>
      <c r="G1870" s="50" t="s">
        <v>243</v>
      </c>
      <c r="H1870" s="50">
        <v>2</v>
      </c>
      <c r="I1870" s="100">
        <v>6.7391919697301583</v>
      </c>
      <c r="J1870" s="52">
        <v>3834.68</v>
      </c>
      <c r="K1870" s="67">
        <f t="shared" si="120"/>
        <v>38402.169968452479</v>
      </c>
      <c r="L1870" s="95">
        <f>+VLOOKUP(E1870,MARGEN!A:B,2,FALSE)</f>
        <v>0.1</v>
      </c>
      <c r="M1870" s="112">
        <f t="shared" si="117"/>
        <v>3840.2169968452481</v>
      </c>
      <c r="N1870" s="113">
        <f t="shared" si="118"/>
        <v>153.6086798738099</v>
      </c>
      <c r="O1870" s="113">
        <f t="shared" si="119"/>
        <v>34408.344291733418</v>
      </c>
    </row>
    <row r="1871" spans="1:15" x14ac:dyDescent="0.25">
      <c r="A1871" s="13">
        <v>44441</v>
      </c>
      <c r="B1871" s="97">
        <v>1462</v>
      </c>
      <c r="C1871" t="s">
        <v>297</v>
      </c>
      <c r="D1871" s="94" t="s">
        <v>526</v>
      </c>
      <c r="E1871" t="s">
        <v>17</v>
      </c>
      <c r="F1871" t="s">
        <v>572</v>
      </c>
      <c r="G1871" s="50" t="s">
        <v>243</v>
      </c>
      <c r="H1871" s="50">
        <v>2</v>
      </c>
      <c r="I1871" s="100">
        <v>6.7391919697301583</v>
      </c>
      <c r="J1871" s="52">
        <v>3834.68</v>
      </c>
      <c r="K1871" s="67">
        <f t="shared" si="120"/>
        <v>37781.946496552839</v>
      </c>
      <c r="L1871" s="95">
        <f>+VLOOKUP(E1871,MARGEN!A:B,2,FALSE)</f>
        <v>0.1</v>
      </c>
      <c r="M1871" s="112">
        <f t="shared" si="117"/>
        <v>3778.1946496552841</v>
      </c>
      <c r="N1871" s="113">
        <f t="shared" si="118"/>
        <v>151.12778598621136</v>
      </c>
      <c r="O1871" s="113">
        <f t="shared" si="119"/>
        <v>33852.624060911345</v>
      </c>
    </row>
    <row r="1872" spans="1:15" x14ac:dyDescent="0.25">
      <c r="A1872" s="13">
        <v>44441</v>
      </c>
      <c r="B1872" s="97">
        <v>1439</v>
      </c>
      <c r="C1872" t="s">
        <v>168</v>
      </c>
      <c r="D1872" s="94" t="s">
        <v>352</v>
      </c>
      <c r="E1872" t="s">
        <v>17</v>
      </c>
      <c r="F1872" t="s">
        <v>558</v>
      </c>
      <c r="G1872" s="50" t="s">
        <v>559</v>
      </c>
      <c r="H1872" s="50">
        <v>2</v>
      </c>
      <c r="I1872" s="100">
        <v>6.7391919697301583</v>
      </c>
      <c r="J1872" s="52">
        <v>3834.68</v>
      </c>
      <c r="K1872" s="67">
        <f t="shared" si="120"/>
        <v>37187.565669315685</v>
      </c>
      <c r="L1872" s="95">
        <f>+VLOOKUP(E1872,MARGEN!A:B,2,FALSE)</f>
        <v>0.1</v>
      </c>
      <c r="M1872" s="112">
        <f t="shared" si="117"/>
        <v>3718.7565669315686</v>
      </c>
      <c r="N1872" s="113">
        <f t="shared" si="118"/>
        <v>148.75026267726275</v>
      </c>
      <c r="O1872" s="113">
        <f t="shared" si="119"/>
        <v>33320.058839706857</v>
      </c>
    </row>
    <row r="1873" spans="1:15" x14ac:dyDescent="0.25">
      <c r="A1873" s="13">
        <v>44441</v>
      </c>
      <c r="B1873" s="97">
        <v>1438</v>
      </c>
      <c r="C1873" t="s">
        <v>210</v>
      </c>
      <c r="D1873" s="94" t="s">
        <v>402</v>
      </c>
      <c r="E1873" t="s">
        <v>17</v>
      </c>
      <c r="F1873" t="s">
        <v>572</v>
      </c>
      <c r="G1873" s="50" t="s">
        <v>243</v>
      </c>
      <c r="H1873" s="50">
        <v>2</v>
      </c>
      <c r="I1873" s="100">
        <v>6.7391919697301583</v>
      </c>
      <c r="J1873" s="52">
        <v>3834.68</v>
      </c>
      <c r="K1873" s="67">
        <f t="shared" si="120"/>
        <v>37161.723024653205</v>
      </c>
      <c r="L1873" s="95">
        <f>+VLOOKUP(E1873,MARGEN!A:B,2,FALSE)</f>
        <v>0.1</v>
      </c>
      <c r="M1873" s="112">
        <f t="shared" si="117"/>
        <v>3716.1723024653206</v>
      </c>
      <c r="N1873" s="113">
        <f t="shared" si="118"/>
        <v>148.64689209861282</v>
      </c>
      <c r="O1873" s="113">
        <f t="shared" si="119"/>
        <v>33296.903830089272</v>
      </c>
    </row>
    <row r="1874" spans="1:15" x14ac:dyDescent="0.25">
      <c r="A1874" s="13">
        <v>44441</v>
      </c>
      <c r="B1874" s="97">
        <v>1390</v>
      </c>
      <c r="C1874" t="s">
        <v>187</v>
      </c>
      <c r="D1874" t="s">
        <v>420</v>
      </c>
      <c r="E1874" t="s">
        <v>17</v>
      </c>
      <c r="F1874" t="s">
        <v>572</v>
      </c>
      <c r="G1874" s="50" t="s">
        <v>243</v>
      </c>
      <c r="H1874" s="50">
        <v>2</v>
      </c>
      <c r="I1874" s="100">
        <v>6.7391919697301583</v>
      </c>
      <c r="J1874" s="52">
        <v>3834.68</v>
      </c>
      <c r="K1874" s="67">
        <f t="shared" si="120"/>
        <v>35921.276080853931</v>
      </c>
      <c r="L1874" s="95">
        <f>+VLOOKUP(E1874,MARGEN!A:B,2,FALSE)</f>
        <v>0.1</v>
      </c>
      <c r="M1874" s="112">
        <f t="shared" si="117"/>
        <v>3592.1276080853931</v>
      </c>
      <c r="N1874" s="113">
        <f t="shared" si="118"/>
        <v>143.68510432341571</v>
      </c>
      <c r="O1874" s="113">
        <f t="shared" si="119"/>
        <v>32185.463368445122</v>
      </c>
    </row>
    <row r="1875" spans="1:15" x14ac:dyDescent="0.25">
      <c r="A1875" s="13">
        <v>44441</v>
      </c>
      <c r="B1875" s="97">
        <v>1367</v>
      </c>
      <c r="C1875" t="s">
        <v>173</v>
      </c>
      <c r="D1875" s="94" t="s">
        <v>451</v>
      </c>
      <c r="E1875" t="s">
        <v>17</v>
      </c>
      <c r="F1875" t="s">
        <v>558</v>
      </c>
      <c r="G1875" s="50" t="s">
        <v>559</v>
      </c>
      <c r="H1875" s="50">
        <v>2</v>
      </c>
      <c r="I1875" s="100">
        <v>6.7391919697301583</v>
      </c>
      <c r="J1875" s="52">
        <v>3834.68</v>
      </c>
      <c r="K1875" s="67">
        <f t="shared" si="120"/>
        <v>35326.895253616778</v>
      </c>
      <c r="L1875" s="95">
        <f>+VLOOKUP(E1875,MARGEN!A:B,2,FALSE)</f>
        <v>0.1</v>
      </c>
      <c r="M1875" s="112">
        <f t="shared" si="117"/>
        <v>3532.6895253616781</v>
      </c>
      <c r="N1875" s="113">
        <f t="shared" si="118"/>
        <v>141.3075810144671</v>
      </c>
      <c r="O1875" s="113">
        <f t="shared" si="119"/>
        <v>31652.898147240634</v>
      </c>
    </row>
    <row r="1876" spans="1:15" x14ac:dyDescent="0.25">
      <c r="A1876" s="13">
        <v>44441</v>
      </c>
      <c r="B1876" s="97">
        <v>1343</v>
      </c>
      <c r="C1876" t="s">
        <v>292</v>
      </c>
      <c r="D1876" t="s">
        <v>535</v>
      </c>
      <c r="E1876" t="s">
        <v>17</v>
      </c>
      <c r="F1876" t="s">
        <v>558</v>
      </c>
      <c r="G1876" s="50" t="s">
        <v>559</v>
      </c>
      <c r="H1876" s="50">
        <v>2</v>
      </c>
      <c r="I1876" s="100">
        <v>6.7391919697301583</v>
      </c>
      <c r="J1876" s="52">
        <v>3834.68</v>
      </c>
      <c r="K1876" s="67">
        <f t="shared" si="120"/>
        <v>34706.671781717145</v>
      </c>
      <c r="L1876" s="95">
        <f>+VLOOKUP(E1876,MARGEN!A:B,2,FALSE)</f>
        <v>0.1</v>
      </c>
      <c r="M1876" s="112">
        <f t="shared" si="117"/>
        <v>3470.6671781717146</v>
      </c>
      <c r="N1876" s="113">
        <f t="shared" si="118"/>
        <v>138.82668712686859</v>
      </c>
      <c r="O1876" s="113">
        <f t="shared" si="119"/>
        <v>31097.177916418561</v>
      </c>
    </row>
    <row r="1877" spans="1:15" x14ac:dyDescent="0.25">
      <c r="A1877" s="13">
        <v>44441</v>
      </c>
      <c r="B1877" s="97">
        <v>1319</v>
      </c>
      <c r="C1877" t="s">
        <v>118</v>
      </c>
      <c r="D1877" s="94" t="s">
        <v>329</v>
      </c>
      <c r="E1877" t="s">
        <v>17</v>
      </c>
      <c r="F1877" t="s">
        <v>558</v>
      </c>
      <c r="G1877" s="50" t="s">
        <v>559</v>
      </c>
      <c r="H1877" s="50">
        <v>2</v>
      </c>
      <c r="I1877" s="100">
        <v>6.7391919697301583</v>
      </c>
      <c r="J1877" s="52">
        <v>3834.68</v>
      </c>
      <c r="K1877" s="67">
        <f t="shared" si="120"/>
        <v>34086.448309817511</v>
      </c>
      <c r="L1877" s="95">
        <f>+VLOOKUP(E1877,MARGEN!A:B,2,FALSE)</f>
        <v>0.1</v>
      </c>
      <c r="M1877" s="112">
        <f t="shared" si="117"/>
        <v>3408.6448309817515</v>
      </c>
      <c r="N1877" s="113">
        <f t="shared" si="118"/>
        <v>136.34579323927005</v>
      </c>
      <c r="O1877" s="113">
        <f t="shared" si="119"/>
        <v>30541.457685596492</v>
      </c>
    </row>
    <row r="1878" spans="1:15" x14ac:dyDescent="0.25">
      <c r="A1878" s="13">
        <v>44441</v>
      </c>
      <c r="B1878" s="97">
        <v>1319</v>
      </c>
      <c r="C1878" t="s">
        <v>141</v>
      </c>
      <c r="D1878" s="94" t="s">
        <v>450</v>
      </c>
      <c r="E1878" t="s">
        <v>17</v>
      </c>
      <c r="F1878" t="s">
        <v>558</v>
      </c>
      <c r="G1878" s="50" t="s">
        <v>559</v>
      </c>
      <c r="H1878" s="50">
        <v>2</v>
      </c>
      <c r="I1878" s="100">
        <v>6.7391919697301583</v>
      </c>
      <c r="J1878" s="52">
        <v>3834.68</v>
      </c>
      <c r="K1878" s="67">
        <f t="shared" si="120"/>
        <v>34086.448309817511</v>
      </c>
      <c r="L1878" s="95">
        <f>+VLOOKUP(E1878,MARGEN!A:B,2,FALSE)</f>
        <v>0.1</v>
      </c>
      <c r="M1878" s="112">
        <f t="shared" si="117"/>
        <v>3408.6448309817515</v>
      </c>
      <c r="N1878" s="113">
        <f t="shared" si="118"/>
        <v>136.34579323927005</v>
      </c>
      <c r="O1878" s="113">
        <f t="shared" si="119"/>
        <v>30541.457685596492</v>
      </c>
    </row>
    <row r="1879" spans="1:15" x14ac:dyDescent="0.25">
      <c r="A1879" s="13">
        <v>44441</v>
      </c>
      <c r="B1879" s="97">
        <v>1295</v>
      </c>
      <c r="C1879" t="s">
        <v>302</v>
      </c>
      <c r="D1879" s="94" t="s">
        <v>538</v>
      </c>
      <c r="E1879" t="s">
        <v>17</v>
      </c>
      <c r="F1879" t="s">
        <v>558</v>
      </c>
      <c r="G1879" s="50" t="s">
        <v>559</v>
      </c>
      <c r="H1879" s="50">
        <v>2</v>
      </c>
      <c r="I1879" s="100">
        <v>6.7391919697301583</v>
      </c>
      <c r="J1879" s="52">
        <v>3834.68</v>
      </c>
      <c r="K1879" s="67">
        <f t="shared" si="120"/>
        <v>33466.224837917871</v>
      </c>
      <c r="L1879" s="95">
        <f>+VLOOKUP(E1879,MARGEN!A:B,2,FALSE)</f>
        <v>0.1</v>
      </c>
      <c r="M1879" s="112">
        <f t="shared" si="117"/>
        <v>3346.6224837917871</v>
      </c>
      <c r="N1879" s="113">
        <f t="shared" si="118"/>
        <v>133.86489935167148</v>
      </c>
      <c r="O1879" s="113">
        <f t="shared" si="119"/>
        <v>29985.737454774411</v>
      </c>
    </row>
    <row r="1880" spans="1:15" x14ac:dyDescent="0.25">
      <c r="A1880" s="13">
        <v>44441</v>
      </c>
      <c r="B1880" s="97">
        <v>1294</v>
      </c>
      <c r="C1880" t="s">
        <v>151</v>
      </c>
      <c r="D1880" s="94" t="s">
        <v>394</v>
      </c>
      <c r="E1880" t="s">
        <v>17</v>
      </c>
      <c r="F1880" t="s">
        <v>572</v>
      </c>
      <c r="G1880" s="50" t="s">
        <v>243</v>
      </c>
      <c r="H1880" s="50">
        <v>2</v>
      </c>
      <c r="I1880" s="100">
        <v>6.7391919697301583</v>
      </c>
      <c r="J1880" s="52">
        <v>3834.68</v>
      </c>
      <c r="K1880" s="67">
        <f t="shared" si="120"/>
        <v>33440.382193255384</v>
      </c>
      <c r="L1880" s="95">
        <f>+VLOOKUP(E1880,MARGEN!A:B,2,FALSE)</f>
        <v>0.1</v>
      </c>
      <c r="M1880" s="112">
        <f t="shared" si="117"/>
        <v>3344.0382193255386</v>
      </c>
      <c r="N1880" s="113">
        <f t="shared" si="118"/>
        <v>133.76152877302152</v>
      </c>
      <c r="O1880" s="113">
        <f t="shared" si="119"/>
        <v>29962.582445156822</v>
      </c>
    </row>
    <row r="1881" spans="1:15" x14ac:dyDescent="0.25">
      <c r="A1881" s="13">
        <v>44441</v>
      </c>
      <c r="B1881" s="97">
        <v>1271</v>
      </c>
      <c r="C1881" t="s">
        <v>183</v>
      </c>
      <c r="D1881" s="94" t="s">
        <v>390</v>
      </c>
      <c r="E1881" t="s">
        <v>17</v>
      </c>
      <c r="F1881" t="s">
        <v>558</v>
      </c>
      <c r="G1881" s="50" t="s">
        <v>559</v>
      </c>
      <c r="H1881" s="50">
        <v>2</v>
      </c>
      <c r="I1881" s="100">
        <v>6.7391919697301583</v>
      </c>
      <c r="J1881" s="52">
        <v>3834.68</v>
      </c>
      <c r="K1881" s="67">
        <f t="shared" si="120"/>
        <v>32846.00136601823</v>
      </c>
      <c r="L1881" s="95">
        <f>+VLOOKUP(E1881,MARGEN!A:B,2,FALSE)</f>
        <v>0.1</v>
      </c>
      <c r="M1881" s="112">
        <f t="shared" si="117"/>
        <v>3284.6001366018231</v>
      </c>
      <c r="N1881" s="113">
        <f t="shared" si="118"/>
        <v>131.38400546407291</v>
      </c>
      <c r="O1881" s="113">
        <f t="shared" si="119"/>
        <v>29430.017223952334</v>
      </c>
    </row>
    <row r="1882" spans="1:15" x14ac:dyDescent="0.25">
      <c r="A1882" s="13">
        <v>44441</v>
      </c>
      <c r="B1882" s="97">
        <v>1247</v>
      </c>
      <c r="C1882" t="s">
        <v>298</v>
      </c>
      <c r="D1882" s="94" t="s">
        <v>536</v>
      </c>
      <c r="E1882" t="s">
        <v>17</v>
      </c>
      <c r="F1882" t="s">
        <v>558</v>
      </c>
      <c r="G1882" s="50" t="s">
        <v>559</v>
      </c>
      <c r="H1882" s="50">
        <v>2</v>
      </c>
      <c r="I1882" s="100">
        <v>6.7391919697301583</v>
      </c>
      <c r="J1882" s="52">
        <v>3834.68</v>
      </c>
      <c r="K1882" s="67">
        <f t="shared" si="120"/>
        <v>32225.777894118601</v>
      </c>
      <c r="L1882" s="95">
        <f>+VLOOKUP(E1882,MARGEN!A:B,2,FALSE)</f>
        <v>0.1</v>
      </c>
      <c r="M1882" s="112">
        <f t="shared" si="117"/>
        <v>3222.5777894118601</v>
      </c>
      <c r="N1882" s="113">
        <f t="shared" si="118"/>
        <v>128.9031115764744</v>
      </c>
      <c r="O1882" s="113">
        <f t="shared" si="119"/>
        <v>28874.296993130265</v>
      </c>
    </row>
    <row r="1883" spans="1:15" x14ac:dyDescent="0.25">
      <c r="A1883" s="13">
        <v>44441</v>
      </c>
      <c r="B1883" s="97">
        <v>1222</v>
      </c>
      <c r="C1883" t="s">
        <v>199</v>
      </c>
      <c r="D1883" s="94" t="s">
        <v>414</v>
      </c>
      <c r="E1883" t="s">
        <v>17</v>
      </c>
      <c r="F1883" t="s">
        <v>572</v>
      </c>
      <c r="G1883" s="50" t="s">
        <v>243</v>
      </c>
      <c r="H1883" s="50">
        <v>2</v>
      </c>
      <c r="I1883" s="100">
        <v>6.7391919697301583</v>
      </c>
      <c r="J1883" s="52">
        <v>3834.68</v>
      </c>
      <c r="K1883" s="67">
        <f t="shared" si="120"/>
        <v>31579.71177755648</v>
      </c>
      <c r="L1883" s="95">
        <f>+VLOOKUP(E1883,MARGEN!A:B,2,FALSE)</f>
        <v>0.1</v>
      </c>
      <c r="M1883" s="112">
        <f t="shared" si="117"/>
        <v>3157.9711777556481</v>
      </c>
      <c r="N1883" s="113">
        <f t="shared" si="118"/>
        <v>126.31884711022592</v>
      </c>
      <c r="O1883" s="113">
        <f t="shared" si="119"/>
        <v>28295.421752690607</v>
      </c>
    </row>
    <row r="1884" spans="1:15" x14ac:dyDescent="0.25">
      <c r="A1884" s="13">
        <v>44441</v>
      </c>
      <c r="B1884" s="97">
        <v>1151</v>
      </c>
      <c r="C1884" t="s">
        <v>185</v>
      </c>
      <c r="D1884" s="94" t="s">
        <v>456</v>
      </c>
      <c r="E1884" t="s">
        <v>17</v>
      </c>
      <c r="F1884" t="s">
        <v>557</v>
      </c>
      <c r="G1884" s="50" t="s">
        <v>205</v>
      </c>
      <c r="H1884" s="50">
        <v>2</v>
      </c>
      <c r="I1884" s="100">
        <v>6.7391919697301583</v>
      </c>
      <c r="J1884" s="52">
        <v>3834.68</v>
      </c>
      <c r="K1884" s="67">
        <f t="shared" si="120"/>
        <v>29744.884006520053</v>
      </c>
      <c r="L1884" s="95">
        <f>+VLOOKUP(E1884,MARGEN!A:B,2,FALSE)</f>
        <v>0.1</v>
      </c>
      <c r="M1884" s="112">
        <f t="shared" si="117"/>
        <v>2974.4884006520056</v>
      </c>
      <c r="N1884" s="113">
        <f t="shared" si="118"/>
        <v>118.97953602608021</v>
      </c>
      <c r="O1884" s="113">
        <f t="shared" si="119"/>
        <v>26651.416069841969</v>
      </c>
    </row>
    <row r="1885" spans="1:15" x14ac:dyDescent="0.25">
      <c r="A1885" s="13">
        <v>44441</v>
      </c>
      <c r="B1885" s="97">
        <v>1151</v>
      </c>
      <c r="C1885" t="s">
        <v>184</v>
      </c>
      <c r="D1885" s="94" t="s">
        <v>443</v>
      </c>
      <c r="E1885" t="s">
        <v>17</v>
      </c>
      <c r="F1885" t="s">
        <v>558</v>
      </c>
      <c r="G1885" s="50" t="s">
        <v>559</v>
      </c>
      <c r="H1885" s="50">
        <v>2</v>
      </c>
      <c r="I1885" s="100">
        <v>6.7391919697301583</v>
      </c>
      <c r="J1885" s="52">
        <v>3834.68</v>
      </c>
      <c r="K1885" s="67">
        <f t="shared" si="120"/>
        <v>29744.884006520053</v>
      </c>
      <c r="L1885" s="95">
        <f>+VLOOKUP(E1885,MARGEN!A:B,2,FALSE)</f>
        <v>0.1</v>
      </c>
      <c r="M1885" s="112">
        <f t="shared" si="117"/>
        <v>2974.4884006520056</v>
      </c>
      <c r="N1885" s="113">
        <f t="shared" si="118"/>
        <v>118.97953602608021</v>
      </c>
      <c r="O1885" s="113">
        <f t="shared" si="119"/>
        <v>26651.416069841969</v>
      </c>
    </row>
    <row r="1886" spans="1:15" x14ac:dyDescent="0.25">
      <c r="A1886" s="13">
        <v>44441</v>
      </c>
      <c r="B1886" s="97">
        <v>911</v>
      </c>
      <c r="C1886" t="s">
        <v>182</v>
      </c>
      <c r="D1886" s="94" t="s">
        <v>455</v>
      </c>
      <c r="E1886" t="s">
        <v>17</v>
      </c>
      <c r="F1886" t="s">
        <v>558</v>
      </c>
      <c r="G1886" s="50" t="s">
        <v>559</v>
      </c>
      <c r="H1886" s="50">
        <v>2</v>
      </c>
      <c r="I1886" s="100">
        <v>6.7391919697301583</v>
      </c>
      <c r="J1886" s="52">
        <v>3834.68</v>
      </c>
      <c r="K1886" s="67">
        <f t="shared" si="120"/>
        <v>23542.649287523691</v>
      </c>
      <c r="L1886" s="95">
        <f>+VLOOKUP(E1886,MARGEN!A:B,2,FALSE)</f>
        <v>0.1</v>
      </c>
      <c r="M1886" s="112">
        <f t="shared" si="117"/>
        <v>2354.2649287523691</v>
      </c>
      <c r="N1886" s="113">
        <f t="shared" si="118"/>
        <v>94.170597150094764</v>
      </c>
      <c r="O1886" s="113">
        <f t="shared" si="119"/>
        <v>21094.213761621224</v>
      </c>
    </row>
    <row r="1887" spans="1:15" x14ac:dyDescent="0.25">
      <c r="A1887" s="13">
        <v>44441</v>
      </c>
      <c r="B1887" s="97">
        <v>791</v>
      </c>
      <c r="C1887" t="s">
        <v>307</v>
      </c>
      <c r="D1887" s="94" t="s">
        <v>497</v>
      </c>
      <c r="E1887" t="s">
        <v>17</v>
      </c>
      <c r="F1887" t="s">
        <v>558</v>
      </c>
      <c r="G1887" s="50" t="s">
        <v>559</v>
      </c>
      <c r="H1887" s="50">
        <v>2</v>
      </c>
      <c r="I1887" s="100">
        <v>6.7391919697301583</v>
      </c>
      <c r="J1887" s="52">
        <v>3834.68</v>
      </c>
      <c r="K1887" s="67">
        <f t="shared" si="120"/>
        <v>20441.53192802551</v>
      </c>
      <c r="L1887" s="95">
        <f>+VLOOKUP(E1887,MARGEN!A:B,2,FALSE)</f>
        <v>0.1</v>
      </c>
      <c r="M1887" s="112">
        <f t="shared" si="117"/>
        <v>2044.1531928025511</v>
      </c>
      <c r="N1887" s="113">
        <f t="shared" si="118"/>
        <v>81.766127712102033</v>
      </c>
      <c r="O1887" s="113">
        <f t="shared" si="119"/>
        <v>18315.612607510859</v>
      </c>
    </row>
    <row r="1888" spans="1:15" x14ac:dyDescent="0.25">
      <c r="A1888" s="13">
        <v>44441</v>
      </c>
      <c r="B1888" s="97">
        <v>743</v>
      </c>
      <c r="C1888" t="s">
        <v>181</v>
      </c>
      <c r="D1888" s="94" t="s">
        <v>415</v>
      </c>
      <c r="E1888" t="s">
        <v>17</v>
      </c>
      <c r="F1888" t="s">
        <v>557</v>
      </c>
      <c r="G1888" s="50" t="s">
        <v>205</v>
      </c>
      <c r="H1888" s="50">
        <v>2</v>
      </c>
      <c r="I1888" s="100">
        <v>6.7391919697301583</v>
      </c>
      <c r="J1888" s="52">
        <v>3834.68</v>
      </c>
      <c r="K1888" s="67">
        <f t="shared" si="120"/>
        <v>19201.08498422624</v>
      </c>
      <c r="L1888" s="95">
        <f>+VLOOKUP(E1888,MARGEN!A:B,2,FALSE)</f>
        <v>0.1</v>
      </c>
      <c r="M1888" s="112">
        <f t="shared" si="117"/>
        <v>1920.1084984226241</v>
      </c>
      <c r="N1888" s="113">
        <f t="shared" si="118"/>
        <v>76.804339936904952</v>
      </c>
      <c r="O1888" s="113">
        <f t="shared" si="119"/>
        <v>17204.172145866709</v>
      </c>
    </row>
    <row r="1889" spans="1:15" x14ac:dyDescent="0.25">
      <c r="A1889" s="13">
        <v>44442</v>
      </c>
      <c r="B1889" s="97">
        <v>9454</v>
      </c>
      <c r="C1889" t="s">
        <v>280</v>
      </c>
      <c r="D1889" s="94" t="s">
        <v>457</v>
      </c>
      <c r="E1889" t="s">
        <v>17</v>
      </c>
      <c r="F1889" t="s">
        <v>557</v>
      </c>
      <c r="G1889" s="50" t="s">
        <v>205</v>
      </c>
      <c r="H1889" s="50">
        <v>2</v>
      </c>
      <c r="I1889" s="100">
        <v>6.7391919697301583</v>
      </c>
      <c r="J1889" s="52">
        <v>3834.68</v>
      </c>
      <c r="K1889" s="67">
        <f t="shared" si="120"/>
        <v>244316.36263913172</v>
      </c>
      <c r="L1889" s="95">
        <f>+VLOOKUP(E1889,MARGEN!A:B,2,FALSE)</f>
        <v>0.1</v>
      </c>
      <c r="M1889" s="112">
        <f t="shared" si="117"/>
        <v>24431.636263913173</v>
      </c>
      <c r="N1889" s="113">
        <f t="shared" si="118"/>
        <v>977.26545055652684</v>
      </c>
      <c r="O1889" s="113">
        <f t="shared" si="119"/>
        <v>218907.46092466201</v>
      </c>
    </row>
    <row r="1890" spans="1:15" x14ac:dyDescent="0.25">
      <c r="A1890" s="13">
        <v>44442</v>
      </c>
      <c r="B1890" s="97">
        <v>6767</v>
      </c>
      <c r="C1890" s="88" t="s">
        <v>150</v>
      </c>
      <c r="D1890" t="s">
        <v>357</v>
      </c>
      <c r="E1890" t="s">
        <v>17</v>
      </c>
      <c r="F1890" t="s">
        <v>558</v>
      </c>
      <c r="G1890" s="50" t="s">
        <v>559</v>
      </c>
      <c r="H1890" s="50">
        <v>2</v>
      </c>
      <c r="I1890" s="100">
        <v>6.7391919697301583</v>
      </c>
      <c r="J1890" s="52">
        <v>3834.68</v>
      </c>
      <c r="K1890" s="67">
        <f t="shared" si="120"/>
        <v>174877.17643103495</v>
      </c>
      <c r="L1890" s="95">
        <f>+VLOOKUP(E1890,MARGEN!A:B,2,FALSE)</f>
        <v>0.1</v>
      </c>
      <c r="M1890" s="112">
        <f t="shared" si="117"/>
        <v>17487.717643103497</v>
      </c>
      <c r="N1890" s="113">
        <f t="shared" si="118"/>
        <v>699.50870572413976</v>
      </c>
      <c r="O1890" s="113">
        <f t="shared" si="119"/>
        <v>156689.9500822073</v>
      </c>
    </row>
    <row r="1891" spans="1:15" x14ac:dyDescent="0.25">
      <c r="A1891" s="13">
        <v>44442</v>
      </c>
      <c r="B1891" s="97">
        <v>5975</v>
      </c>
      <c r="C1891" t="s">
        <v>279</v>
      </c>
      <c r="D1891" s="94" t="s">
        <v>493</v>
      </c>
      <c r="E1891" t="s">
        <v>17</v>
      </c>
      <c r="F1891" t="s">
        <v>558</v>
      </c>
      <c r="G1891" s="50" t="s">
        <v>559</v>
      </c>
      <c r="H1891" s="50">
        <v>2</v>
      </c>
      <c r="I1891" s="100">
        <v>6.7391919697301583</v>
      </c>
      <c r="J1891" s="52">
        <v>3834.68</v>
      </c>
      <c r="K1891" s="67">
        <f t="shared" si="120"/>
        <v>154409.80185834694</v>
      </c>
      <c r="L1891" s="95">
        <f>+VLOOKUP(E1891,MARGEN!A:B,2,FALSE)</f>
        <v>0.1</v>
      </c>
      <c r="M1891" s="112">
        <f t="shared" si="117"/>
        <v>15440.980185834695</v>
      </c>
      <c r="N1891" s="113">
        <f t="shared" si="118"/>
        <v>617.63920743338781</v>
      </c>
      <c r="O1891" s="113">
        <f t="shared" si="119"/>
        <v>138351.18246507886</v>
      </c>
    </row>
    <row r="1892" spans="1:15" x14ac:dyDescent="0.25">
      <c r="A1892" s="13">
        <v>44442</v>
      </c>
      <c r="B1892" s="97">
        <v>5327</v>
      </c>
      <c r="C1892" t="s">
        <v>278</v>
      </c>
      <c r="D1892" s="94" t="s">
        <v>453</v>
      </c>
      <c r="E1892" t="s">
        <v>17</v>
      </c>
      <c r="F1892" t="s">
        <v>558</v>
      </c>
      <c r="G1892" s="50" t="s">
        <v>559</v>
      </c>
      <c r="H1892" s="50">
        <v>2</v>
      </c>
      <c r="I1892" s="100">
        <v>6.7391919697301583</v>
      </c>
      <c r="J1892" s="52">
        <v>3834.68</v>
      </c>
      <c r="K1892" s="67">
        <f t="shared" si="120"/>
        <v>137663.76811705675</v>
      </c>
      <c r="L1892" s="95">
        <f>+VLOOKUP(E1892,MARGEN!A:B,2,FALSE)</f>
        <v>0.1</v>
      </c>
      <c r="M1892" s="112">
        <f t="shared" si="117"/>
        <v>13766.376811705675</v>
      </c>
      <c r="N1892" s="113">
        <f t="shared" si="118"/>
        <v>550.65507246822699</v>
      </c>
      <c r="O1892" s="113">
        <f t="shared" si="119"/>
        <v>123346.73623288285</v>
      </c>
    </row>
    <row r="1893" spans="1:15" x14ac:dyDescent="0.25">
      <c r="A1893" s="13">
        <v>44442</v>
      </c>
      <c r="B1893" s="97">
        <v>4631</v>
      </c>
      <c r="C1893" t="s">
        <v>136</v>
      </c>
      <c r="D1893" s="94" t="s">
        <v>359</v>
      </c>
      <c r="E1893" t="s">
        <v>17</v>
      </c>
      <c r="F1893" t="s">
        <v>558</v>
      </c>
      <c r="G1893" s="50" t="s">
        <v>559</v>
      </c>
      <c r="H1893" s="50">
        <v>2</v>
      </c>
      <c r="I1893" s="100">
        <v>6.7391919697301583</v>
      </c>
      <c r="J1893" s="52">
        <v>3834.68</v>
      </c>
      <c r="K1893" s="67">
        <f t="shared" si="120"/>
        <v>119677.28743196731</v>
      </c>
      <c r="L1893" s="95">
        <f>+VLOOKUP(E1893,MARGEN!A:B,2,FALSE)</f>
        <v>0.1</v>
      </c>
      <c r="M1893" s="112">
        <f t="shared" si="117"/>
        <v>11967.728743196732</v>
      </c>
      <c r="N1893" s="113">
        <f t="shared" si="118"/>
        <v>478.70914972786926</v>
      </c>
      <c r="O1893" s="113">
        <f t="shared" si="119"/>
        <v>107230.84953904271</v>
      </c>
    </row>
    <row r="1894" spans="1:15" x14ac:dyDescent="0.25">
      <c r="A1894" s="13">
        <v>44442</v>
      </c>
      <c r="B1894" s="97">
        <v>4271</v>
      </c>
      <c r="C1894" t="s">
        <v>193</v>
      </c>
      <c r="D1894" s="94" t="s">
        <v>380</v>
      </c>
      <c r="E1894" t="s">
        <v>17</v>
      </c>
      <c r="F1894" t="s">
        <v>558</v>
      </c>
      <c r="G1894" s="50" t="s">
        <v>559</v>
      </c>
      <c r="H1894" s="50">
        <v>2</v>
      </c>
      <c r="I1894" s="100">
        <v>6.7391919697301583</v>
      </c>
      <c r="J1894" s="52">
        <v>3834.68</v>
      </c>
      <c r="K1894" s="67">
        <f t="shared" si="120"/>
        <v>110373.93535347277</v>
      </c>
      <c r="L1894" s="95">
        <f>+VLOOKUP(E1894,MARGEN!A:B,2,FALSE)</f>
        <v>0.1</v>
      </c>
      <c r="M1894" s="112">
        <f t="shared" si="117"/>
        <v>11037.393535347277</v>
      </c>
      <c r="N1894" s="113">
        <f t="shared" si="118"/>
        <v>441.4957414138911</v>
      </c>
      <c r="O1894" s="113">
        <f t="shared" si="119"/>
        <v>98895.046076711602</v>
      </c>
    </row>
    <row r="1895" spans="1:15" x14ac:dyDescent="0.25">
      <c r="A1895" s="13">
        <v>44442</v>
      </c>
      <c r="B1895" s="97">
        <v>3887</v>
      </c>
      <c r="C1895" t="s">
        <v>293</v>
      </c>
      <c r="D1895" s="94" t="s">
        <v>499</v>
      </c>
      <c r="E1895" t="s">
        <v>17</v>
      </c>
      <c r="F1895" t="s">
        <v>558</v>
      </c>
      <c r="G1895" s="50" t="s">
        <v>559</v>
      </c>
      <c r="H1895" s="50">
        <v>2</v>
      </c>
      <c r="I1895" s="100">
        <v>6.7391919697301583</v>
      </c>
      <c r="J1895" s="52">
        <v>3834.68</v>
      </c>
      <c r="K1895" s="67">
        <f t="shared" si="120"/>
        <v>100450.35980307858</v>
      </c>
      <c r="L1895" s="95">
        <f>+VLOOKUP(E1895,MARGEN!A:B,2,FALSE)</f>
        <v>0.1</v>
      </c>
      <c r="M1895" s="112">
        <f t="shared" si="117"/>
        <v>10045.035980307859</v>
      </c>
      <c r="N1895" s="113">
        <f t="shared" si="118"/>
        <v>401.80143921231434</v>
      </c>
      <c r="O1895" s="113">
        <f t="shared" si="119"/>
        <v>90003.522383558404</v>
      </c>
    </row>
    <row r="1896" spans="1:15" x14ac:dyDescent="0.25">
      <c r="A1896" s="13">
        <v>44442</v>
      </c>
      <c r="B1896" s="97">
        <v>3791</v>
      </c>
      <c r="C1896" t="s">
        <v>144</v>
      </c>
      <c r="D1896" s="94" t="s">
        <v>343</v>
      </c>
      <c r="E1896" t="s">
        <v>17</v>
      </c>
      <c r="F1896" t="s">
        <v>557</v>
      </c>
      <c r="G1896" s="50" t="s">
        <v>205</v>
      </c>
      <c r="H1896" s="50">
        <v>2</v>
      </c>
      <c r="I1896" s="100">
        <v>6.7391919697301583</v>
      </c>
      <c r="J1896" s="52">
        <v>3834.68</v>
      </c>
      <c r="K1896" s="67">
        <f t="shared" si="120"/>
        <v>97969.465915480032</v>
      </c>
      <c r="L1896" s="95">
        <f>+VLOOKUP(E1896,MARGEN!A:B,2,FALSE)</f>
        <v>0.1</v>
      </c>
      <c r="M1896" s="112">
        <f t="shared" si="117"/>
        <v>9796.9465915480032</v>
      </c>
      <c r="N1896" s="113">
        <f t="shared" si="118"/>
        <v>391.87786366192012</v>
      </c>
      <c r="O1896" s="113">
        <f t="shared" si="119"/>
        <v>87780.641460270112</v>
      </c>
    </row>
    <row r="1897" spans="1:15" x14ac:dyDescent="0.25">
      <c r="A1897" s="13">
        <v>44442</v>
      </c>
      <c r="B1897" s="51">
        <v>3599</v>
      </c>
      <c r="C1897" s="66" t="s">
        <v>192</v>
      </c>
      <c r="D1897" s="66" t="s">
        <v>347</v>
      </c>
      <c r="E1897" t="s">
        <v>17</v>
      </c>
      <c r="F1897" s="50" t="s">
        <v>558</v>
      </c>
      <c r="G1897" s="50" t="s">
        <v>559</v>
      </c>
      <c r="H1897" s="50">
        <v>2</v>
      </c>
      <c r="I1897" s="100">
        <v>6.7391919697301583</v>
      </c>
      <c r="J1897" s="52">
        <v>3834.68</v>
      </c>
      <c r="K1897" s="67">
        <f t="shared" si="120"/>
        <v>93007.678140282951</v>
      </c>
      <c r="L1897" s="95">
        <f>+VLOOKUP(E1897,MARGEN!A:B,2,FALSE)</f>
        <v>0.1</v>
      </c>
      <c r="M1897" s="112">
        <f t="shared" si="117"/>
        <v>9300.7678140282951</v>
      </c>
      <c r="N1897" s="113">
        <f t="shared" si="118"/>
        <v>372.03071256113179</v>
      </c>
      <c r="O1897" s="113">
        <f t="shared" si="119"/>
        <v>83334.879613693527</v>
      </c>
    </row>
    <row r="1898" spans="1:15" x14ac:dyDescent="0.25">
      <c r="A1898" s="13">
        <v>44442</v>
      </c>
      <c r="B1898" s="97">
        <v>3551</v>
      </c>
      <c r="C1898" t="s">
        <v>149</v>
      </c>
      <c r="D1898" s="94" t="s">
        <v>325</v>
      </c>
      <c r="E1898" t="s">
        <v>17</v>
      </c>
      <c r="F1898" t="s">
        <v>558</v>
      </c>
      <c r="G1898" s="50" t="s">
        <v>559</v>
      </c>
      <c r="H1898" s="50">
        <v>2</v>
      </c>
      <c r="I1898" s="100">
        <v>6.7391919697301583</v>
      </c>
      <c r="J1898" s="52">
        <v>3834.68</v>
      </c>
      <c r="K1898" s="67">
        <f t="shared" si="120"/>
        <v>91767.23119648367</v>
      </c>
      <c r="L1898" s="95">
        <f>+VLOOKUP(E1898,MARGEN!A:B,2,FALSE)</f>
        <v>0.1</v>
      </c>
      <c r="M1898" s="112">
        <f t="shared" si="117"/>
        <v>9176.7231196483681</v>
      </c>
      <c r="N1898" s="113">
        <f t="shared" si="118"/>
        <v>367.06892478593466</v>
      </c>
      <c r="O1898" s="113">
        <f t="shared" si="119"/>
        <v>82223.439152049366</v>
      </c>
    </row>
    <row r="1899" spans="1:15" x14ac:dyDescent="0.25">
      <c r="A1899" s="13">
        <v>44442</v>
      </c>
      <c r="B1899" s="97">
        <v>3479</v>
      </c>
      <c r="C1899" t="s">
        <v>165</v>
      </c>
      <c r="D1899" s="94" t="s">
        <v>375</v>
      </c>
      <c r="E1899" t="s">
        <v>17</v>
      </c>
      <c r="F1899" t="s">
        <v>558</v>
      </c>
      <c r="G1899" s="50" t="s">
        <v>559</v>
      </c>
      <c r="H1899" s="50">
        <v>2</v>
      </c>
      <c r="I1899" s="100">
        <v>6.7391919697301583</v>
      </c>
      <c r="J1899" s="52">
        <v>3834.68</v>
      </c>
      <c r="K1899" s="67">
        <f t="shared" si="120"/>
        <v>89906.56078078477</v>
      </c>
      <c r="L1899" s="95">
        <f>+VLOOKUP(E1899,MARGEN!A:B,2,FALSE)</f>
        <v>0.1</v>
      </c>
      <c r="M1899" s="112">
        <f t="shared" si="117"/>
        <v>8990.6560780784766</v>
      </c>
      <c r="N1899" s="113">
        <f t="shared" si="118"/>
        <v>359.62624312313909</v>
      </c>
      <c r="O1899" s="113">
        <f t="shared" si="119"/>
        <v>80556.278459583147</v>
      </c>
    </row>
    <row r="1900" spans="1:15" x14ac:dyDescent="0.25">
      <c r="A1900" s="13">
        <v>44442</v>
      </c>
      <c r="B1900" s="97">
        <v>3359</v>
      </c>
      <c r="C1900" t="s">
        <v>309</v>
      </c>
      <c r="D1900" s="94" t="s">
        <v>544</v>
      </c>
      <c r="E1900" t="s">
        <v>17</v>
      </c>
      <c r="F1900" t="s">
        <v>558</v>
      </c>
      <c r="G1900" s="50" t="s">
        <v>559</v>
      </c>
      <c r="H1900" s="50">
        <v>2</v>
      </c>
      <c r="I1900" s="100">
        <v>6.7391919697301583</v>
      </c>
      <c r="J1900" s="52">
        <v>3834.68</v>
      </c>
      <c r="K1900" s="67">
        <f t="shared" si="120"/>
        <v>86805.443421286589</v>
      </c>
      <c r="L1900" s="95">
        <f>+VLOOKUP(E1900,MARGEN!A:B,2,FALSE)</f>
        <v>0.1</v>
      </c>
      <c r="M1900" s="112">
        <f t="shared" si="117"/>
        <v>8680.54434212866</v>
      </c>
      <c r="N1900" s="113">
        <f t="shared" si="118"/>
        <v>347.22177368514633</v>
      </c>
      <c r="O1900" s="113">
        <f t="shared" si="119"/>
        <v>77777.677305472782</v>
      </c>
    </row>
    <row r="1901" spans="1:15" x14ac:dyDescent="0.25">
      <c r="A1901" s="13">
        <v>44442</v>
      </c>
      <c r="B1901" s="97">
        <v>2903</v>
      </c>
      <c r="C1901" t="s">
        <v>134</v>
      </c>
      <c r="D1901" s="94" t="s">
        <v>362</v>
      </c>
      <c r="E1901" t="s">
        <v>17</v>
      </c>
      <c r="F1901" t="s">
        <v>558</v>
      </c>
      <c r="G1901" s="50" t="s">
        <v>559</v>
      </c>
      <c r="H1901" s="50">
        <v>2</v>
      </c>
      <c r="I1901" s="100">
        <v>6.7391919697301583</v>
      </c>
      <c r="J1901" s="52">
        <v>3834.68</v>
      </c>
      <c r="K1901" s="67">
        <f t="shared" si="120"/>
        <v>75021.197455193484</v>
      </c>
      <c r="L1901" s="95">
        <f>+VLOOKUP(E1901,MARGEN!A:B,2,FALSE)</f>
        <v>0.1</v>
      </c>
      <c r="M1901" s="112">
        <f t="shared" si="117"/>
        <v>7502.1197455193487</v>
      </c>
      <c r="N1901" s="113">
        <f t="shared" si="118"/>
        <v>300.08478982077395</v>
      </c>
      <c r="O1901" s="113">
        <f t="shared" si="119"/>
        <v>67218.992919853365</v>
      </c>
    </row>
    <row r="1902" spans="1:15" x14ac:dyDescent="0.25">
      <c r="A1902" s="13">
        <v>44442</v>
      </c>
      <c r="B1902" s="97">
        <v>2783</v>
      </c>
      <c r="C1902" t="s">
        <v>131</v>
      </c>
      <c r="D1902" s="94" t="s">
        <v>344</v>
      </c>
      <c r="E1902" t="s">
        <v>17</v>
      </c>
      <c r="F1902" t="s">
        <v>558</v>
      </c>
      <c r="G1902" s="50" t="s">
        <v>559</v>
      </c>
      <c r="H1902" s="50">
        <v>2</v>
      </c>
      <c r="I1902" s="100">
        <v>6.7391919697301583</v>
      </c>
      <c r="J1902" s="52">
        <v>3834.68</v>
      </c>
      <c r="K1902" s="67">
        <f t="shared" si="120"/>
        <v>71920.080095695317</v>
      </c>
      <c r="L1902" s="95">
        <f>+VLOOKUP(E1902,MARGEN!A:B,2,FALSE)</f>
        <v>0.1</v>
      </c>
      <c r="M1902" s="112">
        <f t="shared" si="117"/>
        <v>7192.0080095695321</v>
      </c>
      <c r="N1902" s="113">
        <f t="shared" si="118"/>
        <v>287.68032038278125</v>
      </c>
      <c r="O1902" s="113">
        <f t="shared" si="119"/>
        <v>64440.391765743007</v>
      </c>
    </row>
    <row r="1903" spans="1:15" x14ac:dyDescent="0.25">
      <c r="A1903" s="13">
        <v>44442</v>
      </c>
      <c r="B1903" s="97">
        <v>2711</v>
      </c>
      <c r="C1903" t="s">
        <v>132</v>
      </c>
      <c r="D1903" s="94" t="s">
        <v>376</v>
      </c>
      <c r="E1903" t="s">
        <v>17</v>
      </c>
      <c r="F1903" t="s">
        <v>558</v>
      </c>
      <c r="G1903" s="50" t="s">
        <v>559</v>
      </c>
      <c r="H1903" s="50">
        <v>2</v>
      </c>
      <c r="I1903" s="100">
        <v>6.7391919697301583</v>
      </c>
      <c r="J1903" s="52">
        <v>3834.68</v>
      </c>
      <c r="K1903" s="67">
        <f t="shared" si="120"/>
        <v>70059.409679996417</v>
      </c>
      <c r="L1903" s="95">
        <f>+VLOOKUP(E1903,MARGEN!A:B,2,FALSE)</f>
        <v>0.1</v>
      </c>
      <c r="M1903" s="112">
        <f t="shared" si="117"/>
        <v>7005.9409679996425</v>
      </c>
      <c r="N1903" s="113">
        <f t="shared" si="118"/>
        <v>280.23763871998568</v>
      </c>
      <c r="O1903" s="113">
        <f t="shared" si="119"/>
        <v>62773.231073276787</v>
      </c>
    </row>
    <row r="1904" spans="1:15" x14ac:dyDescent="0.25">
      <c r="A1904" s="13">
        <v>44442</v>
      </c>
      <c r="B1904" s="97">
        <v>2663</v>
      </c>
      <c r="C1904" t="s">
        <v>186</v>
      </c>
      <c r="D1904" s="94" t="s">
        <v>440</v>
      </c>
      <c r="E1904" t="s">
        <v>17</v>
      </c>
      <c r="F1904" t="s">
        <v>566</v>
      </c>
      <c r="G1904" s="50" t="s">
        <v>559</v>
      </c>
      <c r="H1904" s="50">
        <v>2</v>
      </c>
      <c r="I1904" s="100">
        <v>6.7391919697301583</v>
      </c>
      <c r="J1904" s="52">
        <v>3834.68</v>
      </c>
      <c r="K1904" s="67">
        <f t="shared" si="120"/>
        <v>68818.962736197136</v>
      </c>
      <c r="L1904" s="95">
        <f>+VLOOKUP(E1904,MARGEN!A:B,2,FALSE)</f>
        <v>0.1</v>
      </c>
      <c r="M1904" s="112">
        <f t="shared" si="117"/>
        <v>6881.8962736197136</v>
      </c>
      <c r="N1904" s="113">
        <f t="shared" si="118"/>
        <v>275.27585094478854</v>
      </c>
      <c r="O1904" s="113">
        <f t="shared" si="119"/>
        <v>61661.790611632634</v>
      </c>
    </row>
    <row r="1905" spans="1:15" x14ac:dyDescent="0.25">
      <c r="A1905" s="13">
        <v>44442</v>
      </c>
      <c r="B1905" s="51">
        <v>2615</v>
      </c>
      <c r="C1905" s="66" t="s">
        <v>146</v>
      </c>
      <c r="D1905" s="66" t="s">
        <v>348</v>
      </c>
      <c r="E1905" t="s">
        <v>17</v>
      </c>
      <c r="F1905" s="50" t="s">
        <v>558</v>
      </c>
      <c r="G1905" s="50" t="s">
        <v>559</v>
      </c>
      <c r="H1905" s="50">
        <v>2</v>
      </c>
      <c r="I1905" s="100">
        <v>6.7391919697301583</v>
      </c>
      <c r="J1905" s="52">
        <v>3834.68</v>
      </c>
      <c r="K1905" s="67">
        <f t="shared" si="120"/>
        <v>67578.51579239787</v>
      </c>
      <c r="L1905" s="95">
        <f>+VLOOKUP(E1905,MARGEN!A:B,2,FALSE)</f>
        <v>0.1</v>
      </c>
      <c r="M1905" s="112">
        <f t="shared" si="117"/>
        <v>6757.8515792397875</v>
      </c>
      <c r="N1905" s="113">
        <f t="shared" si="118"/>
        <v>270.31406316959146</v>
      </c>
      <c r="O1905" s="113">
        <f t="shared" si="119"/>
        <v>60550.350149988488</v>
      </c>
    </row>
    <row r="1906" spans="1:15" x14ac:dyDescent="0.25">
      <c r="A1906" s="13">
        <v>44442</v>
      </c>
      <c r="B1906" s="97">
        <v>2567</v>
      </c>
      <c r="C1906" t="s">
        <v>310</v>
      </c>
      <c r="D1906" s="94" t="s">
        <v>540</v>
      </c>
      <c r="E1906" t="s">
        <v>17</v>
      </c>
      <c r="F1906" t="s">
        <v>558</v>
      </c>
      <c r="G1906" s="50" t="s">
        <v>559</v>
      </c>
      <c r="H1906" s="50">
        <v>2</v>
      </c>
      <c r="I1906" s="100">
        <v>6.7391919697301583</v>
      </c>
      <c r="J1906" s="52">
        <v>3834.68</v>
      </c>
      <c r="K1906" s="67">
        <f t="shared" si="120"/>
        <v>66338.068848598588</v>
      </c>
      <c r="L1906" s="95">
        <f>+VLOOKUP(E1906,MARGEN!A:B,2,FALSE)</f>
        <v>0.1</v>
      </c>
      <c r="M1906" s="112">
        <f t="shared" si="117"/>
        <v>6633.8068848598596</v>
      </c>
      <c r="N1906" s="113">
        <f t="shared" si="118"/>
        <v>265.35227539439433</v>
      </c>
      <c r="O1906" s="113">
        <f t="shared" si="119"/>
        <v>59438.909688344334</v>
      </c>
    </row>
    <row r="1907" spans="1:15" x14ac:dyDescent="0.25">
      <c r="A1907" s="13">
        <v>44442</v>
      </c>
      <c r="B1907" s="97">
        <v>2519</v>
      </c>
      <c r="C1907" t="s">
        <v>127</v>
      </c>
      <c r="D1907" s="94" t="s">
        <v>411</v>
      </c>
      <c r="E1907" t="s">
        <v>17</v>
      </c>
      <c r="F1907" t="s">
        <v>558</v>
      </c>
      <c r="G1907" s="50" t="s">
        <v>559</v>
      </c>
      <c r="H1907" s="50">
        <v>2</v>
      </c>
      <c r="I1907" s="100">
        <v>6.7391919697301583</v>
      </c>
      <c r="J1907" s="52">
        <v>3834.68</v>
      </c>
      <c r="K1907" s="67">
        <f t="shared" si="120"/>
        <v>65097.621904799322</v>
      </c>
      <c r="L1907" s="95">
        <f>+VLOOKUP(E1907,MARGEN!A:B,2,FALSE)</f>
        <v>0.1</v>
      </c>
      <c r="M1907" s="112">
        <f t="shared" si="117"/>
        <v>6509.7621904799325</v>
      </c>
      <c r="N1907" s="113">
        <f t="shared" si="118"/>
        <v>260.3904876191973</v>
      </c>
      <c r="O1907" s="113">
        <f t="shared" si="119"/>
        <v>58327.469226700196</v>
      </c>
    </row>
    <row r="1908" spans="1:15" x14ac:dyDescent="0.25">
      <c r="A1908" s="13">
        <v>44442</v>
      </c>
      <c r="B1908" s="97">
        <v>2519</v>
      </c>
      <c r="C1908" s="88" t="s">
        <v>163</v>
      </c>
      <c r="D1908" t="s">
        <v>398</v>
      </c>
      <c r="E1908" t="s">
        <v>17</v>
      </c>
      <c r="F1908" t="s">
        <v>558</v>
      </c>
      <c r="G1908" s="50" t="s">
        <v>559</v>
      </c>
      <c r="H1908" s="50">
        <v>2</v>
      </c>
      <c r="I1908" s="100">
        <v>6.7391919697301583</v>
      </c>
      <c r="J1908" s="52">
        <v>3834.68</v>
      </c>
      <c r="K1908" s="67">
        <f t="shared" si="120"/>
        <v>65097.621904799322</v>
      </c>
      <c r="L1908" s="95">
        <f>+VLOOKUP(E1908,MARGEN!A:B,2,FALSE)</f>
        <v>0.1</v>
      </c>
      <c r="M1908" s="112">
        <f t="shared" si="117"/>
        <v>6509.7621904799325</v>
      </c>
      <c r="N1908" s="113">
        <f t="shared" si="118"/>
        <v>260.3904876191973</v>
      </c>
      <c r="O1908" s="113">
        <f t="shared" si="119"/>
        <v>58327.469226700196</v>
      </c>
    </row>
    <row r="1909" spans="1:15" x14ac:dyDescent="0.25">
      <c r="A1909" s="13">
        <v>44442</v>
      </c>
      <c r="B1909" s="97">
        <v>2423</v>
      </c>
      <c r="C1909" t="s">
        <v>281</v>
      </c>
      <c r="D1909" s="94" t="s">
        <v>495</v>
      </c>
      <c r="E1909" t="s">
        <v>17</v>
      </c>
      <c r="F1909" t="s">
        <v>558</v>
      </c>
      <c r="G1909" s="50" t="s">
        <v>559</v>
      </c>
      <c r="H1909" s="50">
        <v>2</v>
      </c>
      <c r="I1909" s="100">
        <v>6.7391919697301583</v>
      </c>
      <c r="J1909" s="52">
        <v>3834.68</v>
      </c>
      <c r="K1909" s="67">
        <f t="shared" si="120"/>
        <v>62616.728017200774</v>
      </c>
      <c r="L1909" s="95">
        <f>+VLOOKUP(E1909,MARGEN!A:B,2,FALSE)</f>
        <v>0.1</v>
      </c>
      <c r="M1909" s="112">
        <f t="shared" si="117"/>
        <v>6261.6728017200776</v>
      </c>
      <c r="N1909" s="113">
        <f t="shared" si="118"/>
        <v>250.46691206880308</v>
      </c>
      <c r="O1909" s="113">
        <f t="shared" si="119"/>
        <v>56104.588303411889</v>
      </c>
    </row>
    <row r="1910" spans="1:15" x14ac:dyDescent="0.25">
      <c r="A1910" s="13">
        <v>44442</v>
      </c>
      <c r="B1910" s="97">
        <v>2303</v>
      </c>
      <c r="C1910" t="s">
        <v>130</v>
      </c>
      <c r="D1910" s="94" t="s">
        <v>367</v>
      </c>
      <c r="E1910" t="s">
        <v>17</v>
      </c>
      <c r="F1910" t="s">
        <v>557</v>
      </c>
      <c r="G1910" s="50" t="s">
        <v>205</v>
      </c>
      <c r="H1910" s="50">
        <v>2</v>
      </c>
      <c r="I1910" s="100">
        <v>6.7391919697301583</v>
      </c>
      <c r="J1910" s="52">
        <v>3834.68</v>
      </c>
      <c r="K1910" s="67">
        <f t="shared" si="120"/>
        <v>59515.610657702593</v>
      </c>
      <c r="L1910" s="95">
        <f>+VLOOKUP(E1910,MARGEN!A:B,2,FALSE)</f>
        <v>0.1</v>
      </c>
      <c r="M1910" s="112">
        <f t="shared" si="117"/>
        <v>5951.56106577026</v>
      </c>
      <c r="N1910" s="113">
        <f t="shared" si="118"/>
        <v>238.06244263081038</v>
      </c>
      <c r="O1910" s="113">
        <f t="shared" si="119"/>
        <v>53325.987149301516</v>
      </c>
    </row>
    <row r="1911" spans="1:15" x14ac:dyDescent="0.25">
      <c r="A1911" s="13">
        <v>44442</v>
      </c>
      <c r="B1911" s="51">
        <v>2303</v>
      </c>
      <c r="C1911" s="66" t="s">
        <v>128</v>
      </c>
      <c r="D1911" s="66" t="s">
        <v>416</v>
      </c>
      <c r="E1911" t="s">
        <v>17</v>
      </c>
      <c r="F1911" s="50" t="s">
        <v>558</v>
      </c>
      <c r="G1911" s="50" t="s">
        <v>559</v>
      </c>
      <c r="H1911" s="50">
        <v>2</v>
      </c>
      <c r="I1911" s="100">
        <v>6.7391919697301583</v>
      </c>
      <c r="J1911" s="52">
        <v>3834.68</v>
      </c>
      <c r="K1911" s="67">
        <f t="shared" si="120"/>
        <v>59515.610657702593</v>
      </c>
      <c r="L1911" s="95">
        <f>+VLOOKUP(E1911,MARGEN!A:B,2,FALSE)</f>
        <v>0.1</v>
      </c>
      <c r="M1911" s="112">
        <f t="shared" si="117"/>
        <v>5951.56106577026</v>
      </c>
      <c r="N1911" s="113">
        <f t="shared" si="118"/>
        <v>238.06244263081038</v>
      </c>
      <c r="O1911" s="113">
        <f t="shared" si="119"/>
        <v>53325.987149301516</v>
      </c>
    </row>
    <row r="1912" spans="1:15" x14ac:dyDescent="0.25">
      <c r="A1912" s="13">
        <v>44442</v>
      </c>
      <c r="B1912" s="97">
        <v>2279</v>
      </c>
      <c r="C1912" t="s">
        <v>122</v>
      </c>
      <c r="D1912" s="94" t="s">
        <v>446</v>
      </c>
      <c r="E1912" t="s">
        <v>17</v>
      </c>
      <c r="F1912" t="s">
        <v>558</v>
      </c>
      <c r="G1912" s="50" t="s">
        <v>559</v>
      </c>
      <c r="H1912" s="50">
        <v>2</v>
      </c>
      <c r="I1912" s="100">
        <v>6.7391919697301583</v>
      </c>
      <c r="J1912" s="52">
        <v>3834.68</v>
      </c>
      <c r="K1912" s="67">
        <f t="shared" si="120"/>
        <v>58895.387185802952</v>
      </c>
      <c r="L1912" s="95">
        <f>+VLOOKUP(E1912,MARGEN!A:B,2,FALSE)</f>
        <v>0.1</v>
      </c>
      <c r="M1912" s="112">
        <f t="shared" si="117"/>
        <v>5889.5387185802956</v>
      </c>
      <c r="N1912" s="113">
        <f t="shared" si="118"/>
        <v>235.58154874321181</v>
      </c>
      <c r="O1912" s="113">
        <f t="shared" si="119"/>
        <v>52770.266918479443</v>
      </c>
    </row>
    <row r="1913" spans="1:15" x14ac:dyDescent="0.25">
      <c r="A1913" s="13">
        <v>44442</v>
      </c>
      <c r="B1913" s="97">
        <v>2231</v>
      </c>
      <c r="C1913" s="88" t="s">
        <v>126</v>
      </c>
      <c r="D1913" t="s">
        <v>438</v>
      </c>
      <c r="E1913" t="s">
        <v>17</v>
      </c>
      <c r="F1913" t="s">
        <v>558</v>
      </c>
      <c r="G1913" s="50" t="s">
        <v>559</v>
      </c>
      <c r="H1913" s="50">
        <v>2</v>
      </c>
      <c r="I1913" s="100">
        <v>6.7391919697301583</v>
      </c>
      <c r="J1913" s="52">
        <v>3834.68</v>
      </c>
      <c r="K1913" s="67">
        <f t="shared" si="120"/>
        <v>57654.940242003679</v>
      </c>
      <c r="L1913" s="95">
        <f>+VLOOKUP(E1913,MARGEN!A:B,2,FALSE)</f>
        <v>0.1</v>
      </c>
      <c r="M1913" s="112">
        <f t="shared" si="117"/>
        <v>5765.4940242003686</v>
      </c>
      <c r="N1913" s="113">
        <f t="shared" si="118"/>
        <v>230.6197609680147</v>
      </c>
      <c r="O1913" s="113">
        <f t="shared" si="119"/>
        <v>51658.826456835297</v>
      </c>
    </row>
    <row r="1914" spans="1:15" x14ac:dyDescent="0.25">
      <c r="A1914" s="13">
        <v>44442</v>
      </c>
      <c r="B1914" s="97">
        <v>2183</v>
      </c>
      <c r="C1914" t="s">
        <v>282</v>
      </c>
      <c r="D1914" s="94" t="s">
        <v>494</v>
      </c>
      <c r="E1914" t="s">
        <v>17</v>
      </c>
      <c r="F1914" t="s">
        <v>558</v>
      </c>
      <c r="G1914" s="50" t="s">
        <v>559</v>
      </c>
      <c r="H1914" s="50">
        <v>2</v>
      </c>
      <c r="I1914" s="100">
        <v>6.7391919697301583</v>
      </c>
      <c r="J1914" s="52">
        <v>3834.68</v>
      </c>
      <c r="K1914" s="67">
        <f t="shared" si="120"/>
        <v>56414.493298204405</v>
      </c>
      <c r="L1914" s="95">
        <f>+VLOOKUP(E1914,MARGEN!A:B,2,FALSE)</f>
        <v>0.1</v>
      </c>
      <c r="M1914" s="112">
        <f t="shared" si="117"/>
        <v>5641.4493298204407</v>
      </c>
      <c r="N1914" s="113">
        <f t="shared" si="118"/>
        <v>225.65797319281762</v>
      </c>
      <c r="O1914" s="113">
        <f t="shared" si="119"/>
        <v>50547.385995191151</v>
      </c>
    </row>
    <row r="1915" spans="1:15" x14ac:dyDescent="0.25">
      <c r="A1915" s="13">
        <v>44442</v>
      </c>
      <c r="B1915" s="97">
        <v>2183</v>
      </c>
      <c r="C1915" t="s">
        <v>157</v>
      </c>
      <c r="D1915" s="94" t="s">
        <v>435</v>
      </c>
      <c r="E1915" t="s">
        <v>17</v>
      </c>
      <c r="F1915" t="s">
        <v>558</v>
      </c>
      <c r="G1915" s="50" t="s">
        <v>559</v>
      </c>
      <c r="H1915" s="50">
        <v>2</v>
      </c>
      <c r="I1915" s="100">
        <v>6.7391919697301583</v>
      </c>
      <c r="J1915" s="52">
        <v>3834.68</v>
      </c>
      <c r="K1915" s="67">
        <f t="shared" si="120"/>
        <v>56414.493298204405</v>
      </c>
      <c r="L1915" s="95">
        <f>+VLOOKUP(E1915,MARGEN!A:B,2,FALSE)</f>
        <v>0.1</v>
      </c>
      <c r="M1915" s="112">
        <f t="shared" si="117"/>
        <v>5641.4493298204407</v>
      </c>
      <c r="N1915" s="113">
        <f t="shared" si="118"/>
        <v>225.65797319281762</v>
      </c>
      <c r="O1915" s="113">
        <f t="shared" si="119"/>
        <v>50547.385995191151</v>
      </c>
    </row>
    <row r="1916" spans="1:15" x14ac:dyDescent="0.25">
      <c r="A1916" s="13">
        <v>44442</v>
      </c>
      <c r="B1916" s="97">
        <v>2135</v>
      </c>
      <c r="C1916" t="s">
        <v>312</v>
      </c>
      <c r="D1916" s="94" t="s">
        <v>542</v>
      </c>
      <c r="E1916" t="s">
        <v>17</v>
      </c>
      <c r="F1916" t="s">
        <v>558</v>
      </c>
      <c r="G1916" s="50" t="s">
        <v>559</v>
      </c>
      <c r="H1916" s="50">
        <v>2</v>
      </c>
      <c r="I1916" s="100">
        <v>6.7391919697301583</v>
      </c>
      <c r="J1916" s="52">
        <v>3834.68</v>
      </c>
      <c r="K1916" s="67">
        <f t="shared" si="120"/>
        <v>55174.046354405145</v>
      </c>
      <c r="L1916" s="95">
        <f>+VLOOKUP(E1916,MARGEN!A:B,2,FALSE)</f>
        <v>0.1</v>
      </c>
      <c r="M1916" s="112">
        <f t="shared" si="117"/>
        <v>5517.4046354405145</v>
      </c>
      <c r="N1916" s="113">
        <f t="shared" si="118"/>
        <v>220.69618541762057</v>
      </c>
      <c r="O1916" s="113">
        <f t="shared" si="119"/>
        <v>49435.945533547012</v>
      </c>
    </row>
    <row r="1917" spans="1:15" x14ac:dyDescent="0.25">
      <c r="A1917" s="13">
        <v>44442</v>
      </c>
      <c r="B1917" s="97">
        <v>2015</v>
      </c>
      <c r="C1917" t="s">
        <v>123</v>
      </c>
      <c r="D1917" s="94" t="s">
        <v>396</v>
      </c>
      <c r="E1917" t="s">
        <v>17</v>
      </c>
      <c r="F1917" t="s">
        <v>558</v>
      </c>
      <c r="G1917" s="50" t="s">
        <v>559</v>
      </c>
      <c r="H1917" s="50">
        <v>2</v>
      </c>
      <c r="I1917" s="100">
        <v>6.7391919697301583</v>
      </c>
      <c r="J1917" s="52">
        <v>3834.68</v>
      </c>
      <c r="K1917" s="67">
        <f t="shared" si="120"/>
        <v>52072.928994906957</v>
      </c>
      <c r="L1917" s="95">
        <f>+VLOOKUP(E1917,MARGEN!A:B,2,FALSE)</f>
        <v>0.1</v>
      </c>
      <c r="M1917" s="112">
        <f t="shared" si="117"/>
        <v>5207.2928994906961</v>
      </c>
      <c r="N1917" s="113">
        <f t="shared" si="118"/>
        <v>208.29171597962784</v>
      </c>
      <c r="O1917" s="113">
        <f t="shared" si="119"/>
        <v>46657.344379436632</v>
      </c>
    </row>
    <row r="1918" spans="1:15" x14ac:dyDescent="0.25">
      <c r="A1918" s="13">
        <v>44442</v>
      </c>
      <c r="B1918" s="97">
        <v>1991</v>
      </c>
      <c r="C1918" t="s">
        <v>295</v>
      </c>
      <c r="D1918" s="94" t="s">
        <v>532</v>
      </c>
      <c r="E1918" t="s">
        <v>17</v>
      </c>
      <c r="F1918" t="s">
        <v>558</v>
      </c>
      <c r="G1918" s="50" t="s">
        <v>559</v>
      </c>
      <c r="H1918" s="50">
        <v>2</v>
      </c>
      <c r="I1918" s="100">
        <v>6.7391919697301583</v>
      </c>
      <c r="J1918" s="52">
        <v>3834.68</v>
      </c>
      <c r="K1918" s="67">
        <f t="shared" si="120"/>
        <v>51452.705523007324</v>
      </c>
      <c r="L1918" s="95">
        <f>+VLOOKUP(E1918,MARGEN!A:B,2,FALSE)</f>
        <v>0.1</v>
      </c>
      <c r="M1918" s="112">
        <f t="shared" si="117"/>
        <v>5145.2705523007326</v>
      </c>
      <c r="N1918" s="113">
        <f t="shared" si="118"/>
        <v>205.8108220920293</v>
      </c>
      <c r="O1918" s="113">
        <f t="shared" si="119"/>
        <v>46101.624148614566</v>
      </c>
    </row>
    <row r="1919" spans="1:15" x14ac:dyDescent="0.25">
      <c r="A1919" s="13">
        <v>44442</v>
      </c>
      <c r="B1919" s="97">
        <v>1871</v>
      </c>
      <c r="C1919" t="s">
        <v>125</v>
      </c>
      <c r="D1919" s="94" t="s">
        <v>341</v>
      </c>
      <c r="E1919" t="s">
        <v>17</v>
      </c>
      <c r="F1919" t="s">
        <v>558</v>
      </c>
      <c r="G1919" s="50" t="s">
        <v>559</v>
      </c>
      <c r="H1919" s="50">
        <v>2</v>
      </c>
      <c r="I1919" s="100">
        <v>6.7391919697301583</v>
      </c>
      <c r="J1919" s="52">
        <v>3834.68</v>
      </c>
      <c r="K1919" s="67">
        <f t="shared" si="120"/>
        <v>48351.588163509143</v>
      </c>
      <c r="L1919" s="95">
        <f>+VLOOKUP(E1919,MARGEN!A:B,2,FALSE)</f>
        <v>0.1</v>
      </c>
      <c r="M1919" s="112">
        <f t="shared" si="117"/>
        <v>4835.1588163509141</v>
      </c>
      <c r="N1919" s="113">
        <f t="shared" si="118"/>
        <v>193.40635265403657</v>
      </c>
      <c r="O1919" s="113">
        <f t="shared" si="119"/>
        <v>43323.022994504194</v>
      </c>
    </row>
    <row r="1920" spans="1:15" x14ac:dyDescent="0.25">
      <c r="A1920" s="13">
        <v>44442</v>
      </c>
      <c r="B1920" s="97">
        <v>1871</v>
      </c>
      <c r="C1920" t="s">
        <v>304</v>
      </c>
      <c r="D1920" s="94" t="s">
        <v>522</v>
      </c>
      <c r="E1920" t="s">
        <v>17</v>
      </c>
      <c r="F1920" t="s">
        <v>558</v>
      </c>
      <c r="G1920" s="50" t="s">
        <v>559</v>
      </c>
      <c r="H1920" s="50">
        <v>2</v>
      </c>
      <c r="I1920" s="100">
        <v>6.7391919697301583</v>
      </c>
      <c r="J1920" s="52">
        <v>3834.68</v>
      </c>
      <c r="K1920" s="67">
        <f t="shared" si="120"/>
        <v>48351.588163509143</v>
      </c>
      <c r="L1920" s="95">
        <f>+VLOOKUP(E1920,MARGEN!A:B,2,FALSE)</f>
        <v>0.1</v>
      </c>
      <c r="M1920" s="112">
        <f t="shared" si="117"/>
        <v>4835.1588163509141</v>
      </c>
      <c r="N1920" s="113">
        <f t="shared" si="118"/>
        <v>193.40635265403657</v>
      </c>
      <c r="O1920" s="113">
        <f t="shared" si="119"/>
        <v>43323.022994504194</v>
      </c>
    </row>
    <row r="1921" spans="1:15" x14ac:dyDescent="0.25">
      <c r="A1921" s="13">
        <v>44442</v>
      </c>
      <c r="B1921" s="97">
        <v>1799</v>
      </c>
      <c r="C1921" t="s">
        <v>172</v>
      </c>
      <c r="D1921" t="s">
        <v>371</v>
      </c>
      <c r="E1921" t="s">
        <v>17</v>
      </c>
      <c r="F1921" t="s">
        <v>558</v>
      </c>
      <c r="G1921" s="50" t="s">
        <v>559</v>
      </c>
      <c r="H1921" s="50">
        <v>2</v>
      </c>
      <c r="I1921" s="100">
        <v>6.7391919697301583</v>
      </c>
      <c r="J1921" s="52">
        <v>3834.68</v>
      </c>
      <c r="K1921" s="67">
        <f t="shared" si="120"/>
        <v>46490.917747810228</v>
      </c>
      <c r="L1921" s="95">
        <f>+VLOOKUP(E1921,MARGEN!A:B,2,FALSE)</f>
        <v>0.1</v>
      </c>
      <c r="M1921" s="112">
        <f t="shared" si="117"/>
        <v>4649.0917747810227</v>
      </c>
      <c r="N1921" s="113">
        <f t="shared" si="118"/>
        <v>185.96367099124092</v>
      </c>
      <c r="O1921" s="113">
        <f t="shared" si="119"/>
        <v>41655.862302037967</v>
      </c>
    </row>
    <row r="1922" spans="1:15" x14ac:dyDescent="0.25">
      <c r="A1922" s="13">
        <v>44442</v>
      </c>
      <c r="B1922" s="97">
        <v>1775</v>
      </c>
      <c r="C1922" t="s">
        <v>311</v>
      </c>
      <c r="D1922" s="94" t="s">
        <v>541</v>
      </c>
      <c r="E1922" t="s">
        <v>17</v>
      </c>
      <c r="F1922" t="s">
        <v>558</v>
      </c>
      <c r="G1922" s="50" t="s">
        <v>559</v>
      </c>
      <c r="H1922" s="50">
        <v>2</v>
      </c>
      <c r="I1922" s="100">
        <v>6.7391919697301583</v>
      </c>
      <c r="J1922" s="52">
        <v>3834.68</v>
      </c>
      <c r="K1922" s="67">
        <f t="shared" si="120"/>
        <v>45870.694275910595</v>
      </c>
      <c r="L1922" s="95">
        <f>+VLOOKUP(E1922,MARGEN!A:B,2,FALSE)</f>
        <v>0.1</v>
      </c>
      <c r="M1922" s="112">
        <f t="shared" si="117"/>
        <v>4587.06942759106</v>
      </c>
      <c r="N1922" s="113">
        <f t="shared" si="118"/>
        <v>183.48277710364238</v>
      </c>
      <c r="O1922" s="113">
        <f t="shared" si="119"/>
        <v>41100.142071215894</v>
      </c>
    </row>
    <row r="1923" spans="1:15" x14ac:dyDescent="0.25">
      <c r="A1923" s="13">
        <v>44442</v>
      </c>
      <c r="B1923" s="97">
        <v>1751</v>
      </c>
      <c r="C1923" t="s">
        <v>154</v>
      </c>
      <c r="D1923" s="94" t="s">
        <v>419</v>
      </c>
      <c r="E1923" t="s">
        <v>17</v>
      </c>
      <c r="F1923" t="s">
        <v>558</v>
      </c>
      <c r="G1923" s="50" t="s">
        <v>559</v>
      </c>
      <c r="H1923" s="50">
        <v>2</v>
      </c>
      <c r="I1923" s="100">
        <v>6.7391919697301583</v>
      </c>
      <c r="J1923" s="52">
        <v>3834.68</v>
      </c>
      <c r="K1923" s="67">
        <f t="shared" si="120"/>
        <v>45250.470804010954</v>
      </c>
      <c r="L1923" s="95">
        <f>+VLOOKUP(E1923,MARGEN!A:B,2,FALSE)</f>
        <v>0.1</v>
      </c>
      <c r="M1923" s="112">
        <f t="shared" ref="M1923:M1986" si="121">+K1923*L1923</f>
        <v>4525.0470804010956</v>
      </c>
      <c r="N1923" s="113">
        <f t="shared" ref="N1923:N1986" si="122">+K1923*4/1000</f>
        <v>181.00188321604381</v>
      </c>
      <c r="O1923" s="113">
        <f t="shared" ref="O1923:O1986" si="123">+K1923-M1923-N1923</f>
        <v>40544.421840393814</v>
      </c>
    </row>
    <row r="1924" spans="1:15" x14ac:dyDescent="0.25">
      <c r="A1924" s="13">
        <v>44442</v>
      </c>
      <c r="B1924" s="97">
        <v>1727</v>
      </c>
      <c r="C1924" t="s">
        <v>120</v>
      </c>
      <c r="D1924" s="94" t="s">
        <v>452</v>
      </c>
      <c r="E1924" t="s">
        <v>17</v>
      </c>
      <c r="F1924" t="s">
        <v>558</v>
      </c>
      <c r="G1924" s="50" t="s">
        <v>559</v>
      </c>
      <c r="H1924" s="50">
        <v>2</v>
      </c>
      <c r="I1924" s="100">
        <v>6.7391919697301583</v>
      </c>
      <c r="J1924" s="52">
        <v>3834.68</v>
      </c>
      <c r="K1924" s="67">
        <f t="shared" si="120"/>
        <v>44630.247332111321</v>
      </c>
      <c r="L1924" s="95">
        <f>+VLOOKUP(E1924,MARGEN!A:B,2,FALSE)</f>
        <v>0.1</v>
      </c>
      <c r="M1924" s="112">
        <f t="shared" si="121"/>
        <v>4463.0247332111321</v>
      </c>
      <c r="N1924" s="113">
        <f t="shared" si="122"/>
        <v>178.5209893284453</v>
      </c>
      <c r="O1924" s="113">
        <f t="shared" si="123"/>
        <v>39988.701609571741</v>
      </c>
    </row>
    <row r="1925" spans="1:15" x14ac:dyDescent="0.25">
      <c r="A1925" s="13">
        <v>44442</v>
      </c>
      <c r="B1925" s="97">
        <v>1727</v>
      </c>
      <c r="C1925" t="s">
        <v>170</v>
      </c>
      <c r="D1925" s="94" t="s">
        <v>437</v>
      </c>
      <c r="E1925" t="s">
        <v>17</v>
      </c>
      <c r="F1925" t="s">
        <v>558</v>
      </c>
      <c r="G1925" s="50" t="s">
        <v>559</v>
      </c>
      <c r="H1925" s="50">
        <v>2</v>
      </c>
      <c r="I1925" s="100">
        <v>6.7391919697301583</v>
      </c>
      <c r="J1925" s="52">
        <v>3834.68</v>
      </c>
      <c r="K1925" s="67">
        <f t="shared" si="120"/>
        <v>44630.247332111321</v>
      </c>
      <c r="L1925" s="95">
        <f>+VLOOKUP(E1925,MARGEN!A:B,2,FALSE)</f>
        <v>0.1</v>
      </c>
      <c r="M1925" s="112">
        <f t="shared" si="121"/>
        <v>4463.0247332111321</v>
      </c>
      <c r="N1925" s="113">
        <f t="shared" si="122"/>
        <v>178.5209893284453</v>
      </c>
      <c r="O1925" s="113">
        <f t="shared" si="123"/>
        <v>39988.701609571741</v>
      </c>
    </row>
    <row r="1926" spans="1:15" x14ac:dyDescent="0.25">
      <c r="A1926" s="13">
        <v>44442</v>
      </c>
      <c r="B1926" s="97">
        <v>1727</v>
      </c>
      <c r="C1926" t="s">
        <v>188</v>
      </c>
      <c r="D1926" s="94" t="s">
        <v>397</v>
      </c>
      <c r="E1926" t="s">
        <v>17</v>
      </c>
      <c r="F1926" t="s">
        <v>558</v>
      </c>
      <c r="G1926" s="50" t="s">
        <v>559</v>
      </c>
      <c r="H1926" s="50">
        <v>2</v>
      </c>
      <c r="I1926" s="100">
        <v>6.7391919697301583</v>
      </c>
      <c r="J1926" s="52">
        <v>3834.68</v>
      </c>
      <c r="K1926" s="67">
        <f t="shared" si="120"/>
        <v>44630.247332111321</v>
      </c>
      <c r="L1926" s="95">
        <f>+VLOOKUP(E1926,MARGEN!A:B,2,FALSE)</f>
        <v>0.1</v>
      </c>
      <c r="M1926" s="112">
        <f t="shared" si="121"/>
        <v>4463.0247332111321</v>
      </c>
      <c r="N1926" s="113">
        <f t="shared" si="122"/>
        <v>178.5209893284453</v>
      </c>
      <c r="O1926" s="113">
        <f t="shared" si="123"/>
        <v>39988.701609571741</v>
      </c>
    </row>
    <row r="1927" spans="1:15" x14ac:dyDescent="0.25">
      <c r="A1927" s="13">
        <v>44442</v>
      </c>
      <c r="B1927" s="97">
        <v>1727</v>
      </c>
      <c r="C1927" t="s">
        <v>174</v>
      </c>
      <c r="D1927" s="94" t="s">
        <v>395</v>
      </c>
      <c r="E1927" t="s">
        <v>17</v>
      </c>
      <c r="F1927" t="s">
        <v>558</v>
      </c>
      <c r="G1927" s="50" t="s">
        <v>559</v>
      </c>
      <c r="H1927" s="50">
        <v>2</v>
      </c>
      <c r="I1927" s="100">
        <v>6.7391919697301583</v>
      </c>
      <c r="J1927" s="52">
        <v>3834.68</v>
      </c>
      <c r="K1927" s="67">
        <f t="shared" si="120"/>
        <v>44630.247332111321</v>
      </c>
      <c r="L1927" s="95">
        <f>+VLOOKUP(E1927,MARGEN!A:B,2,FALSE)</f>
        <v>0.1</v>
      </c>
      <c r="M1927" s="112">
        <f t="shared" si="121"/>
        <v>4463.0247332111321</v>
      </c>
      <c r="N1927" s="113">
        <f t="shared" si="122"/>
        <v>178.5209893284453</v>
      </c>
      <c r="O1927" s="113">
        <f t="shared" si="123"/>
        <v>39988.701609571741</v>
      </c>
    </row>
    <row r="1928" spans="1:15" x14ac:dyDescent="0.25">
      <c r="A1928" s="13">
        <v>44442</v>
      </c>
      <c r="B1928" s="97">
        <v>1703</v>
      </c>
      <c r="C1928" t="s">
        <v>296</v>
      </c>
      <c r="D1928" t="s">
        <v>498</v>
      </c>
      <c r="E1928" t="s">
        <v>17</v>
      </c>
      <c r="F1928" t="s">
        <v>558</v>
      </c>
      <c r="G1928" s="50" t="s">
        <v>559</v>
      </c>
      <c r="H1928" s="50">
        <v>2</v>
      </c>
      <c r="I1928" s="100">
        <v>6.7391919697301583</v>
      </c>
      <c r="J1928" s="52">
        <v>3834.68</v>
      </c>
      <c r="K1928" s="67">
        <f t="shared" si="120"/>
        <v>44010.023860211688</v>
      </c>
      <c r="L1928" s="95">
        <f>+VLOOKUP(E1928,MARGEN!A:B,2,FALSE)</f>
        <v>0.1</v>
      </c>
      <c r="M1928" s="112">
        <f t="shared" si="121"/>
        <v>4401.0023860211686</v>
      </c>
      <c r="N1928" s="113">
        <f t="shared" si="122"/>
        <v>176.04009544084676</v>
      </c>
      <c r="O1928" s="113">
        <f t="shared" si="123"/>
        <v>39432.981378749675</v>
      </c>
    </row>
    <row r="1929" spans="1:15" x14ac:dyDescent="0.25">
      <c r="A1929" s="13">
        <v>44442</v>
      </c>
      <c r="B1929" s="97">
        <v>1679</v>
      </c>
      <c r="C1929" t="s">
        <v>194</v>
      </c>
      <c r="D1929" s="94" t="s">
        <v>417</v>
      </c>
      <c r="E1929" t="s">
        <v>17</v>
      </c>
      <c r="F1929" t="s">
        <v>558</v>
      </c>
      <c r="G1929" s="50" t="s">
        <v>559</v>
      </c>
      <c r="H1929" s="50">
        <v>2</v>
      </c>
      <c r="I1929" s="100">
        <v>6.7391919697301583</v>
      </c>
      <c r="J1929" s="52">
        <v>3834.68</v>
      </c>
      <c r="K1929" s="67">
        <f t="shared" ref="K1929:K1992" si="124">+B1929*I1929*J1929/1000</f>
        <v>43389.800388312047</v>
      </c>
      <c r="L1929" s="95">
        <f>+VLOOKUP(E1929,MARGEN!A:B,2,FALSE)</f>
        <v>0.1</v>
      </c>
      <c r="M1929" s="112">
        <f t="shared" si="121"/>
        <v>4338.9800388312051</v>
      </c>
      <c r="N1929" s="113">
        <f t="shared" si="122"/>
        <v>173.55920155324819</v>
      </c>
      <c r="O1929" s="113">
        <f t="shared" si="123"/>
        <v>38877.261147927595</v>
      </c>
    </row>
    <row r="1930" spans="1:15" x14ac:dyDescent="0.25">
      <c r="A1930" s="13">
        <v>44442</v>
      </c>
      <c r="B1930" s="97">
        <v>1679</v>
      </c>
      <c r="C1930" t="s">
        <v>121</v>
      </c>
      <c r="D1930" s="94" t="s">
        <v>381</v>
      </c>
      <c r="E1930" t="s">
        <v>17</v>
      </c>
      <c r="F1930" t="s">
        <v>558</v>
      </c>
      <c r="G1930" s="50" t="s">
        <v>559</v>
      </c>
      <c r="H1930" s="50">
        <v>2</v>
      </c>
      <c r="I1930" s="100">
        <v>6.7391919697301583</v>
      </c>
      <c r="J1930" s="52">
        <v>3834.68</v>
      </c>
      <c r="K1930" s="67">
        <f t="shared" si="124"/>
        <v>43389.800388312047</v>
      </c>
      <c r="L1930" s="95">
        <f>+VLOOKUP(E1930,MARGEN!A:B,2,FALSE)</f>
        <v>0.1</v>
      </c>
      <c r="M1930" s="112">
        <f t="shared" si="121"/>
        <v>4338.9800388312051</v>
      </c>
      <c r="N1930" s="113">
        <f t="shared" si="122"/>
        <v>173.55920155324819</v>
      </c>
      <c r="O1930" s="113">
        <f t="shared" si="123"/>
        <v>38877.261147927595</v>
      </c>
    </row>
    <row r="1931" spans="1:15" x14ac:dyDescent="0.25">
      <c r="A1931" s="13">
        <v>44442</v>
      </c>
      <c r="B1931" s="97">
        <v>1679</v>
      </c>
      <c r="C1931" s="88" t="s">
        <v>287</v>
      </c>
      <c r="D1931" t="s">
        <v>496</v>
      </c>
      <c r="E1931" t="s">
        <v>17</v>
      </c>
      <c r="F1931" t="s">
        <v>558</v>
      </c>
      <c r="G1931" s="50" t="s">
        <v>559</v>
      </c>
      <c r="H1931" s="50">
        <v>2</v>
      </c>
      <c r="I1931" s="100">
        <v>6.7391919697301583</v>
      </c>
      <c r="J1931" s="52">
        <v>3834.68</v>
      </c>
      <c r="K1931" s="67">
        <f t="shared" si="124"/>
        <v>43389.800388312047</v>
      </c>
      <c r="L1931" s="95">
        <f>+VLOOKUP(E1931,MARGEN!A:B,2,FALSE)</f>
        <v>0.1</v>
      </c>
      <c r="M1931" s="112">
        <f t="shared" si="121"/>
        <v>4338.9800388312051</v>
      </c>
      <c r="N1931" s="113">
        <f t="shared" si="122"/>
        <v>173.55920155324819</v>
      </c>
      <c r="O1931" s="113">
        <f t="shared" si="123"/>
        <v>38877.261147927595</v>
      </c>
    </row>
    <row r="1932" spans="1:15" x14ac:dyDescent="0.25">
      <c r="A1932" s="13">
        <v>44442</v>
      </c>
      <c r="B1932" s="97">
        <v>1679</v>
      </c>
      <c r="C1932" t="s">
        <v>175</v>
      </c>
      <c r="D1932" t="s">
        <v>432</v>
      </c>
      <c r="E1932" t="s">
        <v>17</v>
      </c>
      <c r="F1932" t="s">
        <v>558</v>
      </c>
      <c r="G1932" s="50" t="s">
        <v>559</v>
      </c>
      <c r="H1932" s="50">
        <v>2</v>
      </c>
      <c r="I1932" s="100">
        <v>6.7391919697301583</v>
      </c>
      <c r="J1932" s="52">
        <v>3834.68</v>
      </c>
      <c r="K1932" s="67">
        <f t="shared" si="124"/>
        <v>43389.800388312047</v>
      </c>
      <c r="L1932" s="95">
        <f>+VLOOKUP(E1932,MARGEN!A:B,2,FALSE)</f>
        <v>0.1</v>
      </c>
      <c r="M1932" s="112">
        <f t="shared" si="121"/>
        <v>4338.9800388312051</v>
      </c>
      <c r="N1932" s="113">
        <f t="shared" si="122"/>
        <v>173.55920155324819</v>
      </c>
      <c r="O1932" s="113">
        <f t="shared" si="123"/>
        <v>38877.261147927595</v>
      </c>
    </row>
    <row r="1933" spans="1:15" x14ac:dyDescent="0.25">
      <c r="A1933" s="13">
        <v>44442</v>
      </c>
      <c r="B1933" s="97">
        <v>1631</v>
      </c>
      <c r="C1933" t="s">
        <v>290</v>
      </c>
      <c r="D1933" s="94" t="s">
        <v>454</v>
      </c>
      <c r="E1933" t="s">
        <v>17</v>
      </c>
      <c r="F1933" t="s">
        <v>557</v>
      </c>
      <c r="G1933" s="50" t="s">
        <v>205</v>
      </c>
      <c r="H1933" s="50">
        <v>2</v>
      </c>
      <c r="I1933" s="100">
        <v>6.7391919697301583</v>
      </c>
      <c r="J1933" s="52">
        <v>3834.68</v>
      </c>
      <c r="K1933" s="67">
        <f t="shared" si="124"/>
        <v>42149.353444512773</v>
      </c>
      <c r="L1933" s="95">
        <f>+VLOOKUP(E1933,MARGEN!A:B,2,FALSE)</f>
        <v>0.1</v>
      </c>
      <c r="M1933" s="112">
        <f t="shared" si="121"/>
        <v>4214.9353444512772</v>
      </c>
      <c r="N1933" s="113">
        <f t="shared" si="122"/>
        <v>168.59741377805111</v>
      </c>
      <c r="O1933" s="113">
        <f t="shared" si="123"/>
        <v>37765.820686283449</v>
      </c>
    </row>
    <row r="1934" spans="1:15" x14ac:dyDescent="0.25">
      <c r="A1934" s="13">
        <v>44442</v>
      </c>
      <c r="B1934" s="97">
        <v>1631</v>
      </c>
      <c r="C1934" t="s">
        <v>209</v>
      </c>
      <c r="D1934" s="94" t="s">
        <v>441</v>
      </c>
      <c r="E1934" t="s">
        <v>17</v>
      </c>
      <c r="F1934" t="s">
        <v>558</v>
      </c>
      <c r="G1934" s="50" t="s">
        <v>559</v>
      </c>
      <c r="H1934" s="50">
        <v>2</v>
      </c>
      <c r="I1934" s="100">
        <v>6.7391919697301583</v>
      </c>
      <c r="J1934" s="52">
        <v>3834.68</v>
      </c>
      <c r="K1934" s="67">
        <f t="shared" si="124"/>
        <v>42149.353444512773</v>
      </c>
      <c r="L1934" s="95">
        <f>+VLOOKUP(E1934,MARGEN!A:B,2,FALSE)</f>
        <v>0.1</v>
      </c>
      <c r="M1934" s="112">
        <f t="shared" si="121"/>
        <v>4214.9353444512772</v>
      </c>
      <c r="N1934" s="113">
        <f t="shared" si="122"/>
        <v>168.59741377805111</v>
      </c>
      <c r="O1934" s="113">
        <f t="shared" si="123"/>
        <v>37765.820686283449</v>
      </c>
    </row>
    <row r="1935" spans="1:15" x14ac:dyDescent="0.25">
      <c r="A1935" s="13">
        <v>44442</v>
      </c>
      <c r="B1935" s="97">
        <v>1631</v>
      </c>
      <c r="C1935" t="s">
        <v>196</v>
      </c>
      <c r="D1935" t="s">
        <v>413</v>
      </c>
      <c r="E1935" t="s">
        <v>17</v>
      </c>
      <c r="F1935" t="s">
        <v>558</v>
      </c>
      <c r="G1935" s="50" t="s">
        <v>559</v>
      </c>
      <c r="H1935" s="50">
        <v>2</v>
      </c>
      <c r="I1935" s="100">
        <v>6.7391919697301583</v>
      </c>
      <c r="J1935" s="52">
        <v>3834.68</v>
      </c>
      <c r="K1935" s="67">
        <f t="shared" si="124"/>
        <v>42149.353444512773</v>
      </c>
      <c r="L1935" s="95">
        <f>+VLOOKUP(E1935,MARGEN!A:B,2,FALSE)</f>
        <v>0.1</v>
      </c>
      <c r="M1935" s="112">
        <f t="shared" si="121"/>
        <v>4214.9353444512772</v>
      </c>
      <c r="N1935" s="113">
        <f t="shared" si="122"/>
        <v>168.59741377805111</v>
      </c>
      <c r="O1935" s="113">
        <f t="shared" si="123"/>
        <v>37765.820686283449</v>
      </c>
    </row>
    <row r="1936" spans="1:15" x14ac:dyDescent="0.25">
      <c r="A1936" s="13">
        <v>44442</v>
      </c>
      <c r="B1936" s="97">
        <v>1607</v>
      </c>
      <c r="C1936" t="s">
        <v>180</v>
      </c>
      <c r="D1936" s="94" t="s">
        <v>447</v>
      </c>
      <c r="E1936" t="s">
        <v>17</v>
      </c>
      <c r="F1936" t="s">
        <v>558</v>
      </c>
      <c r="G1936" s="50" t="s">
        <v>559</v>
      </c>
      <c r="H1936" s="50">
        <v>2</v>
      </c>
      <c r="I1936" s="100">
        <v>6.7391919697301583</v>
      </c>
      <c r="J1936" s="52">
        <v>3834.68</v>
      </c>
      <c r="K1936" s="67">
        <f t="shared" si="124"/>
        <v>41529.12997261314</v>
      </c>
      <c r="L1936" s="95">
        <f>+VLOOKUP(E1936,MARGEN!A:B,2,FALSE)</f>
        <v>0.1</v>
      </c>
      <c r="M1936" s="112">
        <f t="shared" si="121"/>
        <v>4152.9129972613146</v>
      </c>
      <c r="N1936" s="113">
        <f t="shared" si="122"/>
        <v>166.11651989045257</v>
      </c>
      <c r="O1936" s="113">
        <f t="shared" si="123"/>
        <v>37210.100455461376</v>
      </c>
    </row>
    <row r="1937" spans="1:15" x14ac:dyDescent="0.25">
      <c r="A1937" s="13">
        <v>44442</v>
      </c>
      <c r="B1937" s="97">
        <v>1559</v>
      </c>
      <c r="C1937" t="s">
        <v>552</v>
      </c>
      <c r="D1937" s="94" t="s">
        <v>563</v>
      </c>
      <c r="E1937" t="s">
        <v>17</v>
      </c>
      <c r="F1937" t="s">
        <v>557</v>
      </c>
      <c r="G1937" s="50" t="s">
        <v>205</v>
      </c>
      <c r="H1937" s="50">
        <v>2</v>
      </c>
      <c r="I1937" s="100">
        <v>6.7391919697301583</v>
      </c>
      <c r="J1937" s="52">
        <v>3834.68</v>
      </c>
      <c r="K1937" s="67">
        <f t="shared" si="124"/>
        <v>40288.683028813866</v>
      </c>
      <c r="L1937" s="95">
        <f>+VLOOKUP(E1937,MARGEN!A:B,2,FALSE)</f>
        <v>0.1</v>
      </c>
      <c r="M1937" s="112">
        <f t="shared" si="121"/>
        <v>4028.8683028813866</v>
      </c>
      <c r="N1937" s="113">
        <f t="shared" si="122"/>
        <v>161.15473211525546</v>
      </c>
      <c r="O1937" s="113">
        <f t="shared" si="123"/>
        <v>36098.659993817222</v>
      </c>
    </row>
    <row r="1938" spans="1:15" x14ac:dyDescent="0.25">
      <c r="A1938" s="13">
        <v>44442</v>
      </c>
      <c r="B1938" s="97">
        <v>1559</v>
      </c>
      <c r="C1938" t="s">
        <v>176</v>
      </c>
      <c r="D1938" s="94" t="s">
        <v>430</v>
      </c>
      <c r="E1938" t="s">
        <v>17</v>
      </c>
      <c r="F1938" t="s">
        <v>558</v>
      </c>
      <c r="G1938" s="50" t="s">
        <v>559</v>
      </c>
      <c r="H1938" s="50">
        <v>2</v>
      </c>
      <c r="I1938" s="100">
        <v>6.7391919697301583</v>
      </c>
      <c r="J1938" s="52">
        <v>3834.68</v>
      </c>
      <c r="K1938" s="67">
        <f t="shared" si="124"/>
        <v>40288.683028813866</v>
      </c>
      <c r="L1938" s="95">
        <f>+VLOOKUP(E1938,MARGEN!A:B,2,FALSE)</f>
        <v>0.1</v>
      </c>
      <c r="M1938" s="112">
        <f t="shared" si="121"/>
        <v>4028.8683028813866</v>
      </c>
      <c r="N1938" s="113">
        <f t="shared" si="122"/>
        <v>161.15473211525546</v>
      </c>
      <c r="O1938" s="113">
        <f t="shared" si="123"/>
        <v>36098.659993817222</v>
      </c>
    </row>
    <row r="1939" spans="1:15" x14ac:dyDescent="0.25">
      <c r="A1939" s="13">
        <v>44442</v>
      </c>
      <c r="B1939" s="97">
        <v>1535</v>
      </c>
      <c r="C1939" t="s">
        <v>137</v>
      </c>
      <c r="D1939" s="94" t="s">
        <v>418</v>
      </c>
      <c r="E1939" t="s">
        <v>17</v>
      </c>
      <c r="F1939" t="s">
        <v>558</v>
      </c>
      <c r="G1939" s="50" t="s">
        <v>559</v>
      </c>
      <c r="H1939" s="50">
        <v>2</v>
      </c>
      <c r="I1939" s="100">
        <v>6.7391919697301583</v>
      </c>
      <c r="J1939" s="52">
        <v>3834.68</v>
      </c>
      <c r="K1939" s="67">
        <f t="shared" si="124"/>
        <v>39668.459556914233</v>
      </c>
      <c r="L1939" s="95">
        <f>+VLOOKUP(E1939,MARGEN!A:B,2,FALSE)</f>
        <v>0.1</v>
      </c>
      <c r="M1939" s="112">
        <f t="shared" si="121"/>
        <v>3966.8459556914236</v>
      </c>
      <c r="N1939" s="113">
        <f t="shared" si="122"/>
        <v>158.67383822765694</v>
      </c>
      <c r="O1939" s="113">
        <f t="shared" si="123"/>
        <v>35542.939762995149</v>
      </c>
    </row>
    <row r="1940" spans="1:15" x14ac:dyDescent="0.25">
      <c r="A1940" s="13">
        <v>44442</v>
      </c>
      <c r="B1940" s="97">
        <v>1535</v>
      </c>
      <c r="C1940" s="88" t="s">
        <v>119</v>
      </c>
      <c r="D1940" t="s">
        <v>377</v>
      </c>
      <c r="E1940" t="s">
        <v>17</v>
      </c>
      <c r="F1940" t="s">
        <v>558</v>
      </c>
      <c r="G1940" s="50" t="s">
        <v>559</v>
      </c>
      <c r="H1940" s="50">
        <v>2</v>
      </c>
      <c r="I1940" s="100">
        <v>6.7391919697301583</v>
      </c>
      <c r="J1940" s="52">
        <v>3834.68</v>
      </c>
      <c r="K1940" s="67">
        <f t="shared" si="124"/>
        <v>39668.459556914233</v>
      </c>
      <c r="L1940" s="95">
        <f>+VLOOKUP(E1940,MARGEN!A:B,2,FALSE)</f>
        <v>0.1</v>
      </c>
      <c r="M1940" s="112">
        <f t="shared" si="121"/>
        <v>3966.8459556914236</v>
      </c>
      <c r="N1940" s="113">
        <f t="shared" si="122"/>
        <v>158.67383822765694</v>
      </c>
      <c r="O1940" s="113">
        <f t="shared" si="123"/>
        <v>35542.939762995149</v>
      </c>
    </row>
    <row r="1941" spans="1:15" x14ac:dyDescent="0.25">
      <c r="A1941" s="13">
        <v>44442</v>
      </c>
      <c r="B1941" s="97">
        <v>1511</v>
      </c>
      <c r="C1941" t="s">
        <v>291</v>
      </c>
      <c r="D1941" s="94" t="s">
        <v>492</v>
      </c>
      <c r="E1941" t="s">
        <v>17</v>
      </c>
      <c r="F1941" t="s">
        <v>558</v>
      </c>
      <c r="G1941" s="50" t="s">
        <v>559</v>
      </c>
      <c r="H1941" s="50">
        <v>2</v>
      </c>
      <c r="I1941" s="100">
        <v>6.7391919697301583</v>
      </c>
      <c r="J1941" s="52">
        <v>3834.68</v>
      </c>
      <c r="K1941" s="67">
        <f t="shared" si="124"/>
        <v>39048.2360850146</v>
      </c>
      <c r="L1941" s="95">
        <f>+VLOOKUP(E1941,MARGEN!A:B,2,FALSE)</f>
        <v>0.1</v>
      </c>
      <c r="M1941" s="112">
        <f t="shared" si="121"/>
        <v>3904.8236085014601</v>
      </c>
      <c r="N1941" s="113">
        <f t="shared" si="122"/>
        <v>156.1929443400584</v>
      </c>
      <c r="O1941" s="113">
        <f t="shared" si="123"/>
        <v>34987.219532173083</v>
      </c>
    </row>
    <row r="1942" spans="1:15" x14ac:dyDescent="0.25">
      <c r="A1942" s="13">
        <v>44442</v>
      </c>
      <c r="B1942" s="51">
        <v>1487</v>
      </c>
      <c r="C1942" s="66" t="s">
        <v>169</v>
      </c>
      <c r="D1942" s="66" t="s">
        <v>351</v>
      </c>
      <c r="E1942" t="s">
        <v>17</v>
      </c>
      <c r="F1942" s="50" t="s">
        <v>558</v>
      </c>
      <c r="G1942" s="50" t="s">
        <v>559</v>
      </c>
      <c r="H1942" s="50">
        <v>2</v>
      </c>
      <c r="I1942" s="100">
        <v>6.7391919697301583</v>
      </c>
      <c r="J1942" s="52">
        <v>3834.68</v>
      </c>
      <c r="K1942" s="67">
        <f t="shared" si="124"/>
        <v>38428.012613114959</v>
      </c>
      <c r="L1942" s="95">
        <f>+VLOOKUP(E1942,MARGEN!A:B,2,FALSE)</f>
        <v>0.1</v>
      </c>
      <c r="M1942" s="112">
        <f t="shared" si="121"/>
        <v>3842.8012613114961</v>
      </c>
      <c r="N1942" s="113">
        <f t="shared" si="122"/>
        <v>153.71205045245983</v>
      </c>
      <c r="O1942" s="113">
        <f t="shared" si="123"/>
        <v>34431.499301351003</v>
      </c>
    </row>
    <row r="1943" spans="1:15" x14ac:dyDescent="0.25">
      <c r="A1943" s="13">
        <v>44442</v>
      </c>
      <c r="B1943" s="97">
        <v>1463</v>
      </c>
      <c r="C1943" t="s">
        <v>297</v>
      </c>
      <c r="D1943" s="94" t="s">
        <v>526</v>
      </c>
      <c r="E1943" t="s">
        <v>17</v>
      </c>
      <c r="F1943" t="s">
        <v>558</v>
      </c>
      <c r="G1943" s="50" t="s">
        <v>559</v>
      </c>
      <c r="H1943" s="50">
        <v>2</v>
      </c>
      <c r="I1943" s="100">
        <v>6.7391919697301583</v>
      </c>
      <c r="J1943" s="52">
        <v>3834.68</v>
      </c>
      <c r="K1943" s="67">
        <f t="shared" si="124"/>
        <v>37807.789141215326</v>
      </c>
      <c r="L1943" s="95">
        <f>+VLOOKUP(E1943,MARGEN!A:B,2,FALSE)</f>
        <v>0.1</v>
      </c>
      <c r="M1943" s="112">
        <f t="shared" si="121"/>
        <v>3780.7789141215326</v>
      </c>
      <c r="N1943" s="113">
        <f t="shared" si="122"/>
        <v>151.23115656486129</v>
      </c>
      <c r="O1943" s="113">
        <f t="shared" si="123"/>
        <v>33875.77907052893</v>
      </c>
    </row>
    <row r="1944" spans="1:15" x14ac:dyDescent="0.25">
      <c r="A1944" s="13">
        <v>44442</v>
      </c>
      <c r="B1944" s="97">
        <v>1439</v>
      </c>
      <c r="C1944" t="s">
        <v>210</v>
      </c>
      <c r="D1944" s="94" t="s">
        <v>402</v>
      </c>
      <c r="E1944" t="s">
        <v>17</v>
      </c>
      <c r="F1944" t="s">
        <v>558</v>
      </c>
      <c r="G1944" s="50" t="s">
        <v>559</v>
      </c>
      <c r="H1944" s="50">
        <v>2</v>
      </c>
      <c r="I1944" s="100">
        <v>6.7391919697301583</v>
      </c>
      <c r="J1944" s="52">
        <v>3834.68</v>
      </c>
      <c r="K1944" s="67">
        <f t="shared" si="124"/>
        <v>37187.565669315685</v>
      </c>
      <c r="L1944" s="95">
        <f>+VLOOKUP(E1944,MARGEN!A:B,2,FALSE)</f>
        <v>0.1</v>
      </c>
      <c r="M1944" s="112">
        <f t="shared" si="121"/>
        <v>3718.7565669315686</v>
      </c>
      <c r="N1944" s="113">
        <f t="shared" si="122"/>
        <v>148.75026267726275</v>
      </c>
      <c r="O1944" s="113">
        <f t="shared" si="123"/>
        <v>33320.058839706857</v>
      </c>
    </row>
    <row r="1945" spans="1:15" x14ac:dyDescent="0.25">
      <c r="A1945" s="13">
        <v>44442</v>
      </c>
      <c r="B1945" s="97">
        <v>1439</v>
      </c>
      <c r="C1945" t="s">
        <v>168</v>
      </c>
      <c r="D1945" s="94" t="s">
        <v>352</v>
      </c>
      <c r="E1945" t="s">
        <v>17</v>
      </c>
      <c r="F1945" t="s">
        <v>558</v>
      </c>
      <c r="G1945" s="50" t="s">
        <v>559</v>
      </c>
      <c r="H1945" s="50">
        <v>2</v>
      </c>
      <c r="I1945" s="100">
        <v>6.7391919697301583</v>
      </c>
      <c r="J1945" s="52">
        <v>3834.68</v>
      </c>
      <c r="K1945" s="67">
        <f t="shared" si="124"/>
        <v>37187.565669315685</v>
      </c>
      <c r="L1945" s="95">
        <f>+VLOOKUP(E1945,MARGEN!A:B,2,FALSE)</f>
        <v>0.1</v>
      </c>
      <c r="M1945" s="112">
        <f t="shared" si="121"/>
        <v>3718.7565669315686</v>
      </c>
      <c r="N1945" s="113">
        <f t="shared" si="122"/>
        <v>148.75026267726275</v>
      </c>
      <c r="O1945" s="113">
        <f t="shared" si="123"/>
        <v>33320.058839706857</v>
      </c>
    </row>
    <row r="1946" spans="1:15" x14ac:dyDescent="0.25">
      <c r="A1946" s="13">
        <v>44442</v>
      </c>
      <c r="B1946" s="97">
        <v>1367</v>
      </c>
      <c r="C1946" t="s">
        <v>173</v>
      </c>
      <c r="D1946" s="94" t="s">
        <v>451</v>
      </c>
      <c r="E1946" t="s">
        <v>17</v>
      </c>
      <c r="F1946" t="s">
        <v>558</v>
      </c>
      <c r="G1946" s="50" t="s">
        <v>559</v>
      </c>
      <c r="H1946" s="50">
        <v>2</v>
      </c>
      <c r="I1946" s="100">
        <v>6.7391919697301583</v>
      </c>
      <c r="J1946" s="52">
        <v>3834.68</v>
      </c>
      <c r="K1946" s="67">
        <f t="shared" si="124"/>
        <v>35326.895253616778</v>
      </c>
      <c r="L1946" s="95">
        <f>+VLOOKUP(E1946,MARGEN!A:B,2,FALSE)</f>
        <v>0.1</v>
      </c>
      <c r="M1946" s="112">
        <f t="shared" si="121"/>
        <v>3532.6895253616781</v>
      </c>
      <c r="N1946" s="113">
        <f t="shared" si="122"/>
        <v>141.3075810144671</v>
      </c>
      <c r="O1946" s="113">
        <f t="shared" si="123"/>
        <v>31652.898147240634</v>
      </c>
    </row>
    <row r="1947" spans="1:15" x14ac:dyDescent="0.25">
      <c r="A1947" s="13">
        <v>44442</v>
      </c>
      <c r="B1947" s="97">
        <v>1343</v>
      </c>
      <c r="C1947" t="s">
        <v>298</v>
      </c>
      <c r="D1947" s="94" t="s">
        <v>536</v>
      </c>
      <c r="E1947" t="s">
        <v>17</v>
      </c>
      <c r="F1947" t="s">
        <v>558</v>
      </c>
      <c r="G1947" s="50" t="s">
        <v>559</v>
      </c>
      <c r="H1947" s="50">
        <v>2</v>
      </c>
      <c r="I1947" s="100">
        <v>6.7391919697301583</v>
      </c>
      <c r="J1947" s="52">
        <v>3834.68</v>
      </c>
      <c r="K1947" s="67">
        <f t="shared" si="124"/>
        <v>34706.671781717145</v>
      </c>
      <c r="L1947" s="95">
        <f>+VLOOKUP(E1947,MARGEN!A:B,2,FALSE)</f>
        <v>0.1</v>
      </c>
      <c r="M1947" s="112">
        <f t="shared" si="121"/>
        <v>3470.6671781717146</v>
      </c>
      <c r="N1947" s="113">
        <f t="shared" si="122"/>
        <v>138.82668712686859</v>
      </c>
      <c r="O1947" s="113">
        <f t="shared" si="123"/>
        <v>31097.177916418561</v>
      </c>
    </row>
    <row r="1948" spans="1:15" x14ac:dyDescent="0.25">
      <c r="A1948" s="13">
        <v>44442</v>
      </c>
      <c r="B1948" s="97">
        <v>1343</v>
      </c>
      <c r="C1948" t="s">
        <v>292</v>
      </c>
      <c r="D1948" s="94" t="s">
        <v>535</v>
      </c>
      <c r="E1948" t="s">
        <v>17</v>
      </c>
      <c r="F1948" t="s">
        <v>558</v>
      </c>
      <c r="G1948" s="50" t="s">
        <v>559</v>
      </c>
      <c r="H1948" s="50">
        <v>2</v>
      </c>
      <c r="I1948" s="100">
        <v>6.7391919697301583</v>
      </c>
      <c r="J1948" s="52">
        <v>3834.68</v>
      </c>
      <c r="K1948" s="67">
        <f t="shared" si="124"/>
        <v>34706.671781717145</v>
      </c>
      <c r="L1948" s="95">
        <f>+VLOOKUP(E1948,MARGEN!A:B,2,FALSE)</f>
        <v>0.1</v>
      </c>
      <c r="M1948" s="112">
        <f t="shared" si="121"/>
        <v>3470.6671781717146</v>
      </c>
      <c r="N1948" s="113">
        <f t="shared" si="122"/>
        <v>138.82668712686859</v>
      </c>
      <c r="O1948" s="113">
        <f t="shared" si="123"/>
        <v>31097.177916418561</v>
      </c>
    </row>
    <row r="1949" spans="1:15" x14ac:dyDescent="0.25">
      <c r="A1949" s="13">
        <v>44442</v>
      </c>
      <c r="B1949" s="97">
        <v>1319</v>
      </c>
      <c r="C1949" t="s">
        <v>141</v>
      </c>
      <c r="D1949" s="94" t="s">
        <v>450</v>
      </c>
      <c r="E1949" t="s">
        <v>17</v>
      </c>
      <c r="F1949" t="s">
        <v>558</v>
      </c>
      <c r="G1949" s="50" t="s">
        <v>559</v>
      </c>
      <c r="H1949" s="50">
        <v>2</v>
      </c>
      <c r="I1949" s="100">
        <v>6.7391919697301583</v>
      </c>
      <c r="J1949" s="52">
        <v>3834.68</v>
      </c>
      <c r="K1949" s="67">
        <f t="shared" si="124"/>
        <v>34086.448309817511</v>
      </c>
      <c r="L1949" s="95">
        <f>+VLOOKUP(E1949,MARGEN!A:B,2,FALSE)</f>
        <v>0.1</v>
      </c>
      <c r="M1949" s="112">
        <f t="shared" si="121"/>
        <v>3408.6448309817515</v>
      </c>
      <c r="N1949" s="113">
        <f t="shared" si="122"/>
        <v>136.34579323927005</v>
      </c>
      <c r="O1949" s="113">
        <f t="shared" si="123"/>
        <v>30541.457685596492</v>
      </c>
    </row>
    <row r="1950" spans="1:15" x14ac:dyDescent="0.25">
      <c r="A1950" s="13">
        <v>44442</v>
      </c>
      <c r="B1950" s="97">
        <v>1319</v>
      </c>
      <c r="C1950" t="s">
        <v>118</v>
      </c>
      <c r="D1950" s="94" t="s">
        <v>329</v>
      </c>
      <c r="E1950" t="s">
        <v>17</v>
      </c>
      <c r="F1950" t="s">
        <v>558</v>
      </c>
      <c r="G1950" s="50" t="s">
        <v>559</v>
      </c>
      <c r="H1950" s="50">
        <v>2</v>
      </c>
      <c r="I1950" s="100">
        <v>6.7391919697301583</v>
      </c>
      <c r="J1950" s="52">
        <v>3834.68</v>
      </c>
      <c r="K1950" s="67">
        <f t="shared" si="124"/>
        <v>34086.448309817511</v>
      </c>
      <c r="L1950" s="95">
        <f>+VLOOKUP(E1950,MARGEN!A:B,2,FALSE)</f>
        <v>0.1</v>
      </c>
      <c r="M1950" s="112">
        <f t="shared" si="121"/>
        <v>3408.6448309817515</v>
      </c>
      <c r="N1950" s="113">
        <f t="shared" si="122"/>
        <v>136.34579323927005</v>
      </c>
      <c r="O1950" s="113">
        <f t="shared" si="123"/>
        <v>30541.457685596492</v>
      </c>
    </row>
    <row r="1951" spans="1:15" x14ac:dyDescent="0.25">
      <c r="A1951" s="13">
        <v>44442</v>
      </c>
      <c r="B1951" s="97">
        <v>1295</v>
      </c>
      <c r="C1951" t="s">
        <v>151</v>
      </c>
      <c r="D1951" s="94" t="s">
        <v>394</v>
      </c>
      <c r="E1951" t="s">
        <v>17</v>
      </c>
      <c r="F1951" t="s">
        <v>558</v>
      </c>
      <c r="G1951" s="50" t="s">
        <v>559</v>
      </c>
      <c r="H1951" s="50">
        <v>2</v>
      </c>
      <c r="I1951" s="100">
        <v>6.7391919697301583</v>
      </c>
      <c r="J1951" s="52">
        <v>3834.68</v>
      </c>
      <c r="K1951" s="67">
        <f t="shared" si="124"/>
        <v>33466.224837917871</v>
      </c>
      <c r="L1951" s="95">
        <f>+VLOOKUP(E1951,MARGEN!A:B,2,FALSE)</f>
        <v>0.1</v>
      </c>
      <c r="M1951" s="112">
        <f t="shared" si="121"/>
        <v>3346.6224837917871</v>
      </c>
      <c r="N1951" s="113">
        <f t="shared" si="122"/>
        <v>133.86489935167148</v>
      </c>
      <c r="O1951" s="113">
        <f t="shared" si="123"/>
        <v>29985.737454774411</v>
      </c>
    </row>
    <row r="1952" spans="1:15" x14ac:dyDescent="0.25">
      <c r="A1952" s="13">
        <v>44442</v>
      </c>
      <c r="B1952" s="97">
        <v>1295</v>
      </c>
      <c r="C1952" t="s">
        <v>302</v>
      </c>
      <c r="D1952" t="s">
        <v>538</v>
      </c>
      <c r="E1952" t="s">
        <v>17</v>
      </c>
      <c r="F1952" t="s">
        <v>558</v>
      </c>
      <c r="G1952" s="50" t="s">
        <v>559</v>
      </c>
      <c r="H1952" s="50">
        <v>2</v>
      </c>
      <c r="I1952" s="100">
        <v>6.7391919697301583</v>
      </c>
      <c r="J1952" s="52">
        <v>3834.68</v>
      </c>
      <c r="K1952" s="67">
        <f t="shared" si="124"/>
        <v>33466.224837917871</v>
      </c>
      <c r="L1952" s="95">
        <f>+VLOOKUP(E1952,MARGEN!A:B,2,FALSE)</f>
        <v>0.1</v>
      </c>
      <c r="M1952" s="112">
        <f t="shared" si="121"/>
        <v>3346.6224837917871</v>
      </c>
      <c r="N1952" s="113">
        <f t="shared" si="122"/>
        <v>133.86489935167148</v>
      </c>
      <c r="O1952" s="113">
        <f t="shared" si="123"/>
        <v>29985.737454774411</v>
      </c>
    </row>
    <row r="1953" spans="1:15" x14ac:dyDescent="0.25">
      <c r="A1953" s="13">
        <v>44442</v>
      </c>
      <c r="B1953" s="97">
        <v>1271</v>
      </c>
      <c r="C1953" t="s">
        <v>183</v>
      </c>
      <c r="D1953" s="94" t="s">
        <v>390</v>
      </c>
      <c r="E1953" t="s">
        <v>17</v>
      </c>
      <c r="F1953" t="s">
        <v>558</v>
      </c>
      <c r="G1953" s="50" t="s">
        <v>559</v>
      </c>
      <c r="H1953" s="50">
        <v>2</v>
      </c>
      <c r="I1953" s="100">
        <v>6.7391919697301583</v>
      </c>
      <c r="J1953" s="52">
        <v>3834.68</v>
      </c>
      <c r="K1953" s="67">
        <f t="shared" si="124"/>
        <v>32846.00136601823</v>
      </c>
      <c r="L1953" s="95">
        <f>+VLOOKUP(E1953,MARGEN!A:B,2,FALSE)</f>
        <v>0.1</v>
      </c>
      <c r="M1953" s="112">
        <f t="shared" si="121"/>
        <v>3284.6001366018231</v>
      </c>
      <c r="N1953" s="113">
        <f t="shared" si="122"/>
        <v>131.38400546407291</v>
      </c>
      <c r="O1953" s="113">
        <f t="shared" si="123"/>
        <v>29430.017223952334</v>
      </c>
    </row>
    <row r="1954" spans="1:15" x14ac:dyDescent="0.25">
      <c r="A1954" s="13">
        <v>44442</v>
      </c>
      <c r="B1954" s="97">
        <v>1223</v>
      </c>
      <c r="C1954" t="s">
        <v>199</v>
      </c>
      <c r="D1954" s="94" t="s">
        <v>414</v>
      </c>
      <c r="E1954" t="s">
        <v>17</v>
      </c>
      <c r="F1954" t="s">
        <v>558</v>
      </c>
      <c r="G1954" s="50" t="s">
        <v>559</v>
      </c>
      <c r="H1954" s="50">
        <v>2</v>
      </c>
      <c r="I1954" s="100">
        <v>6.7391919697301583</v>
      </c>
      <c r="J1954" s="52">
        <v>3834.68</v>
      </c>
      <c r="K1954" s="67">
        <f t="shared" si="124"/>
        <v>31605.55442221896</v>
      </c>
      <c r="L1954" s="95">
        <f>+VLOOKUP(E1954,MARGEN!A:B,2,FALSE)</f>
        <v>0.1</v>
      </c>
      <c r="M1954" s="112">
        <f t="shared" si="121"/>
        <v>3160.5554422218961</v>
      </c>
      <c r="N1954" s="113">
        <f t="shared" si="122"/>
        <v>126.42221768887585</v>
      </c>
      <c r="O1954" s="113">
        <f t="shared" si="123"/>
        <v>28318.576762308188</v>
      </c>
    </row>
    <row r="1955" spans="1:15" x14ac:dyDescent="0.25">
      <c r="A1955" s="13">
        <v>44442</v>
      </c>
      <c r="B1955" s="97">
        <v>1151</v>
      </c>
      <c r="C1955" t="s">
        <v>184</v>
      </c>
      <c r="D1955" s="94" t="s">
        <v>443</v>
      </c>
      <c r="E1955" t="s">
        <v>17</v>
      </c>
      <c r="F1955" t="s">
        <v>558</v>
      </c>
      <c r="G1955" s="50" t="s">
        <v>559</v>
      </c>
      <c r="H1955" s="50">
        <v>2</v>
      </c>
      <c r="I1955" s="100">
        <v>6.7391919697301583</v>
      </c>
      <c r="J1955" s="52">
        <v>3834.68</v>
      </c>
      <c r="K1955" s="67">
        <f t="shared" si="124"/>
        <v>29744.884006520053</v>
      </c>
      <c r="L1955" s="95">
        <f>+VLOOKUP(E1955,MARGEN!A:B,2,FALSE)</f>
        <v>0.1</v>
      </c>
      <c r="M1955" s="112">
        <f t="shared" si="121"/>
        <v>2974.4884006520056</v>
      </c>
      <c r="N1955" s="113">
        <f t="shared" si="122"/>
        <v>118.97953602608021</v>
      </c>
      <c r="O1955" s="113">
        <f t="shared" si="123"/>
        <v>26651.416069841969</v>
      </c>
    </row>
    <row r="1956" spans="1:15" x14ac:dyDescent="0.25">
      <c r="A1956" s="13">
        <v>44442</v>
      </c>
      <c r="B1956" s="97">
        <v>1127</v>
      </c>
      <c r="C1956" t="s">
        <v>185</v>
      </c>
      <c r="D1956" s="94" t="s">
        <v>456</v>
      </c>
      <c r="E1956" t="s">
        <v>17</v>
      </c>
      <c r="F1956" t="s">
        <v>557</v>
      </c>
      <c r="G1956" s="50" t="s">
        <v>205</v>
      </c>
      <c r="H1956" s="50">
        <v>2</v>
      </c>
      <c r="I1956" s="100">
        <v>6.7391919697301583</v>
      </c>
      <c r="J1956" s="52">
        <v>3834.68</v>
      </c>
      <c r="K1956" s="67">
        <f t="shared" si="124"/>
        <v>29124.660534620416</v>
      </c>
      <c r="L1956" s="95">
        <f>+VLOOKUP(E1956,MARGEN!A:B,2,FALSE)</f>
        <v>0.1</v>
      </c>
      <c r="M1956" s="112">
        <f t="shared" si="121"/>
        <v>2912.4660534620416</v>
      </c>
      <c r="N1956" s="113">
        <f t="shared" si="122"/>
        <v>116.49864213848167</v>
      </c>
      <c r="O1956" s="113">
        <f t="shared" si="123"/>
        <v>26095.695839019892</v>
      </c>
    </row>
    <row r="1957" spans="1:15" x14ac:dyDescent="0.25">
      <c r="A1957" s="13">
        <v>44442</v>
      </c>
      <c r="B1957" s="97">
        <v>911</v>
      </c>
      <c r="C1957" t="s">
        <v>182</v>
      </c>
      <c r="D1957" s="94" t="s">
        <v>455</v>
      </c>
      <c r="E1957" t="s">
        <v>17</v>
      </c>
      <c r="F1957" t="s">
        <v>558</v>
      </c>
      <c r="G1957" s="50" t="s">
        <v>559</v>
      </c>
      <c r="H1957" s="50">
        <v>2</v>
      </c>
      <c r="I1957" s="100">
        <v>6.7391919697301583</v>
      </c>
      <c r="J1957" s="52">
        <v>3834.68</v>
      </c>
      <c r="K1957" s="67">
        <f t="shared" si="124"/>
        <v>23542.649287523691</v>
      </c>
      <c r="L1957" s="95">
        <f>+VLOOKUP(E1957,MARGEN!A:B,2,FALSE)</f>
        <v>0.1</v>
      </c>
      <c r="M1957" s="112">
        <f t="shared" si="121"/>
        <v>2354.2649287523691</v>
      </c>
      <c r="N1957" s="113">
        <f t="shared" si="122"/>
        <v>94.170597150094764</v>
      </c>
      <c r="O1957" s="113">
        <f t="shared" si="123"/>
        <v>21094.213761621224</v>
      </c>
    </row>
    <row r="1958" spans="1:15" x14ac:dyDescent="0.25">
      <c r="A1958" s="13">
        <v>44442</v>
      </c>
      <c r="B1958" s="97">
        <v>791</v>
      </c>
      <c r="C1958" t="s">
        <v>307</v>
      </c>
      <c r="D1958" s="94" t="s">
        <v>497</v>
      </c>
      <c r="E1958" t="s">
        <v>17</v>
      </c>
      <c r="F1958" t="s">
        <v>557</v>
      </c>
      <c r="G1958" s="50" t="s">
        <v>205</v>
      </c>
      <c r="H1958" s="50">
        <v>2</v>
      </c>
      <c r="I1958" s="100">
        <v>6.7391919697301583</v>
      </c>
      <c r="J1958" s="52">
        <v>3834.68</v>
      </c>
      <c r="K1958" s="67">
        <f t="shared" si="124"/>
        <v>20441.53192802551</v>
      </c>
      <c r="L1958" s="95">
        <f>+VLOOKUP(E1958,MARGEN!A:B,2,FALSE)</f>
        <v>0.1</v>
      </c>
      <c r="M1958" s="112">
        <f t="shared" si="121"/>
        <v>2044.1531928025511</v>
      </c>
      <c r="N1958" s="113">
        <f t="shared" si="122"/>
        <v>81.766127712102033</v>
      </c>
      <c r="O1958" s="113">
        <f t="shared" si="123"/>
        <v>18315.612607510859</v>
      </c>
    </row>
    <row r="1959" spans="1:15" x14ac:dyDescent="0.25">
      <c r="A1959" s="13">
        <v>44443</v>
      </c>
      <c r="B1959" s="97">
        <v>6767</v>
      </c>
      <c r="C1959" t="s">
        <v>150</v>
      </c>
      <c r="D1959" s="94" t="s">
        <v>357</v>
      </c>
      <c r="E1959" t="s">
        <v>17</v>
      </c>
      <c r="F1959" t="s">
        <v>558</v>
      </c>
      <c r="G1959" s="50" t="s">
        <v>559</v>
      </c>
      <c r="H1959" s="50">
        <v>2</v>
      </c>
      <c r="I1959" s="100">
        <v>6.7391919697301583</v>
      </c>
      <c r="J1959" s="52">
        <v>3834.68</v>
      </c>
      <c r="K1959" s="67">
        <f t="shared" si="124"/>
        <v>174877.17643103495</v>
      </c>
      <c r="L1959" s="95">
        <f>+VLOOKUP(E1959,MARGEN!A:B,2,FALSE)</f>
        <v>0.1</v>
      </c>
      <c r="M1959" s="112">
        <f t="shared" si="121"/>
        <v>17487.717643103497</v>
      </c>
      <c r="N1959" s="113">
        <f t="shared" si="122"/>
        <v>699.50870572413976</v>
      </c>
      <c r="O1959" s="113">
        <f t="shared" si="123"/>
        <v>156689.9500822073</v>
      </c>
    </row>
    <row r="1960" spans="1:15" x14ac:dyDescent="0.25">
      <c r="A1960" s="13">
        <v>44443</v>
      </c>
      <c r="B1960" s="97">
        <v>5855</v>
      </c>
      <c r="C1960" t="s">
        <v>279</v>
      </c>
      <c r="D1960" s="94" t="s">
        <v>493</v>
      </c>
      <c r="E1960" t="s">
        <v>17</v>
      </c>
      <c r="F1960" t="s">
        <v>566</v>
      </c>
      <c r="G1960" s="50" t="s">
        <v>559</v>
      </c>
      <c r="H1960" s="50">
        <v>2</v>
      </c>
      <c r="I1960" s="100">
        <v>6.7391919697301583</v>
      </c>
      <c r="J1960" s="52">
        <v>3834.68</v>
      </c>
      <c r="K1960" s="67">
        <f t="shared" si="124"/>
        <v>151308.68449884877</v>
      </c>
      <c r="L1960" s="95">
        <f>+VLOOKUP(E1960,MARGEN!A:B,2,FALSE)</f>
        <v>0.1</v>
      </c>
      <c r="M1960" s="112">
        <f t="shared" si="121"/>
        <v>15130.868449884878</v>
      </c>
      <c r="N1960" s="113">
        <f t="shared" si="122"/>
        <v>605.23473799539511</v>
      </c>
      <c r="O1960" s="113">
        <f t="shared" si="123"/>
        <v>135572.5813109685</v>
      </c>
    </row>
    <row r="1961" spans="1:15" x14ac:dyDescent="0.25">
      <c r="A1961" s="13">
        <v>44443</v>
      </c>
      <c r="B1961" s="97">
        <v>5447</v>
      </c>
      <c r="C1961" t="s">
        <v>278</v>
      </c>
      <c r="D1961" s="94" t="s">
        <v>453</v>
      </c>
      <c r="E1961" t="s">
        <v>17</v>
      </c>
      <c r="F1961" t="s">
        <v>566</v>
      </c>
      <c r="G1961" s="50" t="s">
        <v>559</v>
      </c>
      <c r="H1961" s="50">
        <v>2</v>
      </c>
      <c r="I1961" s="100">
        <v>6.7391919697301583</v>
      </c>
      <c r="J1961" s="52">
        <v>3834.68</v>
      </c>
      <c r="K1961" s="67">
        <f t="shared" si="124"/>
        <v>140764.88547655492</v>
      </c>
      <c r="L1961" s="95">
        <f>+VLOOKUP(E1961,MARGEN!A:B,2,FALSE)</f>
        <v>0.1</v>
      </c>
      <c r="M1961" s="112">
        <f t="shared" si="121"/>
        <v>14076.488547655492</v>
      </c>
      <c r="N1961" s="113">
        <f t="shared" si="122"/>
        <v>563.05954190621969</v>
      </c>
      <c r="O1961" s="113">
        <f t="shared" si="123"/>
        <v>126125.33738699321</v>
      </c>
    </row>
    <row r="1962" spans="1:15" x14ac:dyDescent="0.25">
      <c r="A1962" s="13">
        <v>44443</v>
      </c>
      <c r="B1962" s="97">
        <v>4271</v>
      </c>
      <c r="C1962" t="s">
        <v>193</v>
      </c>
      <c r="D1962" s="94" t="s">
        <v>380</v>
      </c>
      <c r="E1962" t="s">
        <v>17</v>
      </c>
      <c r="F1962" t="s">
        <v>566</v>
      </c>
      <c r="G1962" s="50" t="s">
        <v>559</v>
      </c>
      <c r="H1962" s="50">
        <v>2</v>
      </c>
      <c r="I1962" s="100">
        <v>6.7391919697301583</v>
      </c>
      <c r="J1962" s="52">
        <v>3834.68</v>
      </c>
      <c r="K1962" s="67">
        <f t="shared" si="124"/>
        <v>110373.93535347277</v>
      </c>
      <c r="L1962" s="95">
        <f>+VLOOKUP(E1962,MARGEN!A:B,2,FALSE)</f>
        <v>0.1</v>
      </c>
      <c r="M1962" s="112">
        <f t="shared" si="121"/>
        <v>11037.393535347277</v>
      </c>
      <c r="N1962" s="113">
        <f t="shared" si="122"/>
        <v>441.4957414138911</v>
      </c>
      <c r="O1962" s="113">
        <f t="shared" si="123"/>
        <v>98895.046076711602</v>
      </c>
    </row>
    <row r="1963" spans="1:15" x14ac:dyDescent="0.25">
      <c r="A1963" s="13">
        <v>44443</v>
      </c>
      <c r="B1963" s="97">
        <v>3623</v>
      </c>
      <c r="C1963" t="s">
        <v>149</v>
      </c>
      <c r="D1963" s="94" t="s">
        <v>325</v>
      </c>
      <c r="E1963" t="s">
        <v>17</v>
      </c>
      <c r="F1963" t="s">
        <v>566</v>
      </c>
      <c r="G1963" s="50" t="s">
        <v>559</v>
      </c>
      <c r="H1963" s="50">
        <v>2</v>
      </c>
      <c r="I1963" s="100">
        <v>6.7391919697301583</v>
      </c>
      <c r="J1963" s="52">
        <v>3834.68</v>
      </c>
      <c r="K1963" s="67">
        <f t="shared" si="124"/>
        <v>93627.901612182584</v>
      </c>
      <c r="L1963" s="95">
        <f>+VLOOKUP(E1963,MARGEN!A:B,2,FALSE)</f>
        <v>0.1</v>
      </c>
      <c r="M1963" s="112">
        <f t="shared" si="121"/>
        <v>9362.7901612182595</v>
      </c>
      <c r="N1963" s="113">
        <f t="shared" si="122"/>
        <v>374.51160644873033</v>
      </c>
      <c r="O1963" s="113">
        <f t="shared" si="123"/>
        <v>83890.599844515586</v>
      </c>
    </row>
    <row r="1964" spans="1:15" x14ac:dyDescent="0.25">
      <c r="A1964" s="13">
        <v>44443</v>
      </c>
      <c r="B1964" s="51">
        <v>3599</v>
      </c>
      <c r="C1964" s="66" t="s">
        <v>192</v>
      </c>
      <c r="D1964" s="66" t="s">
        <v>347</v>
      </c>
      <c r="E1964" t="s">
        <v>17</v>
      </c>
      <c r="F1964" s="50" t="s">
        <v>566</v>
      </c>
      <c r="G1964" s="50" t="s">
        <v>559</v>
      </c>
      <c r="H1964" s="50">
        <v>2</v>
      </c>
      <c r="I1964" s="100">
        <v>6.7391919697301583</v>
      </c>
      <c r="J1964" s="52">
        <v>3834.68</v>
      </c>
      <c r="K1964" s="67">
        <f t="shared" si="124"/>
        <v>93007.678140282951</v>
      </c>
      <c r="L1964" s="95">
        <f>+VLOOKUP(E1964,MARGEN!A:B,2,FALSE)</f>
        <v>0.1</v>
      </c>
      <c r="M1964" s="112">
        <f t="shared" si="121"/>
        <v>9300.7678140282951</v>
      </c>
      <c r="N1964" s="113">
        <f t="shared" si="122"/>
        <v>372.03071256113179</v>
      </c>
      <c r="O1964" s="113">
        <f t="shared" si="123"/>
        <v>83334.879613693527</v>
      </c>
    </row>
    <row r="1965" spans="1:15" x14ac:dyDescent="0.25">
      <c r="A1965" s="13">
        <v>44443</v>
      </c>
      <c r="B1965" s="97">
        <v>3479</v>
      </c>
      <c r="C1965" t="s">
        <v>165</v>
      </c>
      <c r="D1965" s="94" t="s">
        <v>375</v>
      </c>
      <c r="E1965" t="s">
        <v>17</v>
      </c>
      <c r="F1965" t="s">
        <v>558</v>
      </c>
      <c r="G1965" s="50" t="s">
        <v>559</v>
      </c>
      <c r="H1965" s="50">
        <v>2</v>
      </c>
      <c r="I1965" s="100">
        <v>6.7391919697301583</v>
      </c>
      <c r="J1965" s="52">
        <v>3834.68</v>
      </c>
      <c r="K1965" s="67">
        <f t="shared" si="124"/>
        <v>89906.56078078477</v>
      </c>
      <c r="L1965" s="95">
        <f>+VLOOKUP(E1965,MARGEN!A:B,2,FALSE)</f>
        <v>0.1</v>
      </c>
      <c r="M1965" s="112">
        <f t="shared" si="121"/>
        <v>8990.6560780784766</v>
      </c>
      <c r="N1965" s="113">
        <f t="shared" si="122"/>
        <v>359.62624312313909</v>
      </c>
      <c r="O1965" s="113">
        <f t="shared" si="123"/>
        <v>80556.278459583147</v>
      </c>
    </row>
    <row r="1966" spans="1:15" x14ac:dyDescent="0.25">
      <c r="A1966" s="13">
        <v>44443</v>
      </c>
      <c r="B1966" s="97">
        <v>3359</v>
      </c>
      <c r="C1966" t="s">
        <v>309</v>
      </c>
      <c r="D1966" s="94" t="s">
        <v>544</v>
      </c>
      <c r="E1966" t="s">
        <v>17</v>
      </c>
      <c r="F1966" t="s">
        <v>558</v>
      </c>
      <c r="G1966" s="50" t="s">
        <v>559</v>
      </c>
      <c r="H1966" s="50">
        <v>2</v>
      </c>
      <c r="I1966" s="100">
        <v>6.7391919697301583</v>
      </c>
      <c r="J1966" s="52">
        <v>3834.68</v>
      </c>
      <c r="K1966" s="67">
        <f t="shared" si="124"/>
        <v>86805.443421286589</v>
      </c>
      <c r="L1966" s="95">
        <f>+VLOOKUP(E1966,MARGEN!A:B,2,FALSE)</f>
        <v>0.1</v>
      </c>
      <c r="M1966" s="112">
        <f t="shared" si="121"/>
        <v>8680.54434212866</v>
      </c>
      <c r="N1966" s="113">
        <f t="shared" si="122"/>
        <v>347.22177368514633</v>
      </c>
      <c r="O1966" s="113">
        <f t="shared" si="123"/>
        <v>77777.677305472782</v>
      </c>
    </row>
    <row r="1967" spans="1:15" x14ac:dyDescent="0.25">
      <c r="A1967" s="13">
        <v>44443</v>
      </c>
      <c r="B1967" s="97">
        <v>2903</v>
      </c>
      <c r="C1967" t="s">
        <v>134</v>
      </c>
      <c r="D1967" s="94" t="s">
        <v>362</v>
      </c>
      <c r="E1967" t="s">
        <v>17</v>
      </c>
      <c r="F1967" t="s">
        <v>566</v>
      </c>
      <c r="G1967" s="50" t="s">
        <v>559</v>
      </c>
      <c r="H1967" s="50">
        <v>2</v>
      </c>
      <c r="I1967" s="100">
        <v>6.7391919697301583</v>
      </c>
      <c r="J1967" s="52">
        <v>3834.68</v>
      </c>
      <c r="K1967" s="67">
        <f t="shared" si="124"/>
        <v>75021.197455193484</v>
      </c>
      <c r="L1967" s="95">
        <f>+VLOOKUP(E1967,MARGEN!A:B,2,FALSE)</f>
        <v>0.1</v>
      </c>
      <c r="M1967" s="112">
        <f t="shared" si="121"/>
        <v>7502.1197455193487</v>
      </c>
      <c r="N1967" s="113">
        <f t="shared" si="122"/>
        <v>300.08478982077395</v>
      </c>
      <c r="O1967" s="113">
        <f t="shared" si="123"/>
        <v>67218.992919853365</v>
      </c>
    </row>
    <row r="1968" spans="1:15" x14ac:dyDescent="0.25">
      <c r="A1968" s="13">
        <v>44443</v>
      </c>
      <c r="B1968" s="97">
        <v>2783</v>
      </c>
      <c r="C1968" t="s">
        <v>131</v>
      </c>
      <c r="D1968" s="94" t="s">
        <v>344</v>
      </c>
      <c r="E1968" t="s">
        <v>17</v>
      </c>
      <c r="F1968" t="s">
        <v>566</v>
      </c>
      <c r="G1968" s="50" t="s">
        <v>559</v>
      </c>
      <c r="H1968" s="50">
        <v>2</v>
      </c>
      <c r="I1968" s="100">
        <v>6.7391919697301583</v>
      </c>
      <c r="J1968" s="52">
        <v>3834.68</v>
      </c>
      <c r="K1968" s="67">
        <f t="shared" si="124"/>
        <v>71920.080095695317</v>
      </c>
      <c r="L1968" s="95">
        <f>+VLOOKUP(E1968,MARGEN!A:B,2,FALSE)</f>
        <v>0.1</v>
      </c>
      <c r="M1968" s="112">
        <f t="shared" si="121"/>
        <v>7192.0080095695321</v>
      </c>
      <c r="N1968" s="113">
        <f t="shared" si="122"/>
        <v>287.68032038278125</v>
      </c>
      <c r="O1968" s="113">
        <f t="shared" si="123"/>
        <v>64440.391765743007</v>
      </c>
    </row>
    <row r="1969" spans="1:15" x14ac:dyDescent="0.25">
      <c r="A1969" s="13">
        <v>44443</v>
      </c>
      <c r="B1969" s="51">
        <v>2711</v>
      </c>
      <c r="C1969" s="66" t="s">
        <v>132</v>
      </c>
      <c r="D1969" s="66" t="s">
        <v>376</v>
      </c>
      <c r="E1969" t="s">
        <v>17</v>
      </c>
      <c r="F1969" s="50" t="s">
        <v>566</v>
      </c>
      <c r="G1969" s="50" t="s">
        <v>559</v>
      </c>
      <c r="H1969" s="50">
        <v>2</v>
      </c>
      <c r="I1969" s="100">
        <v>6.7391919697301583</v>
      </c>
      <c r="J1969" s="52">
        <v>3834.68</v>
      </c>
      <c r="K1969" s="67">
        <f t="shared" si="124"/>
        <v>70059.409679996417</v>
      </c>
      <c r="L1969" s="95">
        <f>+VLOOKUP(E1969,MARGEN!A:B,2,FALSE)</f>
        <v>0.1</v>
      </c>
      <c r="M1969" s="112">
        <f t="shared" si="121"/>
        <v>7005.9409679996425</v>
      </c>
      <c r="N1969" s="113">
        <f t="shared" si="122"/>
        <v>280.23763871998568</v>
      </c>
      <c r="O1969" s="113">
        <f t="shared" si="123"/>
        <v>62773.231073276787</v>
      </c>
    </row>
    <row r="1970" spans="1:15" x14ac:dyDescent="0.25">
      <c r="A1970" s="13">
        <v>44443</v>
      </c>
      <c r="B1970" s="97">
        <v>2687</v>
      </c>
      <c r="C1970" t="s">
        <v>146</v>
      </c>
      <c r="D1970" s="94" t="s">
        <v>348</v>
      </c>
      <c r="E1970" t="s">
        <v>17</v>
      </c>
      <c r="F1970" t="s">
        <v>566</v>
      </c>
      <c r="G1970" s="50" t="s">
        <v>559</v>
      </c>
      <c r="H1970" s="50">
        <v>2</v>
      </c>
      <c r="I1970" s="100">
        <v>6.7391919697301583</v>
      </c>
      <c r="J1970" s="52">
        <v>3834.68</v>
      </c>
      <c r="K1970" s="67">
        <f t="shared" si="124"/>
        <v>69439.186208096769</v>
      </c>
      <c r="L1970" s="95">
        <f>+VLOOKUP(E1970,MARGEN!A:B,2,FALSE)</f>
        <v>0.1</v>
      </c>
      <c r="M1970" s="112">
        <f t="shared" si="121"/>
        <v>6943.9186208096771</v>
      </c>
      <c r="N1970" s="113">
        <f t="shared" si="122"/>
        <v>277.75674483238708</v>
      </c>
      <c r="O1970" s="113">
        <f t="shared" si="123"/>
        <v>62217.5108424547</v>
      </c>
    </row>
    <row r="1971" spans="1:15" x14ac:dyDescent="0.25">
      <c r="A1971" s="13">
        <v>44443</v>
      </c>
      <c r="B1971" s="97">
        <v>2663</v>
      </c>
      <c r="C1971" t="s">
        <v>186</v>
      </c>
      <c r="D1971" s="94" t="s">
        <v>440</v>
      </c>
      <c r="E1971" t="s">
        <v>17</v>
      </c>
      <c r="F1971" t="s">
        <v>558</v>
      </c>
      <c r="G1971" s="50" t="s">
        <v>559</v>
      </c>
      <c r="H1971" s="50">
        <v>2</v>
      </c>
      <c r="I1971" s="100">
        <v>6.7391919697301583</v>
      </c>
      <c r="J1971" s="52">
        <v>3834.68</v>
      </c>
      <c r="K1971" s="67">
        <f t="shared" si="124"/>
        <v>68818.962736197136</v>
      </c>
      <c r="L1971" s="95">
        <f>+VLOOKUP(E1971,MARGEN!A:B,2,FALSE)</f>
        <v>0.1</v>
      </c>
      <c r="M1971" s="112">
        <f t="shared" si="121"/>
        <v>6881.8962736197136</v>
      </c>
      <c r="N1971" s="113">
        <f t="shared" si="122"/>
        <v>275.27585094478854</v>
      </c>
      <c r="O1971" s="113">
        <f t="shared" si="123"/>
        <v>61661.790611632634</v>
      </c>
    </row>
    <row r="1972" spans="1:15" x14ac:dyDescent="0.25">
      <c r="A1972" s="13">
        <v>44443</v>
      </c>
      <c r="B1972" s="97">
        <v>2567</v>
      </c>
      <c r="C1972" t="s">
        <v>310</v>
      </c>
      <c r="D1972" s="94" t="s">
        <v>540</v>
      </c>
      <c r="E1972" t="s">
        <v>17</v>
      </c>
      <c r="F1972" t="s">
        <v>566</v>
      </c>
      <c r="G1972" s="50" t="s">
        <v>559</v>
      </c>
      <c r="H1972" s="50">
        <v>2</v>
      </c>
      <c r="I1972" s="100">
        <v>6.7391919697301583</v>
      </c>
      <c r="J1972" s="52">
        <v>3834.68</v>
      </c>
      <c r="K1972" s="67">
        <f t="shared" si="124"/>
        <v>66338.068848598588</v>
      </c>
      <c r="L1972" s="95">
        <f>+VLOOKUP(E1972,MARGEN!A:B,2,FALSE)</f>
        <v>0.1</v>
      </c>
      <c r="M1972" s="112">
        <f t="shared" si="121"/>
        <v>6633.8068848598596</v>
      </c>
      <c r="N1972" s="113">
        <f t="shared" si="122"/>
        <v>265.35227539439433</v>
      </c>
      <c r="O1972" s="113">
        <f t="shared" si="123"/>
        <v>59438.909688344334</v>
      </c>
    </row>
    <row r="1973" spans="1:15" x14ac:dyDescent="0.25">
      <c r="A1973" s="13">
        <v>44443</v>
      </c>
      <c r="B1973" s="97">
        <v>2519</v>
      </c>
      <c r="C1973" t="s">
        <v>127</v>
      </c>
      <c r="D1973" s="94" t="s">
        <v>411</v>
      </c>
      <c r="E1973" t="s">
        <v>17</v>
      </c>
      <c r="F1973" t="s">
        <v>566</v>
      </c>
      <c r="G1973" s="50" t="s">
        <v>559</v>
      </c>
      <c r="H1973" s="50">
        <v>2</v>
      </c>
      <c r="I1973" s="100">
        <v>6.7391919697301583</v>
      </c>
      <c r="J1973" s="52">
        <v>3834.68</v>
      </c>
      <c r="K1973" s="67">
        <f t="shared" si="124"/>
        <v>65097.621904799322</v>
      </c>
      <c r="L1973" s="95">
        <f>+VLOOKUP(E1973,MARGEN!A:B,2,FALSE)</f>
        <v>0.1</v>
      </c>
      <c r="M1973" s="112">
        <f t="shared" si="121"/>
        <v>6509.7621904799325</v>
      </c>
      <c r="N1973" s="113">
        <f t="shared" si="122"/>
        <v>260.3904876191973</v>
      </c>
      <c r="O1973" s="113">
        <f t="shared" si="123"/>
        <v>58327.469226700196</v>
      </c>
    </row>
    <row r="1974" spans="1:15" x14ac:dyDescent="0.25">
      <c r="A1974" s="13">
        <v>44443</v>
      </c>
      <c r="B1974" s="97">
        <v>2375</v>
      </c>
      <c r="C1974" t="s">
        <v>281</v>
      </c>
      <c r="D1974" s="94" t="s">
        <v>495</v>
      </c>
      <c r="E1974" t="s">
        <v>17</v>
      </c>
      <c r="F1974" t="s">
        <v>558</v>
      </c>
      <c r="G1974" s="50" t="s">
        <v>559</v>
      </c>
      <c r="H1974" s="50">
        <v>2</v>
      </c>
      <c r="I1974" s="100">
        <v>6.7391919697301583</v>
      </c>
      <c r="J1974" s="52">
        <v>3834.68</v>
      </c>
      <c r="K1974" s="67">
        <f t="shared" si="124"/>
        <v>61376.2810734015</v>
      </c>
      <c r="L1974" s="95">
        <f>+VLOOKUP(E1974,MARGEN!A:B,2,FALSE)</f>
        <v>0.1</v>
      </c>
      <c r="M1974" s="112">
        <f t="shared" si="121"/>
        <v>6137.6281073401506</v>
      </c>
      <c r="N1974" s="113">
        <f t="shared" si="122"/>
        <v>245.505124293606</v>
      </c>
      <c r="O1974" s="113">
        <f t="shared" si="123"/>
        <v>54993.14784176775</v>
      </c>
    </row>
    <row r="1975" spans="1:15" x14ac:dyDescent="0.25">
      <c r="A1975" s="13">
        <v>44443</v>
      </c>
      <c r="B1975" s="97">
        <v>2327</v>
      </c>
      <c r="C1975" t="s">
        <v>163</v>
      </c>
      <c r="D1975" s="94" t="s">
        <v>398</v>
      </c>
      <c r="E1975" t="s">
        <v>17</v>
      </c>
      <c r="F1975" t="s">
        <v>566</v>
      </c>
      <c r="G1975" s="50" t="s">
        <v>559</v>
      </c>
      <c r="H1975" s="50">
        <v>2</v>
      </c>
      <c r="I1975" s="100">
        <v>6.7391919697301583</v>
      </c>
      <c r="J1975" s="52">
        <v>3834.68</v>
      </c>
      <c r="K1975" s="67">
        <f t="shared" si="124"/>
        <v>60135.834129602234</v>
      </c>
      <c r="L1975" s="95">
        <f>+VLOOKUP(E1975,MARGEN!A:B,2,FALSE)</f>
        <v>0.1</v>
      </c>
      <c r="M1975" s="112">
        <f t="shared" si="121"/>
        <v>6013.5834129602235</v>
      </c>
      <c r="N1975" s="113">
        <f t="shared" si="122"/>
        <v>240.54333651840892</v>
      </c>
      <c r="O1975" s="113">
        <f t="shared" si="123"/>
        <v>53881.707380123604</v>
      </c>
    </row>
    <row r="1976" spans="1:15" x14ac:dyDescent="0.25">
      <c r="A1976" s="13">
        <v>44443</v>
      </c>
      <c r="B1976" s="97">
        <v>2303</v>
      </c>
      <c r="C1976" t="s">
        <v>128</v>
      </c>
      <c r="D1976" s="94" t="s">
        <v>416</v>
      </c>
      <c r="E1976" t="s">
        <v>17</v>
      </c>
      <c r="F1976" t="s">
        <v>566</v>
      </c>
      <c r="G1976" s="50" t="s">
        <v>559</v>
      </c>
      <c r="H1976" s="50">
        <v>2</v>
      </c>
      <c r="I1976" s="100">
        <v>6.7391919697301583</v>
      </c>
      <c r="J1976" s="52">
        <v>3834.68</v>
      </c>
      <c r="K1976" s="67">
        <f t="shared" si="124"/>
        <v>59515.610657702593</v>
      </c>
      <c r="L1976" s="95">
        <f>+VLOOKUP(E1976,MARGEN!A:B,2,FALSE)</f>
        <v>0.1</v>
      </c>
      <c r="M1976" s="112">
        <f t="shared" si="121"/>
        <v>5951.56106577026</v>
      </c>
      <c r="N1976" s="113">
        <f t="shared" si="122"/>
        <v>238.06244263081038</v>
      </c>
      <c r="O1976" s="113">
        <f t="shared" si="123"/>
        <v>53325.987149301516</v>
      </c>
    </row>
    <row r="1977" spans="1:15" x14ac:dyDescent="0.25">
      <c r="A1977" s="13">
        <v>44443</v>
      </c>
      <c r="B1977" s="97">
        <v>2279</v>
      </c>
      <c r="C1977" t="s">
        <v>122</v>
      </c>
      <c r="D1977" s="94" t="s">
        <v>446</v>
      </c>
      <c r="E1977" t="s">
        <v>17</v>
      </c>
      <c r="F1977" t="s">
        <v>558</v>
      </c>
      <c r="G1977" s="50" t="s">
        <v>559</v>
      </c>
      <c r="H1977" s="50">
        <v>2</v>
      </c>
      <c r="I1977" s="100">
        <v>6.7391919697301583</v>
      </c>
      <c r="J1977" s="52">
        <v>3834.68</v>
      </c>
      <c r="K1977" s="67">
        <f t="shared" si="124"/>
        <v>58895.387185802952</v>
      </c>
      <c r="L1977" s="95">
        <f>+VLOOKUP(E1977,MARGEN!A:B,2,FALSE)</f>
        <v>0.1</v>
      </c>
      <c r="M1977" s="112">
        <f t="shared" si="121"/>
        <v>5889.5387185802956</v>
      </c>
      <c r="N1977" s="113">
        <f t="shared" si="122"/>
        <v>235.58154874321181</v>
      </c>
      <c r="O1977" s="113">
        <f t="shared" si="123"/>
        <v>52770.266918479443</v>
      </c>
    </row>
    <row r="1978" spans="1:15" x14ac:dyDescent="0.25">
      <c r="A1978" s="13">
        <v>44443</v>
      </c>
      <c r="B1978" s="97">
        <v>2231</v>
      </c>
      <c r="C1978" t="s">
        <v>126</v>
      </c>
      <c r="D1978" s="94" t="s">
        <v>438</v>
      </c>
      <c r="E1978" t="s">
        <v>17</v>
      </c>
      <c r="F1978" t="s">
        <v>566</v>
      </c>
      <c r="G1978" s="50" t="s">
        <v>559</v>
      </c>
      <c r="H1978" s="50">
        <v>2</v>
      </c>
      <c r="I1978" s="100">
        <v>6.7391919697301583</v>
      </c>
      <c r="J1978" s="52">
        <v>3834.68</v>
      </c>
      <c r="K1978" s="67">
        <f t="shared" si="124"/>
        <v>57654.940242003679</v>
      </c>
      <c r="L1978" s="95">
        <f>+VLOOKUP(E1978,MARGEN!A:B,2,FALSE)</f>
        <v>0.1</v>
      </c>
      <c r="M1978" s="112">
        <f t="shared" si="121"/>
        <v>5765.4940242003686</v>
      </c>
      <c r="N1978" s="113">
        <f t="shared" si="122"/>
        <v>230.6197609680147</v>
      </c>
      <c r="O1978" s="113">
        <f t="shared" si="123"/>
        <v>51658.826456835297</v>
      </c>
    </row>
    <row r="1979" spans="1:15" x14ac:dyDescent="0.25">
      <c r="A1979" s="13">
        <v>44443</v>
      </c>
      <c r="B1979" s="97">
        <v>2159</v>
      </c>
      <c r="C1979" t="s">
        <v>157</v>
      </c>
      <c r="D1979" s="94" t="s">
        <v>435</v>
      </c>
      <c r="E1979" t="s">
        <v>17</v>
      </c>
      <c r="F1979" t="s">
        <v>566</v>
      </c>
      <c r="G1979" s="50" t="s">
        <v>559</v>
      </c>
      <c r="H1979" s="50">
        <v>2</v>
      </c>
      <c r="I1979" s="100">
        <v>6.7391919697301583</v>
      </c>
      <c r="J1979" s="52">
        <v>3834.68</v>
      </c>
      <c r="K1979" s="67">
        <f t="shared" si="124"/>
        <v>55794.269826304779</v>
      </c>
      <c r="L1979" s="95">
        <f>+VLOOKUP(E1979,MARGEN!A:B,2,FALSE)</f>
        <v>0.1</v>
      </c>
      <c r="M1979" s="112">
        <f t="shared" si="121"/>
        <v>5579.4269826304781</v>
      </c>
      <c r="N1979" s="113">
        <f t="shared" si="122"/>
        <v>223.17707930521911</v>
      </c>
      <c r="O1979" s="113">
        <f t="shared" si="123"/>
        <v>49991.665764369078</v>
      </c>
    </row>
    <row r="1980" spans="1:15" x14ac:dyDescent="0.25">
      <c r="A1980" s="13">
        <v>44443</v>
      </c>
      <c r="B1980" s="97">
        <v>2135</v>
      </c>
      <c r="C1980" t="s">
        <v>312</v>
      </c>
      <c r="D1980" s="94" t="s">
        <v>542</v>
      </c>
      <c r="E1980" t="s">
        <v>17</v>
      </c>
      <c r="F1980" t="s">
        <v>566</v>
      </c>
      <c r="G1980" s="50" t="s">
        <v>559</v>
      </c>
      <c r="H1980" s="50">
        <v>2</v>
      </c>
      <c r="I1980" s="100">
        <v>6.7391919697301583</v>
      </c>
      <c r="J1980" s="52">
        <v>3834.68</v>
      </c>
      <c r="K1980" s="67">
        <f t="shared" si="124"/>
        <v>55174.046354405145</v>
      </c>
      <c r="L1980" s="95">
        <f>+VLOOKUP(E1980,MARGEN!A:B,2,FALSE)</f>
        <v>0.1</v>
      </c>
      <c r="M1980" s="112">
        <f t="shared" si="121"/>
        <v>5517.4046354405145</v>
      </c>
      <c r="N1980" s="113">
        <f t="shared" si="122"/>
        <v>220.69618541762057</v>
      </c>
      <c r="O1980" s="113">
        <f t="shared" si="123"/>
        <v>49435.945533547012</v>
      </c>
    </row>
    <row r="1981" spans="1:15" x14ac:dyDescent="0.25">
      <c r="A1981" s="13">
        <v>44443</v>
      </c>
      <c r="B1981" s="97">
        <v>2015</v>
      </c>
      <c r="C1981" t="s">
        <v>123</v>
      </c>
      <c r="D1981" s="94" t="s">
        <v>396</v>
      </c>
      <c r="E1981" t="s">
        <v>17</v>
      </c>
      <c r="F1981" t="s">
        <v>566</v>
      </c>
      <c r="G1981" s="50" t="s">
        <v>559</v>
      </c>
      <c r="H1981" s="50">
        <v>2</v>
      </c>
      <c r="I1981" s="100">
        <v>6.7391919697301583</v>
      </c>
      <c r="J1981" s="52">
        <v>3834.68</v>
      </c>
      <c r="K1981" s="67">
        <f t="shared" si="124"/>
        <v>52072.928994906957</v>
      </c>
      <c r="L1981" s="95">
        <f>+VLOOKUP(E1981,MARGEN!A:B,2,FALSE)</f>
        <v>0.1</v>
      </c>
      <c r="M1981" s="112">
        <f t="shared" si="121"/>
        <v>5207.2928994906961</v>
      </c>
      <c r="N1981" s="113">
        <f t="shared" si="122"/>
        <v>208.29171597962784</v>
      </c>
      <c r="O1981" s="113">
        <f t="shared" si="123"/>
        <v>46657.344379436632</v>
      </c>
    </row>
    <row r="1982" spans="1:15" x14ac:dyDescent="0.25">
      <c r="A1982" s="13">
        <v>44443</v>
      </c>
      <c r="B1982" s="51">
        <v>1919</v>
      </c>
      <c r="C1982" s="66" t="s">
        <v>295</v>
      </c>
      <c r="D1982" s="66" t="s">
        <v>532</v>
      </c>
      <c r="E1982" t="s">
        <v>17</v>
      </c>
      <c r="F1982" s="50" t="s">
        <v>566</v>
      </c>
      <c r="G1982" s="50" t="s">
        <v>559</v>
      </c>
      <c r="H1982" s="50">
        <v>2</v>
      </c>
      <c r="I1982" s="100">
        <v>6.7391919697301583</v>
      </c>
      <c r="J1982" s="52">
        <v>3834.68</v>
      </c>
      <c r="K1982" s="67">
        <f t="shared" si="124"/>
        <v>49592.035107308409</v>
      </c>
      <c r="L1982" s="95">
        <f>+VLOOKUP(E1982,MARGEN!A:B,2,FALSE)</f>
        <v>0.1</v>
      </c>
      <c r="M1982" s="112">
        <f t="shared" si="121"/>
        <v>4959.2035107308411</v>
      </c>
      <c r="N1982" s="113">
        <f t="shared" si="122"/>
        <v>198.36814042923365</v>
      </c>
      <c r="O1982" s="113">
        <f t="shared" si="123"/>
        <v>44434.463456148333</v>
      </c>
    </row>
    <row r="1983" spans="1:15" x14ac:dyDescent="0.25">
      <c r="A1983" s="13">
        <v>44443</v>
      </c>
      <c r="B1983" s="97">
        <v>1895</v>
      </c>
      <c r="C1983" t="s">
        <v>125</v>
      </c>
      <c r="D1983" s="94" t="s">
        <v>341</v>
      </c>
      <c r="E1983" t="s">
        <v>17</v>
      </c>
      <c r="F1983" t="s">
        <v>566</v>
      </c>
      <c r="G1983" s="50" t="s">
        <v>559</v>
      </c>
      <c r="H1983" s="50">
        <v>2</v>
      </c>
      <c r="I1983" s="100">
        <v>6.7391919697301583</v>
      </c>
      <c r="J1983" s="52">
        <v>3834.68</v>
      </c>
      <c r="K1983" s="67">
        <f t="shared" si="124"/>
        <v>48971.811635408776</v>
      </c>
      <c r="L1983" s="95">
        <f>+VLOOKUP(E1983,MARGEN!A:B,2,FALSE)</f>
        <v>0.1</v>
      </c>
      <c r="M1983" s="112">
        <f t="shared" si="121"/>
        <v>4897.1811635408776</v>
      </c>
      <c r="N1983" s="113">
        <f t="shared" si="122"/>
        <v>195.88724654163511</v>
      </c>
      <c r="O1983" s="113">
        <f t="shared" si="123"/>
        <v>43878.743225326267</v>
      </c>
    </row>
    <row r="1984" spans="1:15" x14ac:dyDescent="0.25">
      <c r="A1984" s="13">
        <v>44443</v>
      </c>
      <c r="B1984" s="97">
        <v>1799</v>
      </c>
      <c r="C1984" t="s">
        <v>172</v>
      </c>
      <c r="D1984" s="94" t="s">
        <v>371</v>
      </c>
      <c r="E1984" t="s">
        <v>17</v>
      </c>
      <c r="F1984" t="s">
        <v>566</v>
      </c>
      <c r="G1984" s="50" t="s">
        <v>559</v>
      </c>
      <c r="H1984" s="50">
        <v>2</v>
      </c>
      <c r="I1984" s="100">
        <v>6.7391919697301583</v>
      </c>
      <c r="J1984" s="52">
        <v>3834.68</v>
      </c>
      <c r="K1984" s="67">
        <f t="shared" si="124"/>
        <v>46490.917747810228</v>
      </c>
      <c r="L1984" s="95">
        <f>+VLOOKUP(E1984,MARGEN!A:B,2,FALSE)</f>
        <v>0.1</v>
      </c>
      <c r="M1984" s="112">
        <f t="shared" si="121"/>
        <v>4649.0917747810227</v>
      </c>
      <c r="N1984" s="113">
        <f t="shared" si="122"/>
        <v>185.96367099124092</v>
      </c>
      <c r="O1984" s="113">
        <f t="shared" si="123"/>
        <v>41655.862302037967</v>
      </c>
    </row>
    <row r="1985" spans="1:15" x14ac:dyDescent="0.25">
      <c r="A1985" s="13">
        <v>44443</v>
      </c>
      <c r="B1985" s="97">
        <v>1775</v>
      </c>
      <c r="C1985" t="s">
        <v>311</v>
      </c>
      <c r="D1985" s="94" t="s">
        <v>541</v>
      </c>
      <c r="E1985" t="s">
        <v>17</v>
      </c>
      <c r="F1985" t="s">
        <v>558</v>
      </c>
      <c r="G1985" s="50" t="s">
        <v>559</v>
      </c>
      <c r="H1985" s="50">
        <v>2</v>
      </c>
      <c r="I1985" s="100">
        <v>6.7391919697301583</v>
      </c>
      <c r="J1985" s="52">
        <v>3834.68</v>
      </c>
      <c r="K1985" s="67">
        <f t="shared" si="124"/>
        <v>45870.694275910595</v>
      </c>
      <c r="L1985" s="95">
        <f>+VLOOKUP(E1985,MARGEN!A:B,2,FALSE)</f>
        <v>0.1</v>
      </c>
      <c r="M1985" s="112">
        <f t="shared" si="121"/>
        <v>4587.06942759106</v>
      </c>
      <c r="N1985" s="113">
        <f t="shared" si="122"/>
        <v>183.48277710364238</v>
      </c>
      <c r="O1985" s="113">
        <f t="shared" si="123"/>
        <v>41100.142071215894</v>
      </c>
    </row>
    <row r="1986" spans="1:15" x14ac:dyDescent="0.25">
      <c r="A1986" s="13">
        <v>44443</v>
      </c>
      <c r="B1986" s="97">
        <v>1751</v>
      </c>
      <c r="C1986" t="s">
        <v>154</v>
      </c>
      <c r="D1986" s="94" t="s">
        <v>419</v>
      </c>
      <c r="E1986" t="s">
        <v>17</v>
      </c>
      <c r="F1986" t="s">
        <v>558</v>
      </c>
      <c r="G1986" s="50" t="s">
        <v>559</v>
      </c>
      <c r="H1986" s="50">
        <v>2</v>
      </c>
      <c r="I1986" s="100">
        <v>6.7391919697301583</v>
      </c>
      <c r="J1986" s="52">
        <v>3834.68</v>
      </c>
      <c r="K1986" s="67">
        <f t="shared" si="124"/>
        <v>45250.470804010954</v>
      </c>
      <c r="L1986" s="95">
        <f>+VLOOKUP(E1986,MARGEN!A:B,2,FALSE)</f>
        <v>0.1</v>
      </c>
      <c r="M1986" s="112">
        <f t="shared" si="121"/>
        <v>4525.0470804010956</v>
      </c>
      <c r="N1986" s="113">
        <f t="shared" si="122"/>
        <v>181.00188321604381</v>
      </c>
      <c r="O1986" s="113">
        <f t="shared" si="123"/>
        <v>40544.421840393814</v>
      </c>
    </row>
    <row r="1987" spans="1:15" x14ac:dyDescent="0.25">
      <c r="A1987" s="13">
        <v>44443</v>
      </c>
      <c r="B1987" s="51">
        <v>1727</v>
      </c>
      <c r="C1987" s="66" t="s">
        <v>170</v>
      </c>
      <c r="D1987" s="66" t="s">
        <v>437</v>
      </c>
      <c r="E1987" t="s">
        <v>17</v>
      </c>
      <c r="F1987" s="50" t="s">
        <v>566</v>
      </c>
      <c r="G1987" s="50" t="s">
        <v>559</v>
      </c>
      <c r="H1987" s="50">
        <v>2</v>
      </c>
      <c r="I1987" s="100">
        <v>6.7391919697301583</v>
      </c>
      <c r="J1987" s="52">
        <v>3834.68</v>
      </c>
      <c r="K1987" s="67">
        <f t="shared" si="124"/>
        <v>44630.247332111321</v>
      </c>
      <c r="L1987" s="95">
        <f>+VLOOKUP(E1987,MARGEN!A:B,2,FALSE)</f>
        <v>0.1</v>
      </c>
      <c r="M1987" s="112">
        <f t="shared" ref="M1987:M2050" si="125">+K1987*L1987</f>
        <v>4463.0247332111321</v>
      </c>
      <c r="N1987" s="113">
        <f t="shared" ref="N1987:N2050" si="126">+K1987*4/1000</f>
        <v>178.5209893284453</v>
      </c>
      <c r="O1987" s="113">
        <f t="shared" ref="O1987:O2050" si="127">+K1987-M1987-N1987</f>
        <v>39988.701609571741</v>
      </c>
    </row>
    <row r="1988" spans="1:15" x14ac:dyDescent="0.25">
      <c r="A1988" s="13">
        <v>44443</v>
      </c>
      <c r="B1988" s="97">
        <v>1727</v>
      </c>
      <c r="C1988" t="s">
        <v>174</v>
      </c>
      <c r="D1988" s="94" t="s">
        <v>395</v>
      </c>
      <c r="E1988" t="s">
        <v>17</v>
      </c>
      <c r="F1988" t="s">
        <v>566</v>
      </c>
      <c r="G1988" s="50" t="s">
        <v>559</v>
      </c>
      <c r="H1988" s="50">
        <v>2</v>
      </c>
      <c r="I1988" s="100">
        <v>6.7391919697301583</v>
      </c>
      <c r="J1988" s="52">
        <v>3834.68</v>
      </c>
      <c r="K1988" s="67">
        <f t="shared" si="124"/>
        <v>44630.247332111321</v>
      </c>
      <c r="L1988" s="95">
        <f>+VLOOKUP(E1988,MARGEN!A:B,2,FALSE)</f>
        <v>0.1</v>
      </c>
      <c r="M1988" s="112">
        <f t="shared" si="125"/>
        <v>4463.0247332111321</v>
      </c>
      <c r="N1988" s="113">
        <f t="shared" si="126"/>
        <v>178.5209893284453</v>
      </c>
      <c r="O1988" s="113">
        <f t="shared" si="127"/>
        <v>39988.701609571741</v>
      </c>
    </row>
    <row r="1989" spans="1:15" x14ac:dyDescent="0.25">
      <c r="A1989" s="13">
        <v>44443</v>
      </c>
      <c r="B1989" s="97">
        <v>1703</v>
      </c>
      <c r="C1989" t="s">
        <v>296</v>
      </c>
      <c r="D1989" s="94" t="s">
        <v>498</v>
      </c>
      <c r="E1989" t="s">
        <v>17</v>
      </c>
      <c r="F1989" t="s">
        <v>566</v>
      </c>
      <c r="G1989" s="50" t="s">
        <v>559</v>
      </c>
      <c r="H1989" s="50">
        <v>2</v>
      </c>
      <c r="I1989" s="100">
        <v>6.7391919697301583</v>
      </c>
      <c r="J1989" s="52">
        <v>3834.68</v>
      </c>
      <c r="K1989" s="67">
        <f t="shared" si="124"/>
        <v>44010.023860211688</v>
      </c>
      <c r="L1989" s="95">
        <f>+VLOOKUP(E1989,MARGEN!A:B,2,FALSE)</f>
        <v>0.1</v>
      </c>
      <c r="M1989" s="112">
        <f t="shared" si="125"/>
        <v>4401.0023860211686</v>
      </c>
      <c r="N1989" s="113">
        <f t="shared" si="126"/>
        <v>176.04009544084676</v>
      </c>
      <c r="O1989" s="113">
        <f t="shared" si="127"/>
        <v>39432.981378749675</v>
      </c>
    </row>
    <row r="1990" spans="1:15" x14ac:dyDescent="0.25">
      <c r="A1990" s="13">
        <v>44443</v>
      </c>
      <c r="B1990" s="97">
        <v>1679</v>
      </c>
      <c r="C1990" t="s">
        <v>194</v>
      </c>
      <c r="D1990" s="94" t="s">
        <v>417</v>
      </c>
      <c r="E1990" t="s">
        <v>17</v>
      </c>
      <c r="F1990" t="s">
        <v>562</v>
      </c>
      <c r="G1990" s="50" t="s">
        <v>559</v>
      </c>
      <c r="H1990" s="50">
        <v>2</v>
      </c>
      <c r="I1990" s="100">
        <v>6.7391919697301583</v>
      </c>
      <c r="J1990" s="52">
        <v>3834.68</v>
      </c>
      <c r="K1990" s="67">
        <f t="shared" si="124"/>
        <v>43389.800388312047</v>
      </c>
      <c r="L1990" s="95">
        <f>+VLOOKUP(E1990,MARGEN!A:B,2,FALSE)</f>
        <v>0.1</v>
      </c>
      <c r="M1990" s="112">
        <f t="shared" si="125"/>
        <v>4338.9800388312051</v>
      </c>
      <c r="N1990" s="113">
        <f t="shared" si="126"/>
        <v>173.55920155324819</v>
      </c>
      <c r="O1990" s="113">
        <f t="shared" si="127"/>
        <v>38877.261147927595</v>
      </c>
    </row>
    <row r="1991" spans="1:15" x14ac:dyDescent="0.25">
      <c r="A1991" s="13">
        <v>44443</v>
      </c>
      <c r="B1991" s="97">
        <v>1679</v>
      </c>
      <c r="C1991" t="s">
        <v>121</v>
      </c>
      <c r="D1991" s="94" t="s">
        <v>381</v>
      </c>
      <c r="E1991" t="s">
        <v>17</v>
      </c>
      <c r="F1991" t="s">
        <v>562</v>
      </c>
      <c r="G1991" s="50" t="s">
        <v>559</v>
      </c>
      <c r="H1991" s="50">
        <v>2</v>
      </c>
      <c r="I1991" s="100">
        <v>6.7391919697301583</v>
      </c>
      <c r="J1991" s="52">
        <v>3834.68</v>
      </c>
      <c r="K1991" s="67">
        <f t="shared" si="124"/>
        <v>43389.800388312047</v>
      </c>
      <c r="L1991" s="95">
        <f>+VLOOKUP(E1991,MARGEN!A:B,2,FALSE)</f>
        <v>0.1</v>
      </c>
      <c r="M1991" s="112">
        <f t="shared" si="125"/>
        <v>4338.9800388312051</v>
      </c>
      <c r="N1991" s="113">
        <f t="shared" si="126"/>
        <v>173.55920155324819</v>
      </c>
      <c r="O1991" s="113">
        <f t="shared" si="127"/>
        <v>38877.261147927595</v>
      </c>
    </row>
    <row r="1992" spans="1:15" x14ac:dyDescent="0.25">
      <c r="A1992" s="13">
        <v>44443</v>
      </c>
      <c r="B1992" s="97">
        <v>1655</v>
      </c>
      <c r="C1992" t="s">
        <v>209</v>
      </c>
      <c r="D1992" t="s">
        <v>441</v>
      </c>
      <c r="E1992" t="s">
        <v>17</v>
      </c>
      <c r="F1992" t="s">
        <v>562</v>
      </c>
      <c r="G1992" s="50" t="s">
        <v>559</v>
      </c>
      <c r="H1992" s="50">
        <v>2</v>
      </c>
      <c r="I1992" s="100">
        <v>6.7391919697301583</v>
      </c>
      <c r="J1992" s="52">
        <v>3834.68</v>
      </c>
      <c r="K1992" s="67">
        <f t="shared" si="124"/>
        <v>42769.576916412421</v>
      </c>
      <c r="L1992" s="95">
        <f>+VLOOKUP(E1992,MARGEN!A:B,2,FALSE)</f>
        <v>0.1</v>
      </c>
      <c r="M1992" s="112">
        <f t="shared" si="125"/>
        <v>4276.9576916412425</v>
      </c>
      <c r="N1992" s="113">
        <f t="shared" si="126"/>
        <v>171.07830766564967</v>
      </c>
      <c r="O1992" s="113">
        <f t="shared" si="127"/>
        <v>38321.540917105529</v>
      </c>
    </row>
    <row r="1993" spans="1:15" x14ac:dyDescent="0.25">
      <c r="A1993" s="13">
        <v>44443</v>
      </c>
      <c r="B1993" s="97">
        <v>1631</v>
      </c>
      <c r="C1993" t="s">
        <v>196</v>
      </c>
      <c r="D1993" s="94" t="s">
        <v>413</v>
      </c>
      <c r="E1993" t="s">
        <v>17</v>
      </c>
      <c r="F1993" t="s">
        <v>562</v>
      </c>
      <c r="G1993" s="50" t="s">
        <v>559</v>
      </c>
      <c r="H1993" s="50">
        <v>2</v>
      </c>
      <c r="I1993" s="100">
        <v>6.7391919697301583</v>
      </c>
      <c r="J1993" s="52">
        <v>3834.68</v>
      </c>
      <c r="K1993" s="67">
        <f t="shared" ref="K1993:K2056" si="128">+B1993*I1993*J1993/1000</f>
        <v>42149.353444512773</v>
      </c>
      <c r="L1993" s="95">
        <f>+VLOOKUP(E1993,MARGEN!A:B,2,FALSE)</f>
        <v>0.1</v>
      </c>
      <c r="M1993" s="112">
        <f t="shared" si="125"/>
        <v>4214.9353444512772</v>
      </c>
      <c r="N1993" s="113">
        <f t="shared" si="126"/>
        <v>168.59741377805111</v>
      </c>
      <c r="O1993" s="113">
        <f t="shared" si="127"/>
        <v>37765.820686283449</v>
      </c>
    </row>
    <row r="1994" spans="1:15" x14ac:dyDescent="0.25">
      <c r="A1994" s="13">
        <v>44443</v>
      </c>
      <c r="B1994" s="97">
        <v>1607</v>
      </c>
      <c r="C1994" t="s">
        <v>180</v>
      </c>
      <c r="D1994" s="94" t="s">
        <v>447</v>
      </c>
      <c r="E1994" t="s">
        <v>17</v>
      </c>
      <c r="F1994" t="s">
        <v>558</v>
      </c>
      <c r="G1994" s="50" t="s">
        <v>559</v>
      </c>
      <c r="H1994" s="50">
        <v>2</v>
      </c>
      <c r="I1994" s="100">
        <v>6.7391919697301583</v>
      </c>
      <c r="J1994" s="52">
        <v>3834.68</v>
      </c>
      <c r="K1994" s="67">
        <f t="shared" si="128"/>
        <v>41529.12997261314</v>
      </c>
      <c r="L1994" s="95">
        <f>+VLOOKUP(E1994,MARGEN!A:B,2,FALSE)</f>
        <v>0.1</v>
      </c>
      <c r="M1994" s="112">
        <f t="shared" si="125"/>
        <v>4152.9129972613146</v>
      </c>
      <c r="N1994" s="113">
        <f t="shared" si="126"/>
        <v>166.11651989045257</v>
      </c>
      <c r="O1994" s="113">
        <f t="shared" si="127"/>
        <v>37210.100455461376</v>
      </c>
    </row>
    <row r="1995" spans="1:15" x14ac:dyDescent="0.25">
      <c r="A1995" s="13">
        <v>44443</v>
      </c>
      <c r="B1995" s="97">
        <v>1559</v>
      </c>
      <c r="C1995" t="s">
        <v>176</v>
      </c>
      <c r="D1995" s="94" t="s">
        <v>430</v>
      </c>
      <c r="E1995" t="s">
        <v>17</v>
      </c>
      <c r="F1995" t="s">
        <v>562</v>
      </c>
      <c r="G1995" s="50" t="s">
        <v>559</v>
      </c>
      <c r="H1995" s="50">
        <v>2</v>
      </c>
      <c r="I1995" s="100">
        <v>6.7391919697301583</v>
      </c>
      <c r="J1995" s="52">
        <v>3834.68</v>
      </c>
      <c r="K1995" s="67">
        <f t="shared" si="128"/>
        <v>40288.683028813866</v>
      </c>
      <c r="L1995" s="95">
        <f>+VLOOKUP(E1995,MARGEN!A:B,2,FALSE)</f>
        <v>0.1</v>
      </c>
      <c r="M1995" s="112">
        <f t="shared" si="125"/>
        <v>4028.8683028813866</v>
      </c>
      <c r="N1995" s="113">
        <f t="shared" si="126"/>
        <v>161.15473211525546</v>
      </c>
      <c r="O1995" s="113">
        <f t="shared" si="127"/>
        <v>36098.659993817222</v>
      </c>
    </row>
    <row r="1996" spans="1:15" x14ac:dyDescent="0.25">
      <c r="A1996" s="13">
        <v>44443</v>
      </c>
      <c r="B1996" s="97">
        <v>1535</v>
      </c>
      <c r="C1996" t="s">
        <v>137</v>
      </c>
      <c r="D1996" s="94" t="s">
        <v>418</v>
      </c>
      <c r="E1996" t="s">
        <v>17</v>
      </c>
      <c r="F1996" t="s">
        <v>558</v>
      </c>
      <c r="G1996" s="50" t="s">
        <v>559</v>
      </c>
      <c r="H1996" s="50">
        <v>2</v>
      </c>
      <c r="I1996" s="100">
        <v>6.7391919697301583</v>
      </c>
      <c r="J1996" s="52">
        <v>3834.68</v>
      </c>
      <c r="K1996" s="67">
        <f t="shared" si="128"/>
        <v>39668.459556914233</v>
      </c>
      <c r="L1996" s="95">
        <f>+VLOOKUP(E1996,MARGEN!A:B,2,FALSE)</f>
        <v>0.1</v>
      </c>
      <c r="M1996" s="112">
        <f t="shared" si="125"/>
        <v>3966.8459556914236</v>
      </c>
      <c r="N1996" s="113">
        <f t="shared" si="126"/>
        <v>158.67383822765694</v>
      </c>
      <c r="O1996" s="113">
        <f t="shared" si="127"/>
        <v>35542.939762995149</v>
      </c>
    </row>
    <row r="1997" spans="1:15" x14ac:dyDescent="0.25">
      <c r="A1997" s="13">
        <v>44443</v>
      </c>
      <c r="B1997" s="97">
        <v>1487</v>
      </c>
      <c r="C1997" s="88" t="s">
        <v>119</v>
      </c>
      <c r="D1997" t="s">
        <v>377</v>
      </c>
      <c r="E1997" t="s">
        <v>17</v>
      </c>
      <c r="F1997" t="s">
        <v>562</v>
      </c>
      <c r="G1997" s="50" t="s">
        <v>559</v>
      </c>
      <c r="H1997" s="50">
        <v>2</v>
      </c>
      <c r="I1997" s="100">
        <v>6.7391919697301583</v>
      </c>
      <c r="J1997" s="52">
        <v>3834.68</v>
      </c>
      <c r="K1997" s="67">
        <f t="shared" si="128"/>
        <v>38428.012613114959</v>
      </c>
      <c r="L1997" s="95">
        <f>+VLOOKUP(E1997,MARGEN!A:B,2,FALSE)</f>
        <v>0.1</v>
      </c>
      <c r="M1997" s="112">
        <f t="shared" si="125"/>
        <v>3842.8012613114961</v>
      </c>
      <c r="N1997" s="113">
        <f t="shared" si="126"/>
        <v>153.71205045245983</v>
      </c>
      <c r="O1997" s="113">
        <f t="shared" si="127"/>
        <v>34431.499301351003</v>
      </c>
    </row>
    <row r="1998" spans="1:15" x14ac:dyDescent="0.25">
      <c r="A1998" s="13">
        <v>44443</v>
      </c>
      <c r="B1998" s="97">
        <v>1487</v>
      </c>
      <c r="C1998" t="s">
        <v>169</v>
      </c>
      <c r="D1998" t="s">
        <v>351</v>
      </c>
      <c r="E1998" t="s">
        <v>17</v>
      </c>
      <c r="F1998" t="s">
        <v>558</v>
      </c>
      <c r="G1998" s="50" t="s">
        <v>559</v>
      </c>
      <c r="H1998" s="50">
        <v>2</v>
      </c>
      <c r="I1998" s="100">
        <v>6.7391919697301583</v>
      </c>
      <c r="J1998" s="52">
        <v>3834.68</v>
      </c>
      <c r="K1998" s="67">
        <f t="shared" si="128"/>
        <v>38428.012613114959</v>
      </c>
      <c r="L1998" s="95">
        <f>+VLOOKUP(E1998,MARGEN!A:B,2,FALSE)</f>
        <v>0.1</v>
      </c>
      <c r="M1998" s="112">
        <f t="shared" si="125"/>
        <v>3842.8012613114961</v>
      </c>
      <c r="N1998" s="113">
        <f t="shared" si="126"/>
        <v>153.71205045245983</v>
      </c>
      <c r="O1998" s="113">
        <f t="shared" si="127"/>
        <v>34431.499301351003</v>
      </c>
    </row>
    <row r="1999" spans="1:15" x14ac:dyDescent="0.25">
      <c r="A1999" s="13">
        <v>44443</v>
      </c>
      <c r="B1999" s="97">
        <v>1463</v>
      </c>
      <c r="C1999" t="s">
        <v>297</v>
      </c>
      <c r="D1999" t="s">
        <v>526</v>
      </c>
      <c r="E1999" t="s">
        <v>17</v>
      </c>
      <c r="F1999" t="s">
        <v>558</v>
      </c>
      <c r="G1999" s="50" t="s">
        <v>559</v>
      </c>
      <c r="H1999" s="50">
        <v>2</v>
      </c>
      <c r="I1999" s="100">
        <v>6.7391919697301583</v>
      </c>
      <c r="J1999" s="52">
        <v>3834.68</v>
      </c>
      <c r="K1999" s="67">
        <f t="shared" si="128"/>
        <v>37807.789141215326</v>
      </c>
      <c r="L1999" s="95">
        <f>+VLOOKUP(E1999,MARGEN!A:B,2,FALSE)</f>
        <v>0.1</v>
      </c>
      <c r="M1999" s="112">
        <f t="shared" si="125"/>
        <v>3780.7789141215326</v>
      </c>
      <c r="N1999" s="113">
        <f t="shared" si="126"/>
        <v>151.23115656486129</v>
      </c>
      <c r="O1999" s="113">
        <f t="shared" si="127"/>
        <v>33875.77907052893</v>
      </c>
    </row>
    <row r="2000" spans="1:15" x14ac:dyDescent="0.25">
      <c r="A2000" s="13">
        <v>44443</v>
      </c>
      <c r="B2000" s="97">
        <v>1439</v>
      </c>
      <c r="C2000" t="s">
        <v>168</v>
      </c>
      <c r="D2000" s="94" t="s">
        <v>352</v>
      </c>
      <c r="E2000" t="s">
        <v>17</v>
      </c>
      <c r="F2000" t="s">
        <v>562</v>
      </c>
      <c r="G2000" s="50" t="s">
        <v>559</v>
      </c>
      <c r="H2000" s="50">
        <v>2</v>
      </c>
      <c r="I2000" s="100">
        <v>6.7391919697301583</v>
      </c>
      <c r="J2000" s="52">
        <v>3834.68</v>
      </c>
      <c r="K2000" s="67">
        <f t="shared" si="128"/>
        <v>37187.565669315685</v>
      </c>
      <c r="L2000" s="95">
        <f>+VLOOKUP(E2000,MARGEN!A:B,2,FALSE)</f>
        <v>0.1</v>
      </c>
      <c r="M2000" s="112">
        <f t="shared" si="125"/>
        <v>3718.7565669315686</v>
      </c>
      <c r="N2000" s="113">
        <f t="shared" si="126"/>
        <v>148.75026267726275</v>
      </c>
      <c r="O2000" s="113">
        <f t="shared" si="127"/>
        <v>33320.058839706857</v>
      </c>
    </row>
    <row r="2001" spans="1:15" x14ac:dyDescent="0.25">
      <c r="A2001" s="13">
        <v>44443</v>
      </c>
      <c r="B2001" s="97">
        <v>1439</v>
      </c>
      <c r="C2001" t="s">
        <v>210</v>
      </c>
      <c r="D2001" s="94" t="s">
        <v>402</v>
      </c>
      <c r="E2001" t="s">
        <v>17</v>
      </c>
      <c r="F2001" t="s">
        <v>558</v>
      </c>
      <c r="G2001" s="50" t="s">
        <v>559</v>
      </c>
      <c r="H2001" s="50">
        <v>2</v>
      </c>
      <c r="I2001" s="100">
        <v>6.7391919697301583</v>
      </c>
      <c r="J2001" s="52">
        <v>3834.68</v>
      </c>
      <c r="K2001" s="67">
        <f t="shared" si="128"/>
        <v>37187.565669315685</v>
      </c>
      <c r="L2001" s="95">
        <f>+VLOOKUP(E2001,MARGEN!A:B,2,FALSE)</f>
        <v>0.1</v>
      </c>
      <c r="M2001" s="112">
        <f t="shared" si="125"/>
        <v>3718.7565669315686</v>
      </c>
      <c r="N2001" s="113">
        <f t="shared" si="126"/>
        <v>148.75026267726275</v>
      </c>
      <c r="O2001" s="113">
        <f t="shared" si="127"/>
        <v>33320.058839706857</v>
      </c>
    </row>
    <row r="2002" spans="1:15" x14ac:dyDescent="0.25">
      <c r="A2002" s="13">
        <v>44443</v>
      </c>
      <c r="B2002" s="97">
        <v>1367</v>
      </c>
      <c r="C2002" t="s">
        <v>173</v>
      </c>
      <c r="D2002" s="94" t="s">
        <v>451</v>
      </c>
      <c r="E2002" t="s">
        <v>17</v>
      </c>
      <c r="F2002" t="s">
        <v>562</v>
      </c>
      <c r="G2002" s="50" t="s">
        <v>559</v>
      </c>
      <c r="H2002" s="50">
        <v>2</v>
      </c>
      <c r="I2002" s="100">
        <v>6.7391919697301583</v>
      </c>
      <c r="J2002" s="52">
        <v>3834.68</v>
      </c>
      <c r="K2002" s="67">
        <f t="shared" si="128"/>
        <v>35326.895253616778</v>
      </c>
      <c r="L2002" s="95">
        <f>+VLOOKUP(E2002,MARGEN!A:B,2,FALSE)</f>
        <v>0.1</v>
      </c>
      <c r="M2002" s="112">
        <f t="shared" si="125"/>
        <v>3532.6895253616781</v>
      </c>
      <c r="N2002" s="113">
        <f t="shared" si="126"/>
        <v>141.3075810144671</v>
      </c>
      <c r="O2002" s="113">
        <f t="shared" si="127"/>
        <v>31652.898147240634</v>
      </c>
    </row>
    <row r="2003" spans="1:15" x14ac:dyDescent="0.25">
      <c r="A2003" s="13">
        <v>44443</v>
      </c>
      <c r="B2003" s="97">
        <v>1343</v>
      </c>
      <c r="C2003" t="s">
        <v>298</v>
      </c>
      <c r="D2003" t="s">
        <v>536</v>
      </c>
      <c r="E2003" t="s">
        <v>17</v>
      </c>
      <c r="F2003" t="s">
        <v>562</v>
      </c>
      <c r="G2003" s="50" t="s">
        <v>559</v>
      </c>
      <c r="H2003" s="50">
        <v>2</v>
      </c>
      <c r="I2003" s="100">
        <v>6.7391919697301583</v>
      </c>
      <c r="J2003" s="52">
        <v>3834.68</v>
      </c>
      <c r="K2003" s="67">
        <f t="shared" si="128"/>
        <v>34706.671781717145</v>
      </c>
      <c r="L2003" s="95">
        <f>+VLOOKUP(E2003,MARGEN!A:B,2,FALSE)</f>
        <v>0.1</v>
      </c>
      <c r="M2003" s="112">
        <f t="shared" si="125"/>
        <v>3470.6671781717146</v>
      </c>
      <c r="N2003" s="113">
        <f t="shared" si="126"/>
        <v>138.82668712686859</v>
      </c>
      <c r="O2003" s="113">
        <f t="shared" si="127"/>
        <v>31097.177916418561</v>
      </c>
    </row>
    <row r="2004" spans="1:15" x14ac:dyDescent="0.25">
      <c r="A2004" s="13">
        <v>44443</v>
      </c>
      <c r="B2004" s="97">
        <v>1343</v>
      </c>
      <c r="C2004" t="s">
        <v>292</v>
      </c>
      <c r="D2004" s="94" t="s">
        <v>535</v>
      </c>
      <c r="E2004" t="s">
        <v>17</v>
      </c>
      <c r="F2004" t="s">
        <v>558</v>
      </c>
      <c r="G2004" s="50" t="s">
        <v>559</v>
      </c>
      <c r="H2004" s="50">
        <v>2</v>
      </c>
      <c r="I2004" s="100">
        <v>6.7391919697301583</v>
      </c>
      <c r="J2004" s="52">
        <v>3834.68</v>
      </c>
      <c r="K2004" s="67">
        <f t="shared" si="128"/>
        <v>34706.671781717145</v>
      </c>
      <c r="L2004" s="95">
        <f>+VLOOKUP(E2004,MARGEN!A:B,2,FALSE)</f>
        <v>0.1</v>
      </c>
      <c r="M2004" s="112">
        <f t="shared" si="125"/>
        <v>3470.6671781717146</v>
      </c>
      <c r="N2004" s="113">
        <f t="shared" si="126"/>
        <v>138.82668712686859</v>
      </c>
      <c r="O2004" s="113">
        <f t="shared" si="127"/>
        <v>31097.177916418561</v>
      </c>
    </row>
    <row r="2005" spans="1:15" x14ac:dyDescent="0.25">
      <c r="A2005" s="13">
        <v>44443</v>
      </c>
      <c r="B2005" s="51">
        <v>1295</v>
      </c>
      <c r="C2005" s="66" t="s">
        <v>183</v>
      </c>
      <c r="D2005" s="66" t="s">
        <v>390</v>
      </c>
      <c r="E2005" t="s">
        <v>17</v>
      </c>
      <c r="F2005" s="50" t="s">
        <v>566</v>
      </c>
      <c r="G2005" s="50" t="s">
        <v>559</v>
      </c>
      <c r="H2005" s="50">
        <v>2</v>
      </c>
      <c r="I2005" s="100">
        <v>6.7391919697301583</v>
      </c>
      <c r="J2005" s="52">
        <v>3834.68</v>
      </c>
      <c r="K2005" s="67">
        <f t="shared" si="128"/>
        <v>33466.224837917871</v>
      </c>
      <c r="L2005" s="95">
        <f>+VLOOKUP(E2005,MARGEN!A:B,2,FALSE)</f>
        <v>0.1</v>
      </c>
      <c r="M2005" s="112">
        <f t="shared" si="125"/>
        <v>3346.6224837917871</v>
      </c>
      <c r="N2005" s="113">
        <f t="shared" si="126"/>
        <v>133.86489935167148</v>
      </c>
      <c r="O2005" s="113">
        <f t="shared" si="127"/>
        <v>29985.737454774411</v>
      </c>
    </row>
    <row r="2006" spans="1:15" x14ac:dyDescent="0.25">
      <c r="A2006" s="13">
        <v>44443</v>
      </c>
      <c r="B2006" s="97">
        <v>1295</v>
      </c>
      <c r="C2006" t="s">
        <v>302</v>
      </c>
      <c r="D2006" s="94" t="s">
        <v>538</v>
      </c>
      <c r="E2006" t="s">
        <v>17</v>
      </c>
      <c r="F2006" t="s">
        <v>566</v>
      </c>
      <c r="G2006" s="50" t="s">
        <v>559</v>
      </c>
      <c r="H2006" s="50">
        <v>2</v>
      </c>
      <c r="I2006" s="100">
        <v>6.7391919697301583</v>
      </c>
      <c r="J2006" s="52">
        <v>3834.68</v>
      </c>
      <c r="K2006" s="67">
        <f t="shared" si="128"/>
        <v>33466.224837917871</v>
      </c>
      <c r="L2006" s="95">
        <f>+VLOOKUP(E2006,MARGEN!A:B,2,FALSE)</f>
        <v>0.1</v>
      </c>
      <c r="M2006" s="112">
        <f t="shared" si="125"/>
        <v>3346.6224837917871</v>
      </c>
      <c r="N2006" s="113">
        <f t="shared" si="126"/>
        <v>133.86489935167148</v>
      </c>
      <c r="O2006" s="113">
        <f t="shared" si="127"/>
        <v>29985.737454774411</v>
      </c>
    </row>
    <row r="2007" spans="1:15" x14ac:dyDescent="0.25">
      <c r="A2007" s="13">
        <v>44443</v>
      </c>
      <c r="B2007" s="97">
        <v>1295</v>
      </c>
      <c r="C2007" t="s">
        <v>151</v>
      </c>
      <c r="D2007" s="94" t="s">
        <v>394</v>
      </c>
      <c r="E2007" t="s">
        <v>17</v>
      </c>
      <c r="F2007" t="s">
        <v>558</v>
      </c>
      <c r="G2007" s="50" t="s">
        <v>559</v>
      </c>
      <c r="H2007" s="50">
        <v>2</v>
      </c>
      <c r="I2007" s="100">
        <v>6.7391919697301583</v>
      </c>
      <c r="J2007" s="52">
        <v>3834.68</v>
      </c>
      <c r="K2007" s="67">
        <f t="shared" si="128"/>
        <v>33466.224837917871</v>
      </c>
      <c r="L2007" s="95">
        <f>+VLOOKUP(E2007,MARGEN!A:B,2,FALSE)</f>
        <v>0.1</v>
      </c>
      <c r="M2007" s="112">
        <f t="shared" si="125"/>
        <v>3346.6224837917871</v>
      </c>
      <c r="N2007" s="113">
        <f t="shared" si="126"/>
        <v>133.86489935167148</v>
      </c>
      <c r="O2007" s="113">
        <f t="shared" si="127"/>
        <v>29985.737454774411</v>
      </c>
    </row>
    <row r="2008" spans="1:15" x14ac:dyDescent="0.25">
      <c r="A2008" s="13">
        <v>44443</v>
      </c>
      <c r="B2008" s="97">
        <v>1223</v>
      </c>
      <c r="C2008" t="s">
        <v>199</v>
      </c>
      <c r="D2008" s="94" t="s">
        <v>414</v>
      </c>
      <c r="E2008" t="s">
        <v>17</v>
      </c>
      <c r="F2008" t="s">
        <v>558</v>
      </c>
      <c r="G2008" s="50" t="s">
        <v>559</v>
      </c>
      <c r="H2008" s="50">
        <v>2</v>
      </c>
      <c r="I2008" s="100">
        <v>6.7391919697301583</v>
      </c>
      <c r="J2008" s="52">
        <v>3834.68</v>
      </c>
      <c r="K2008" s="67">
        <f t="shared" si="128"/>
        <v>31605.55442221896</v>
      </c>
      <c r="L2008" s="95">
        <f>+VLOOKUP(E2008,MARGEN!A:B,2,FALSE)</f>
        <v>0.1</v>
      </c>
      <c r="M2008" s="112">
        <f t="shared" si="125"/>
        <v>3160.5554422218961</v>
      </c>
      <c r="N2008" s="113">
        <f t="shared" si="126"/>
        <v>126.42221768887585</v>
      </c>
      <c r="O2008" s="113">
        <f t="shared" si="127"/>
        <v>28318.576762308188</v>
      </c>
    </row>
    <row r="2009" spans="1:15" x14ac:dyDescent="0.25">
      <c r="A2009" s="13">
        <v>44443</v>
      </c>
      <c r="B2009" s="97">
        <v>1151</v>
      </c>
      <c r="C2009" t="s">
        <v>184</v>
      </c>
      <c r="D2009" t="s">
        <v>443</v>
      </c>
      <c r="E2009" t="s">
        <v>17</v>
      </c>
      <c r="F2009" t="s">
        <v>566</v>
      </c>
      <c r="G2009" s="50" t="s">
        <v>559</v>
      </c>
      <c r="H2009" s="50">
        <v>2</v>
      </c>
      <c r="I2009" s="100">
        <v>6.7391919697301583</v>
      </c>
      <c r="J2009" s="52">
        <v>3834.68</v>
      </c>
      <c r="K2009" s="67">
        <f t="shared" si="128"/>
        <v>29744.884006520053</v>
      </c>
      <c r="L2009" s="95">
        <f>+VLOOKUP(E2009,MARGEN!A:B,2,FALSE)</f>
        <v>0.1</v>
      </c>
      <c r="M2009" s="112">
        <f t="shared" si="125"/>
        <v>2974.4884006520056</v>
      </c>
      <c r="N2009" s="113">
        <f t="shared" si="126"/>
        <v>118.97953602608021</v>
      </c>
      <c r="O2009" s="113">
        <f t="shared" si="127"/>
        <v>26651.416069841969</v>
      </c>
    </row>
    <row r="2010" spans="1:15" x14ac:dyDescent="0.25">
      <c r="A2010" s="13">
        <v>44443</v>
      </c>
      <c r="B2010" s="97">
        <v>767</v>
      </c>
      <c r="C2010" s="88" t="s">
        <v>181</v>
      </c>
      <c r="D2010" t="s">
        <v>415</v>
      </c>
      <c r="E2010" t="s">
        <v>17</v>
      </c>
      <c r="F2010" t="s">
        <v>558</v>
      </c>
      <c r="G2010" s="50" t="s">
        <v>559</v>
      </c>
      <c r="H2010" s="50">
        <v>2</v>
      </c>
      <c r="I2010" s="100">
        <v>6.7391919697301583</v>
      </c>
      <c r="J2010" s="52">
        <v>3834.68</v>
      </c>
      <c r="K2010" s="67">
        <f t="shared" si="128"/>
        <v>19821.308456125873</v>
      </c>
      <c r="L2010" s="95">
        <f>+VLOOKUP(E2010,MARGEN!A:B,2,FALSE)</f>
        <v>0.1</v>
      </c>
      <c r="M2010" s="112">
        <f t="shared" si="125"/>
        <v>1982.1308456125873</v>
      </c>
      <c r="N2010" s="113">
        <f t="shared" si="126"/>
        <v>79.285233824503493</v>
      </c>
      <c r="O2010" s="113">
        <f t="shared" si="127"/>
        <v>17759.892376688782</v>
      </c>
    </row>
    <row r="2011" spans="1:15" x14ac:dyDescent="0.25">
      <c r="A2011" s="13">
        <v>44444</v>
      </c>
      <c r="B2011" s="97">
        <v>6119</v>
      </c>
      <c r="C2011" t="s">
        <v>150</v>
      </c>
      <c r="D2011" s="94" t="s">
        <v>357</v>
      </c>
      <c r="E2011" t="s">
        <v>17</v>
      </c>
      <c r="F2011" t="s">
        <v>558</v>
      </c>
      <c r="G2011" s="50" t="s">
        <v>559</v>
      </c>
      <c r="H2011" s="50">
        <v>2</v>
      </c>
      <c r="I2011" s="100">
        <v>6.7391919697301583</v>
      </c>
      <c r="J2011" s="52">
        <v>3834.68</v>
      </c>
      <c r="K2011" s="67">
        <f t="shared" si="128"/>
        <v>158131.14268974474</v>
      </c>
      <c r="L2011" s="95">
        <f>+VLOOKUP(E2011,MARGEN!A:B,2,FALSE)</f>
        <v>0.1</v>
      </c>
      <c r="M2011" s="112">
        <f t="shared" si="125"/>
        <v>15813.114268974474</v>
      </c>
      <c r="N2011" s="113">
        <f t="shared" si="126"/>
        <v>632.52457075897894</v>
      </c>
      <c r="O2011" s="113">
        <f t="shared" si="127"/>
        <v>141685.50385001127</v>
      </c>
    </row>
    <row r="2012" spans="1:15" x14ac:dyDescent="0.25">
      <c r="A2012" s="13">
        <v>44444</v>
      </c>
      <c r="B2012" s="97">
        <v>4919</v>
      </c>
      <c r="C2012" t="s">
        <v>278</v>
      </c>
      <c r="D2012" s="94" t="s">
        <v>453</v>
      </c>
      <c r="E2012" t="s">
        <v>17</v>
      </c>
      <c r="F2012" t="s">
        <v>566</v>
      </c>
      <c r="G2012" s="50" t="s">
        <v>559</v>
      </c>
      <c r="H2012" s="50">
        <v>2</v>
      </c>
      <c r="I2012" s="100">
        <v>6.7391919697301583</v>
      </c>
      <c r="J2012" s="52">
        <v>3834.68</v>
      </c>
      <c r="K2012" s="67">
        <f t="shared" si="128"/>
        <v>127119.96909476294</v>
      </c>
      <c r="L2012" s="95">
        <f>+VLOOKUP(E2012,MARGEN!A:B,2,FALSE)</f>
        <v>0.1</v>
      </c>
      <c r="M2012" s="112">
        <f t="shared" si="125"/>
        <v>12711.996909476295</v>
      </c>
      <c r="N2012" s="113">
        <f t="shared" si="126"/>
        <v>508.47987637905175</v>
      </c>
      <c r="O2012" s="113">
        <f t="shared" si="127"/>
        <v>113899.4923089076</v>
      </c>
    </row>
    <row r="2013" spans="1:15" x14ac:dyDescent="0.25">
      <c r="A2013" s="13">
        <v>44444</v>
      </c>
      <c r="B2013" s="97">
        <v>4607</v>
      </c>
      <c r="C2013" t="s">
        <v>279</v>
      </c>
      <c r="D2013" s="94" t="s">
        <v>493</v>
      </c>
      <c r="E2013" t="s">
        <v>17</v>
      </c>
      <c r="F2013" t="s">
        <v>566</v>
      </c>
      <c r="G2013" s="50" t="s">
        <v>559</v>
      </c>
      <c r="H2013" s="50">
        <v>2</v>
      </c>
      <c r="I2013" s="100">
        <v>6.7391919697301583</v>
      </c>
      <c r="J2013" s="52">
        <v>3834.68</v>
      </c>
      <c r="K2013" s="67">
        <f t="shared" si="128"/>
        <v>119057.06396006768</v>
      </c>
      <c r="L2013" s="95">
        <f>+VLOOKUP(E2013,MARGEN!A:B,2,FALSE)</f>
        <v>0.1</v>
      </c>
      <c r="M2013" s="112">
        <f t="shared" si="125"/>
        <v>11905.706396006768</v>
      </c>
      <c r="N2013" s="113">
        <f t="shared" si="126"/>
        <v>476.22825584027072</v>
      </c>
      <c r="O2013" s="113">
        <f t="shared" si="127"/>
        <v>106675.12930822065</v>
      </c>
    </row>
    <row r="2014" spans="1:15" x14ac:dyDescent="0.25">
      <c r="A2014" s="13">
        <v>44444</v>
      </c>
      <c r="B2014" s="97">
        <v>4271</v>
      </c>
      <c r="C2014" t="s">
        <v>193</v>
      </c>
      <c r="D2014" s="94" t="s">
        <v>380</v>
      </c>
      <c r="E2014" t="s">
        <v>17</v>
      </c>
      <c r="F2014" t="s">
        <v>566</v>
      </c>
      <c r="G2014" s="50" t="s">
        <v>559</v>
      </c>
      <c r="H2014" s="50">
        <v>2</v>
      </c>
      <c r="I2014" s="100">
        <v>6.7391919697301583</v>
      </c>
      <c r="J2014" s="52">
        <v>3834.68</v>
      </c>
      <c r="K2014" s="67">
        <f t="shared" si="128"/>
        <v>110373.93535347277</v>
      </c>
      <c r="L2014" s="95">
        <f>+VLOOKUP(E2014,MARGEN!A:B,2,FALSE)</f>
        <v>0.1</v>
      </c>
      <c r="M2014" s="112">
        <f t="shared" si="125"/>
        <v>11037.393535347277</v>
      </c>
      <c r="N2014" s="113">
        <f t="shared" si="126"/>
        <v>441.4957414138911</v>
      </c>
      <c r="O2014" s="113">
        <f t="shared" si="127"/>
        <v>98895.046076711602</v>
      </c>
    </row>
    <row r="2015" spans="1:15" x14ac:dyDescent="0.25">
      <c r="A2015" s="13">
        <v>44444</v>
      </c>
      <c r="B2015" s="97">
        <v>3335</v>
      </c>
      <c r="C2015" t="s">
        <v>149</v>
      </c>
      <c r="D2015" s="94" t="s">
        <v>325</v>
      </c>
      <c r="E2015" t="s">
        <v>17</v>
      </c>
      <c r="F2015" t="s">
        <v>566</v>
      </c>
      <c r="G2015" s="50" t="s">
        <v>559</v>
      </c>
      <c r="H2015" s="50">
        <v>2</v>
      </c>
      <c r="I2015" s="100">
        <v>6.7391919697301583</v>
      </c>
      <c r="J2015" s="52">
        <v>3834.68</v>
      </c>
      <c r="K2015" s="67">
        <f t="shared" si="128"/>
        <v>86185.219949386941</v>
      </c>
      <c r="L2015" s="95">
        <f>+VLOOKUP(E2015,MARGEN!A:B,2,FALSE)</f>
        <v>0.1</v>
      </c>
      <c r="M2015" s="112">
        <f t="shared" si="125"/>
        <v>8618.5219949386938</v>
      </c>
      <c r="N2015" s="113">
        <f t="shared" si="126"/>
        <v>344.74087979754779</v>
      </c>
      <c r="O2015" s="113">
        <f t="shared" si="127"/>
        <v>77221.957074650694</v>
      </c>
    </row>
    <row r="2016" spans="1:15" x14ac:dyDescent="0.25">
      <c r="A2016" s="13">
        <v>44444</v>
      </c>
      <c r="B2016" s="97">
        <v>3311</v>
      </c>
      <c r="C2016" t="s">
        <v>309</v>
      </c>
      <c r="D2016" s="94" t="s">
        <v>544</v>
      </c>
      <c r="E2016" t="s">
        <v>17</v>
      </c>
      <c r="F2016" t="s">
        <v>558</v>
      </c>
      <c r="G2016" s="50" t="s">
        <v>559</v>
      </c>
      <c r="H2016" s="50">
        <v>2</v>
      </c>
      <c r="I2016" s="100">
        <v>6.7391919697301583</v>
      </c>
      <c r="J2016" s="52">
        <v>3834.68</v>
      </c>
      <c r="K2016" s="67">
        <f t="shared" si="128"/>
        <v>85564.996477487308</v>
      </c>
      <c r="L2016" s="95">
        <f>+VLOOKUP(E2016,MARGEN!A:B,2,FALSE)</f>
        <v>0.1</v>
      </c>
      <c r="M2016" s="112">
        <f t="shared" si="125"/>
        <v>8556.4996477487311</v>
      </c>
      <c r="N2016" s="113">
        <f t="shared" si="126"/>
        <v>342.25998590994925</v>
      </c>
      <c r="O2016" s="113">
        <f t="shared" si="127"/>
        <v>76666.236843828636</v>
      </c>
    </row>
    <row r="2017" spans="1:15" x14ac:dyDescent="0.25">
      <c r="A2017" s="13">
        <v>44444</v>
      </c>
      <c r="B2017" s="97">
        <v>2903</v>
      </c>
      <c r="C2017" t="s">
        <v>134</v>
      </c>
      <c r="D2017" s="94" t="s">
        <v>362</v>
      </c>
      <c r="E2017" t="s">
        <v>17</v>
      </c>
      <c r="F2017" t="s">
        <v>558</v>
      </c>
      <c r="G2017" s="50" t="s">
        <v>559</v>
      </c>
      <c r="H2017" s="50">
        <v>2</v>
      </c>
      <c r="I2017" s="100">
        <v>6.7391919697301583</v>
      </c>
      <c r="J2017" s="52">
        <v>3834.68</v>
      </c>
      <c r="K2017" s="67">
        <f t="shared" si="128"/>
        <v>75021.197455193484</v>
      </c>
      <c r="L2017" s="95">
        <f>+VLOOKUP(E2017,MARGEN!A:B,2,FALSE)</f>
        <v>0.1</v>
      </c>
      <c r="M2017" s="112">
        <f t="shared" si="125"/>
        <v>7502.1197455193487</v>
      </c>
      <c r="N2017" s="113">
        <f t="shared" si="126"/>
        <v>300.08478982077395</v>
      </c>
      <c r="O2017" s="113">
        <f t="shared" si="127"/>
        <v>67218.992919853365</v>
      </c>
    </row>
    <row r="2018" spans="1:15" x14ac:dyDescent="0.25">
      <c r="A2018" s="13">
        <v>44444</v>
      </c>
      <c r="B2018" s="97">
        <v>2855</v>
      </c>
      <c r="C2018" t="s">
        <v>165</v>
      </c>
      <c r="D2018" s="94" t="s">
        <v>375</v>
      </c>
      <c r="E2018" t="s">
        <v>17</v>
      </c>
      <c r="F2018" t="s">
        <v>558</v>
      </c>
      <c r="G2018" s="50" t="s">
        <v>559</v>
      </c>
      <c r="H2018" s="50">
        <v>2</v>
      </c>
      <c r="I2018" s="100">
        <v>6.7391919697301583</v>
      </c>
      <c r="J2018" s="52">
        <v>3834.68</v>
      </c>
      <c r="K2018" s="67">
        <f t="shared" si="128"/>
        <v>73780.750511394232</v>
      </c>
      <c r="L2018" s="95">
        <f>+VLOOKUP(E2018,MARGEN!A:B,2,FALSE)</f>
        <v>0.1</v>
      </c>
      <c r="M2018" s="112">
        <f t="shared" si="125"/>
        <v>7378.0750511394235</v>
      </c>
      <c r="N2018" s="113">
        <f t="shared" si="126"/>
        <v>295.12300204557692</v>
      </c>
      <c r="O2018" s="113">
        <f t="shared" si="127"/>
        <v>66107.552458209218</v>
      </c>
    </row>
    <row r="2019" spans="1:15" x14ac:dyDescent="0.25">
      <c r="A2019" s="13">
        <v>44444</v>
      </c>
      <c r="B2019" s="97">
        <v>2759</v>
      </c>
      <c r="C2019" t="s">
        <v>131</v>
      </c>
      <c r="D2019" s="94" t="s">
        <v>344</v>
      </c>
      <c r="E2019" t="s">
        <v>17</v>
      </c>
      <c r="F2019" t="s">
        <v>566</v>
      </c>
      <c r="G2019" s="50" t="s">
        <v>559</v>
      </c>
      <c r="H2019" s="50">
        <v>2</v>
      </c>
      <c r="I2019" s="100">
        <v>6.7391919697301583</v>
      </c>
      <c r="J2019" s="52">
        <v>3834.68</v>
      </c>
      <c r="K2019" s="67">
        <f t="shared" si="128"/>
        <v>71299.856623795669</v>
      </c>
      <c r="L2019" s="95">
        <f>+VLOOKUP(E2019,MARGEN!A:B,2,FALSE)</f>
        <v>0.1</v>
      </c>
      <c r="M2019" s="112">
        <f t="shared" si="125"/>
        <v>7129.9856623795677</v>
      </c>
      <c r="N2019" s="113">
        <f t="shared" si="126"/>
        <v>285.19942649518265</v>
      </c>
      <c r="O2019" s="113">
        <f t="shared" si="127"/>
        <v>63884.671534920926</v>
      </c>
    </row>
    <row r="2020" spans="1:15" x14ac:dyDescent="0.25">
      <c r="A2020" s="13">
        <v>44444</v>
      </c>
      <c r="B2020" s="97">
        <v>2567</v>
      </c>
      <c r="C2020" t="s">
        <v>310</v>
      </c>
      <c r="D2020" s="94" t="s">
        <v>540</v>
      </c>
      <c r="E2020" t="s">
        <v>17</v>
      </c>
      <c r="F2020" t="s">
        <v>566</v>
      </c>
      <c r="G2020" s="50" t="s">
        <v>559</v>
      </c>
      <c r="H2020" s="50">
        <v>2</v>
      </c>
      <c r="I2020" s="100">
        <v>6.7391919697301583</v>
      </c>
      <c r="J2020" s="52">
        <v>3834.68</v>
      </c>
      <c r="K2020" s="67">
        <f t="shared" si="128"/>
        <v>66338.068848598588</v>
      </c>
      <c r="L2020" s="95">
        <f>+VLOOKUP(E2020,MARGEN!A:B,2,FALSE)</f>
        <v>0.1</v>
      </c>
      <c r="M2020" s="112">
        <f t="shared" si="125"/>
        <v>6633.8068848598596</v>
      </c>
      <c r="N2020" s="113">
        <f t="shared" si="126"/>
        <v>265.35227539439433</v>
      </c>
      <c r="O2020" s="113">
        <f t="shared" si="127"/>
        <v>59438.909688344334</v>
      </c>
    </row>
    <row r="2021" spans="1:15" x14ac:dyDescent="0.25">
      <c r="A2021" s="13">
        <v>44444</v>
      </c>
      <c r="B2021" s="97">
        <v>2567</v>
      </c>
      <c r="C2021" t="s">
        <v>132</v>
      </c>
      <c r="D2021" s="94" t="s">
        <v>376</v>
      </c>
      <c r="E2021" t="s">
        <v>17</v>
      </c>
      <c r="F2021" t="s">
        <v>566</v>
      </c>
      <c r="G2021" s="50" t="s">
        <v>559</v>
      </c>
      <c r="H2021" s="50">
        <v>2</v>
      </c>
      <c r="I2021" s="100">
        <v>6.7391919697301583</v>
      </c>
      <c r="J2021" s="52">
        <v>3834.68</v>
      </c>
      <c r="K2021" s="67">
        <f t="shared" si="128"/>
        <v>66338.068848598588</v>
      </c>
      <c r="L2021" s="95">
        <f>+VLOOKUP(E2021,MARGEN!A:B,2,FALSE)</f>
        <v>0.1</v>
      </c>
      <c r="M2021" s="112">
        <f t="shared" si="125"/>
        <v>6633.8068848598596</v>
      </c>
      <c r="N2021" s="113">
        <f t="shared" si="126"/>
        <v>265.35227539439433</v>
      </c>
      <c r="O2021" s="113">
        <f t="shared" si="127"/>
        <v>59438.909688344334</v>
      </c>
    </row>
    <row r="2022" spans="1:15" x14ac:dyDescent="0.25">
      <c r="A2022" s="13">
        <v>44444</v>
      </c>
      <c r="B2022" s="97">
        <v>2471</v>
      </c>
      <c r="C2022" t="s">
        <v>127</v>
      </c>
      <c r="D2022" s="94" t="s">
        <v>411</v>
      </c>
      <c r="E2022" t="s">
        <v>17</v>
      </c>
      <c r="F2022" t="s">
        <v>566</v>
      </c>
      <c r="G2022" s="50" t="s">
        <v>559</v>
      </c>
      <c r="H2022" s="50">
        <v>2</v>
      </c>
      <c r="I2022" s="100">
        <v>6.7391919697301583</v>
      </c>
      <c r="J2022" s="52">
        <v>3834.68</v>
      </c>
      <c r="K2022" s="67">
        <f t="shared" si="128"/>
        <v>63857.174961000041</v>
      </c>
      <c r="L2022" s="95">
        <f>+VLOOKUP(E2022,MARGEN!A:B,2,FALSE)</f>
        <v>0.1</v>
      </c>
      <c r="M2022" s="112">
        <f t="shared" si="125"/>
        <v>6385.7174961000046</v>
      </c>
      <c r="N2022" s="113">
        <f t="shared" si="126"/>
        <v>255.42869984400016</v>
      </c>
      <c r="O2022" s="113">
        <f t="shared" si="127"/>
        <v>57216.028765056035</v>
      </c>
    </row>
    <row r="2023" spans="1:15" x14ac:dyDescent="0.25">
      <c r="A2023" s="13">
        <v>44444</v>
      </c>
      <c r="B2023" s="51">
        <v>2399</v>
      </c>
      <c r="C2023" s="66" t="s">
        <v>186</v>
      </c>
      <c r="D2023" s="66" t="s">
        <v>440</v>
      </c>
      <c r="E2023" t="s">
        <v>17</v>
      </c>
      <c r="F2023" s="50" t="s">
        <v>558</v>
      </c>
      <c r="G2023" s="50" t="s">
        <v>559</v>
      </c>
      <c r="H2023" s="50">
        <v>2</v>
      </c>
      <c r="I2023" s="100">
        <v>6.7391919697301583</v>
      </c>
      <c r="J2023" s="52">
        <v>3834.68</v>
      </c>
      <c r="K2023" s="67">
        <f t="shared" si="128"/>
        <v>61996.504545301133</v>
      </c>
      <c r="L2023" s="95">
        <f>+VLOOKUP(E2023,MARGEN!A:B,2,FALSE)</f>
        <v>0.1</v>
      </c>
      <c r="M2023" s="112">
        <f t="shared" si="125"/>
        <v>6199.6504545301141</v>
      </c>
      <c r="N2023" s="113">
        <f t="shared" si="126"/>
        <v>247.98601818120454</v>
      </c>
      <c r="O2023" s="113">
        <f t="shared" si="127"/>
        <v>55548.868072589816</v>
      </c>
    </row>
    <row r="2024" spans="1:15" x14ac:dyDescent="0.25">
      <c r="A2024" s="13">
        <v>44444</v>
      </c>
      <c r="B2024" s="97">
        <v>2303</v>
      </c>
      <c r="C2024" t="s">
        <v>128</v>
      </c>
      <c r="D2024" s="94" t="s">
        <v>416</v>
      </c>
      <c r="E2024" t="s">
        <v>17</v>
      </c>
      <c r="F2024" t="s">
        <v>566</v>
      </c>
      <c r="G2024" s="50" t="s">
        <v>559</v>
      </c>
      <c r="H2024" s="50">
        <v>2</v>
      </c>
      <c r="I2024" s="100">
        <v>6.7391919697301583</v>
      </c>
      <c r="J2024" s="52">
        <v>3834.68</v>
      </c>
      <c r="K2024" s="67">
        <f t="shared" si="128"/>
        <v>59515.610657702593</v>
      </c>
      <c r="L2024" s="95">
        <f>+VLOOKUP(E2024,MARGEN!A:B,2,FALSE)</f>
        <v>0.1</v>
      </c>
      <c r="M2024" s="112">
        <f t="shared" si="125"/>
        <v>5951.56106577026</v>
      </c>
      <c r="N2024" s="113">
        <f t="shared" si="126"/>
        <v>238.06244263081038</v>
      </c>
      <c r="O2024" s="113">
        <f t="shared" si="127"/>
        <v>53325.987149301516</v>
      </c>
    </row>
    <row r="2025" spans="1:15" x14ac:dyDescent="0.25">
      <c r="A2025" s="13">
        <v>44444</v>
      </c>
      <c r="B2025" s="97">
        <v>2231</v>
      </c>
      <c r="C2025" t="s">
        <v>126</v>
      </c>
      <c r="D2025" s="94" t="s">
        <v>438</v>
      </c>
      <c r="E2025" t="s">
        <v>17</v>
      </c>
      <c r="F2025" t="s">
        <v>566</v>
      </c>
      <c r="G2025" s="50" t="s">
        <v>559</v>
      </c>
      <c r="H2025" s="50">
        <v>2</v>
      </c>
      <c r="I2025" s="100">
        <v>6.7391919697301583</v>
      </c>
      <c r="J2025" s="52">
        <v>3834.68</v>
      </c>
      <c r="K2025" s="67">
        <f t="shared" si="128"/>
        <v>57654.940242003679</v>
      </c>
      <c r="L2025" s="95">
        <f>+VLOOKUP(E2025,MARGEN!A:B,2,FALSE)</f>
        <v>0.1</v>
      </c>
      <c r="M2025" s="112">
        <f t="shared" si="125"/>
        <v>5765.4940242003686</v>
      </c>
      <c r="N2025" s="113">
        <f t="shared" si="126"/>
        <v>230.6197609680147</v>
      </c>
      <c r="O2025" s="113">
        <f t="shared" si="127"/>
        <v>51658.826456835297</v>
      </c>
    </row>
    <row r="2026" spans="1:15" x14ac:dyDescent="0.25">
      <c r="A2026" s="13">
        <v>44444</v>
      </c>
      <c r="B2026" s="97">
        <v>2159</v>
      </c>
      <c r="C2026" t="s">
        <v>281</v>
      </c>
      <c r="D2026" s="94" t="s">
        <v>495</v>
      </c>
      <c r="E2026" t="s">
        <v>17</v>
      </c>
      <c r="F2026" t="s">
        <v>558</v>
      </c>
      <c r="G2026" s="50" t="s">
        <v>559</v>
      </c>
      <c r="H2026" s="50">
        <v>2</v>
      </c>
      <c r="I2026" s="100">
        <v>6.7391919697301583</v>
      </c>
      <c r="J2026" s="52">
        <v>3834.68</v>
      </c>
      <c r="K2026" s="67">
        <f t="shared" si="128"/>
        <v>55794.269826304779</v>
      </c>
      <c r="L2026" s="95">
        <f>+VLOOKUP(E2026,MARGEN!A:B,2,FALSE)</f>
        <v>0.1</v>
      </c>
      <c r="M2026" s="112">
        <f t="shared" si="125"/>
        <v>5579.4269826304781</v>
      </c>
      <c r="N2026" s="113">
        <f t="shared" si="126"/>
        <v>223.17707930521911</v>
      </c>
      <c r="O2026" s="113">
        <f t="shared" si="127"/>
        <v>49991.665764369078</v>
      </c>
    </row>
    <row r="2027" spans="1:15" x14ac:dyDescent="0.25">
      <c r="A2027" s="13">
        <v>44444</v>
      </c>
      <c r="B2027" s="97">
        <v>2135</v>
      </c>
      <c r="C2027" t="s">
        <v>312</v>
      </c>
      <c r="D2027" s="94" t="s">
        <v>542</v>
      </c>
      <c r="E2027" t="s">
        <v>17</v>
      </c>
      <c r="F2027" t="s">
        <v>566</v>
      </c>
      <c r="G2027" s="50" t="s">
        <v>559</v>
      </c>
      <c r="H2027" s="50">
        <v>2</v>
      </c>
      <c r="I2027" s="100">
        <v>6.7391919697301583</v>
      </c>
      <c r="J2027" s="52">
        <v>3834.68</v>
      </c>
      <c r="K2027" s="67">
        <f t="shared" si="128"/>
        <v>55174.046354405145</v>
      </c>
      <c r="L2027" s="95">
        <f>+VLOOKUP(E2027,MARGEN!A:B,2,FALSE)</f>
        <v>0.1</v>
      </c>
      <c r="M2027" s="112">
        <f t="shared" si="125"/>
        <v>5517.4046354405145</v>
      </c>
      <c r="N2027" s="113">
        <f t="shared" si="126"/>
        <v>220.69618541762057</v>
      </c>
      <c r="O2027" s="113">
        <f t="shared" si="127"/>
        <v>49435.945533547012</v>
      </c>
    </row>
    <row r="2028" spans="1:15" x14ac:dyDescent="0.25">
      <c r="A2028" s="13">
        <v>44444</v>
      </c>
      <c r="B2028" s="97">
        <v>2111</v>
      </c>
      <c r="C2028" t="s">
        <v>122</v>
      </c>
      <c r="D2028" s="94" t="s">
        <v>446</v>
      </c>
      <c r="E2028" t="s">
        <v>17</v>
      </c>
      <c r="F2028" t="s">
        <v>558</v>
      </c>
      <c r="G2028" s="50" t="s">
        <v>559</v>
      </c>
      <c r="H2028" s="50">
        <v>2</v>
      </c>
      <c r="I2028" s="100">
        <v>6.7391919697301583</v>
      </c>
      <c r="J2028" s="52">
        <v>3834.68</v>
      </c>
      <c r="K2028" s="67">
        <f t="shared" si="128"/>
        <v>54553.822882505498</v>
      </c>
      <c r="L2028" s="95">
        <f>+VLOOKUP(E2028,MARGEN!A:B,2,FALSE)</f>
        <v>0.1</v>
      </c>
      <c r="M2028" s="112">
        <f t="shared" si="125"/>
        <v>5455.3822882505501</v>
      </c>
      <c r="N2028" s="113">
        <f t="shared" si="126"/>
        <v>218.215291530022</v>
      </c>
      <c r="O2028" s="113">
        <f t="shared" si="127"/>
        <v>48880.225302724924</v>
      </c>
    </row>
    <row r="2029" spans="1:15" x14ac:dyDescent="0.25">
      <c r="A2029" s="13">
        <v>44444</v>
      </c>
      <c r="B2029" s="97">
        <v>2063</v>
      </c>
      <c r="C2029" t="s">
        <v>157</v>
      </c>
      <c r="D2029" s="94" t="s">
        <v>435</v>
      </c>
      <c r="E2029" t="s">
        <v>17</v>
      </c>
      <c r="F2029" t="s">
        <v>566</v>
      </c>
      <c r="G2029" s="50" t="s">
        <v>559</v>
      </c>
      <c r="H2029" s="50">
        <v>2</v>
      </c>
      <c r="I2029" s="100">
        <v>6.7391919697301583</v>
      </c>
      <c r="J2029" s="52">
        <v>3834.68</v>
      </c>
      <c r="K2029" s="67">
        <f t="shared" si="128"/>
        <v>53313.375938706224</v>
      </c>
      <c r="L2029" s="95">
        <f>+VLOOKUP(E2029,MARGEN!A:B,2,FALSE)</f>
        <v>0.1</v>
      </c>
      <c r="M2029" s="112">
        <f t="shared" si="125"/>
        <v>5331.3375938706231</v>
      </c>
      <c r="N2029" s="113">
        <f t="shared" si="126"/>
        <v>213.25350375482489</v>
      </c>
      <c r="O2029" s="113">
        <f t="shared" si="127"/>
        <v>47768.784841080778</v>
      </c>
    </row>
    <row r="2030" spans="1:15" x14ac:dyDescent="0.25">
      <c r="A2030" s="13">
        <v>44444</v>
      </c>
      <c r="B2030" s="97">
        <v>2015</v>
      </c>
      <c r="C2030" t="s">
        <v>123</v>
      </c>
      <c r="D2030" s="94" t="s">
        <v>396</v>
      </c>
      <c r="E2030" t="s">
        <v>17</v>
      </c>
      <c r="F2030" t="s">
        <v>566</v>
      </c>
      <c r="G2030" s="50" t="s">
        <v>559</v>
      </c>
      <c r="H2030" s="50">
        <v>2</v>
      </c>
      <c r="I2030" s="100">
        <v>6.7391919697301583</v>
      </c>
      <c r="J2030" s="52">
        <v>3834.68</v>
      </c>
      <c r="K2030" s="67">
        <f t="shared" si="128"/>
        <v>52072.928994906957</v>
      </c>
      <c r="L2030" s="95">
        <f>+VLOOKUP(E2030,MARGEN!A:B,2,FALSE)</f>
        <v>0.1</v>
      </c>
      <c r="M2030" s="112">
        <f t="shared" si="125"/>
        <v>5207.2928994906961</v>
      </c>
      <c r="N2030" s="113">
        <f t="shared" si="126"/>
        <v>208.29171597962784</v>
      </c>
      <c r="O2030" s="113">
        <f t="shared" si="127"/>
        <v>46657.344379436632</v>
      </c>
    </row>
    <row r="2031" spans="1:15" x14ac:dyDescent="0.25">
      <c r="A2031" s="13">
        <v>44444</v>
      </c>
      <c r="B2031" s="97">
        <v>1991</v>
      </c>
      <c r="C2031" t="s">
        <v>146</v>
      </c>
      <c r="D2031" s="94" t="s">
        <v>348</v>
      </c>
      <c r="E2031" t="s">
        <v>17</v>
      </c>
      <c r="F2031" t="s">
        <v>566</v>
      </c>
      <c r="G2031" s="50" t="s">
        <v>559</v>
      </c>
      <c r="H2031" s="50">
        <v>2</v>
      </c>
      <c r="I2031" s="100">
        <v>6.7391919697301583</v>
      </c>
      <c r="J2031" s="52">
        <v>3834.68</v>
      </c>
      <c r="K2031" s="67">
        <f t="shared" si="128"/>
        <v>51452.705523007324</v>
      </c>
      <c r="L2031" s="95">
        <f>+VLOOKUP(E2031,MARGEN!A:B,2,FALSE)</f>
        <v>0.1</v>
      </c>
      <c r="M2031" s="112">
        <f t="shared" si="125"/>
        <v>5145.2705523007326</v>
      </c>
      <c r="N2031" s="113">
        <f t="shared" si="126"/>
        <v>205.8108220920293</v>
      </c>
      <c r="O2031" s="113">
        <f t="shared" si="127"/>
        <v>46101.624148614566</v>
      </c>
    </row>
    <row r="2032" spans="1:15" x14ac:dyDescent="0.25">
      <c r="A2032" s="13">
        <v>44444</v>
      </c>
      <c r="B2032" s="97">
        <v>1823</v>
      </c>
      <c r="C2032" t="s">
        <v>295</v>
      </c>
      <c r="D2032" s="94" t="s">
        <v>532</v>
      </c>
      <c r="E2032" t="s">
        <v>17</v>
      </c>
      <c r="F2032" t="s">
        <v>566</v>
      </c>
      <c r="G2032" s="50" t="s">
        <v>559</v>
      </c>
      <c r="H2032" s="50">
        <v>2</v>
      </c>
      <c r="I2032" s="100">
        <v>6.7391919697301583</v>
      </c>
      <c r="J2032" s="52">
        <v>3834.68</v>
      </c>
      <c r="K2032" s="67">
        <f t="shared" si="128"/>
        <v>47111.141219709876</v>
      </c>
      <c r="L2032" s="95">
        <f>+VLOOKUP(E2032,MARGEN!A:B,2,FALSE)</f>
        <v>0.1</v>
      </c>
      <c r="M2032" s="112">
        <f t="shared" si="125"/>
        <v>4711.114121970988</v>
      </c>
      <c r="N2032" s="113">
        <f t="shared" si="126"/>
        <v>188.44456487883951</v>
      </c>
      <c r="O2032" s="113">
        <f t="shared" si="127"/>
        <v>42211.582532860048</v>
      </c>
    </row>
    <row r="2033" spans="1:15" x14ac:dyDescent="0.25">
      <c r="A2033" s="13">
        <v>44444</v>
      </c>
      <c r="B2033" s="97">
        <v>1799</v>
      </c>
      <c r="C2033" t="s">
        <v>125</v>
      </c>
      <c r="D2033" s="94" t="s">
        <v>341</v>
      </c>
      <c r="E2033" t="s">
        <v>17</v>
      </c>
      <c r="F2033" t="s">
        <v>566</v>
      </c>
      <c r="G2033" s="50" t="s">
        <v>559</v>
      </c>
      <c r="H2033" s="50">
        <v>2</v>
      </c>
      <c r="I2033" s="100">
        <v>6.7391919697301583</v>
      </c>
      <c r="J2033" s="52">
        <v>3834.68</v>
      </c>
      <c r="K2033" s="67">
        <f t="shared" si="128"/>
        <v>46490.917747810228</v>
      </c>
      <c r="L2033" s="95">
        <f>+VLOOKUP(E2033,MARGEN!A:B,2,FALSE)</f>
        <v>0.1</v>
      </c>
      <c r="M2033" s="112">
        <f t="shared" si="125"/>
        <v>4649.0917747810227</v>
      </c>
      <c r="N2033" s="113">
        <f t="shared" si="126"/>
        <v>185.96367099124092</v>
      </c>
      <c r="O2033" s="113">
        <f t="shared" si="127"/>
        <v>41655.862302037967</v>
      </c>
    </row>
    <row r="2034" spans="1:15" x14ac:dyDescent="0.25">
      <c r="A2034" s="13">
        <v>44444</v>
      </c>
      <c r="B2034" s="97">
        <v>1727</v>
      </c>
      <c r="C2034" t="s">
        <v>170</v>
      </c>
      <c r="D2034" s="94" t="s">
        <v>437</v>
      </c>
      <c r="E2034" t="s">
        <v>17</v>
      </c>
      <c r="F2034" t="s">
        <v>566</v>
      </c>
      <c r="G2034" s="50" t="s">
        <v>559</v>
      </c>
      <c r="H2034" s="50">
        <v>2</v>
      </c>
      <c r="I2034" s="100">
        <v>6.7391919697301583</v>
      </c>
      <c r="J2034" s="52">
        <v>3834.68</v>
      </c>
      <c r="K2034" s="67">
        <f t="shared" si="128"/>
        <v>44630.247332111321</v>
      </c>
      <c r="L2034" s="95">
        <f>+VLOOKUP(E2034,MARGEN!A:B,2,FALSE)</f>
        <v>0.1</v>
      </c>
      <c r="M2034" s="112">
        <f t="shared" si="125"/>
        <v>4463.0247332111321</v>
      </c>
      <c r="N2034" s="113">
        <f t="shared" si="126"/>
        <v>178.5209893284453</v>
      </c>
      <c r="O2034" s="113">
        <f t="shared" si="127"/>
        <v>39988.701609571741</v>
      </c>
    </row>
    <row r="2035" spans="1:15" x14ac:dyDescent="0.25">
      <c r="A2035" s="13">
        <v>44444</v>
      </c>
      <c r="B2035" s="97">
        <v>1703</v>
      </c>
      <c r="C2035" t="s">
        <v>296</v>
      </c>
      <c r="D2035" s="94" t="s">
        <v>498</v>
      </c>
      <c r="E2035" t="s">
        <v>17</v>
      </c>
      <c r="F2035" t="s">
        <v>566</v>
      </c>
      <c r="G2035" s="50" t="s">
        <v>559</v>
      </c>
      <c r="H2035" s="50">
        <v>2</v>
      </c>
      <c r="I2035" s="100">
        <v>6.7391919697301583</v>
      </c>
      <c r="J2035" s="52">
        <v>3834.68</v>
      </c>
      <c r="K2035" s="67">
        <f t="shared" si="128"/>
        <v>44010.023860211688</v>
      </c>
      <c r="L2035" s="95">
        <f>+VLOOKUP(E2035,MARGEN!A:B,2,FALSE)</f>
        <v>0.1</v>
      </c>
      <c r="M2035" s="112">
        <f t="shared" si="125"/>
        <v>4401.0023860211686</v>
      </c>
      <c r="N2035" s="113">
        <f t="shared" si="126"/>
        <v>176.04009544084676</v>
      </c>
      <c r="O2035" s="113">
        <f t="shared" si="127"/>
        <v>39432.981378749675</v>
      </c>
    </row>
    <row r="2036" spans="1:15" x14ac:dyDescent="0.25">
      <c r="A2036" s="13">
        <v>44444</v>
      </c>
      <c r="B2036" s="97">
        <v>1703</v>
      </c>
      <c r="C2036" t="s">
        <v>174</v>
      </c>
      <c r="D2036" s="94" t="s">
        <v>395</v>
      </c>
      <c r="E2036" t="s">
        <v>17</v>
      </c>
      <c r="F2036" t="s">
        <v>566</v>
      </c>
      <c r="G2036" s="50" t="s">
        <v>559</v>
      </c>
      <c r="H2036" s="50">
        <v>2</v>
      </c>
      <c r="I2036" s="100">
        <v>6.7391919697301583</v>
      </c>
      <c r="J2036" s="52">
        <v>3834.68</v>
      </c>
      <c r="K2036" s="67">
        <f t="shared" si="128"/>
        <v>44010.023860211688</v>
      </c>
      <c r="L2036" s="95">
        <f>+VLOOKUP(E2036,MARGEN!A:B,2,FALSE)</f>
        <v>0.1</v>
      </c>
      <c r="M2036" s="112">
        <f t="shared" si="125"/>
        <v>4401.0023860211686</v>
      </c>
      <c r="N2036" s="113">
        <f t="shared" si="126"/>
        <v>176.04009544084676</v>
      </c>
      <c r="O2036" s="113">
        <f t="shared" si="127"/>
        <v>39432.981378749675</v>
      </c>
    </row>
    <row r="2037" spans="1:15" x14ac:dyDescent="0.25">
      <c r="A2037" s="13">
        <v>44444</v>
      </c>
      <c r="B2037" s="97">
        <v>1703</v>
      </c>
      <c r="C2037" t="s">
        <v>311</v>
      </c>
      <c r="D2037" s="94" t="s">
        <v>541</v>
      </c>
      <c r="E2037" t="s">
        <v>17</v>
      </c>
      <c r="F2037" t="s">
        <v>558</v>
      </c>
      <c r="G2037" s="50" t="s">
        <v>559</v>
      </c>
      <c r="H2037" s="50">
        <v>2</v>
      </c>
      <c r="I2037" s="100">
        <v>6.7391919697301583</v>
      </c>
      <c r="J2037" s="52">
        <v>3834.68</v>
      </c>
      <c r="K2037" s="67">
        <f t="shared" si="128"/>
        <v>44010.023860211688</v>
      </c>
      <c r="L2037" s="95">
        <f>+VLOOKUP(E2037,MARGEN!A:B,2,FALSE)</f>
        <v>0.1</v>
      </c>
      <c r="M2037" s="112">
        <f t="shared" si="125"/>
        <v>4401.0023860211686</v>
      </c>
      <c r="N2037" s="113">
        <f t="shared" si="126"/>
        <v>176.04009544084676</v>
      </c>
      <c r="O2037" s="113">
        <f t="shared" si="127"/>
        <v>39432.981378749675</v>
      </c>
    </row>
    <row r="2038" spans="1:15" x14ac:dyDescent="0.25">
      <c r="A2038" s="13">
        <v>44444</v>
      </c>
      <c r="B2038" s="97">
        <v>1679</v>
      </c>
      <c r="C2038" t="s">
        <v>121</v>
      </c>
      <c r="D2038" s="94" t="s">
        <v>381</v>
      </c>
      <c r="E2038" t="s">
        <v>17</v>
      </c>
      <c r="F2038" t="s">
        <v>566</v>
      </c>
      <c r="G2038" s="50" t="s">
        <v>559</v>
      </c>
      <c r="H2038" s="50">
        <v>2</v>
      </c>
      <c r="I2038" s="100">
        <v>6.7391919697301583</v>
      </c>
      <c r="J2038" s="52">
        <v>3834.68</v>
      </c>
      <c r="K2038" s="67">
        <f t="shared" si="128"/>
        <v>43389.800388312047</v>
      </c>
      <c r="L2038" s="95">
        <f>+VLOOKUP(E2038,MARGEN!A:B,2,FALSE)</f>
        <v>0.1</v>
      </c>
      <c r="M2038" s="112">
        <f t="shared" si="125"/>
        <v>4338.9800388312051</v>
      </c>
      <c r="N2038" s="113">
        <f t="shared" si="126"/>
        <v>173.55920155324819</v>
      </c>
      <c r="O2038" s="113">
        <f t="shared" si="127"/>
        <v>38877.261147927595</v>
      </c>
    </row>
    <row r="2039" spans="1:15" x14ac:dyDescent="0.25">
      <c r="A2039" s="13">
        <v>44444</v>
      </c>
      <c r="B2039" s="97">
        <v>1655</v>
      </c>
      <c r="C2039" t="s">
        <v>154</v>
      </c>
      <c r="D2039" s="94" t="s">
        <v>419</v>
      </c>
      <c r="E2039" t="s">
        <v>17</v>
      </c>
      <c r="F2039" t="s">
        <v>558</v>
      </c>
      <c r="G2039" s="50" t="s">
        <v>559</v>
      </c>
      <c r="H2039" s="50">
        <v>2</v>
      </c>
      <c r="I2039" s="100">
        <v>6.7391919697301583</v>
      </c>
      <c r="J2039" s="52">
        <v>3834.68</v>
      </c>
      <c r="K2039" s="67">
        <f t="shared" si="128"/>
        <v>42769.576916412421</v>
      </c>
      <c r="L2039" s="95">
        <f>+VLOOKUP(E2039,MARGEN!A:B,2,FALSE)</f>
        <v>0.1</v>
      </c>
      <c r="M2039" s="112">
        <f t="shared" si="125"/>
        <v>4276.9576916412425</v>
      </c>
      <c r="N2039" s="113">
        <f t="shared" si="126"/>
        <v>171.07830766564967</v>
      </c>
      <c r="O2039" s="113">
        <f t="shared" si="127"/>
        <v>38321.540917105529</v>
      </c>
    </row>
    <row r="2040" spans="1:15" x14ac:dyDescent="0.25">
      <c r="A2040" s="13">
        <v>44444</v>
      </c>
      <c r="B2040" s="97">
        <v>1655</v>
      </c>
      <c r="C2040" t="s">
        <v>163</v>
      </c>
      <c r="D2040" s="94" t="s">
        <v>398</v>
      </c>
      <c r="E2040" t="s">
        <v>17</v>
      </c>
      <c r="F2040" t="s">
        <v>562</v>
      </c>
      <c r="G2040" s="50" t="s">
        <v>559</v>
      </c>
      <c r="H2040" s="50">
        <v>2</v>
      </c>
      <c r="I2040" s="100">
        <v>6.7391919697301583</v>
      </c>
      <c r="J2040" s="52">
        <v>3834.68</v>
      </c>
      <c r="K2040" s="67">
        <f t="shared" si="128"/>
        <v>42769.576916412421</v>
      </c>
      <c r="L2040" s="95">
        <f>+VLOOKUP(E2040,MARGEN!A:B,2,FALSE)</f>
        <v>0.1</v>
      </c>
      <c r="M2040" s="112">
        <f t="shared" si="125"/>
        <v>4276.9576916412425</v>
      </c>
      <c r="N2040" s="113">
        <f t="shared" si="126"/>
        <v>171.07830766564967</v>
      </c>
      <c r="O2040" s="113">
        <f t="shared" si="127"/>
        <v>38321.540917105529</v>
      </c>
    </row>
    <row r="2041" spans="1:15" x14ac:dyDescent="0.25">
      <c r="A2041" s="13">
        <v>44444</v>
      </c>
      <c r="B2041" s="97">
        <v>1655</v>
      </c>
      <c r="C2041" t="s">
        <v>194</v>
      </c>
      <c r="D2041" s="94" t="s">
        <v>417</v>
      </c>
      <c r="E2041" t="s">
        <v>17</v>
      </c>
      <c r="F2041" t="s">
        <v>562</v>
      </c>
      <c r="G2041" s="50" t="s">
        <v>559</v>
      </c>
      <c r="H2041" s="50">
        <v>2</v>
      </c>
      <c r="I2041" s="100">
        <v>6.7391919697301583</v>
      </c>
      <c r="J2041" s="52">
        <v>3834.68</v>
      </c>
      <c r="K2041" s="67">
        <f t="shared" si="128"/>
        <v>42769.576916412421</v>
      </c>
      <c r="L2041" s="95">
        <f>+VLOOKUP(E2041,MARGEN!A:B,2,FALSE)</f>
        <v>0.1</v>
      </c>
      <c r="M2041" s="112">
        <f t="shared" si="125"/>
        <v>4276.9576916412425</v>
      </c>
      <c r="N2041" s="113">
        <f t="shared" si="126"/>
        <v>171.07830766564967</v>
      </c>
      <c r="O2041" s="113">
        <f t="shared" si="127"/>
        <v>38321.540917105529</v>
      </c>
    </row>
    <row r="2042" spans="1:15" x14ac:dyDescent="0.25">
      <c r="A2042" s="13">
        <v>44444</v>
      </c>
      <c r="B2042" s="97">
        <v>1631</v>
      </c>
      <c r="C2042" t="s">
        <v>196</v>
      </c>
      <c r="D2042" s="94" t="s">
        <v>413</v>
      </c>
      <c r="E2042" t="s">
        <v>17</v>
      </c>
      <c r="F2042" t="s">
        <v>562</v>
      </c>
      <c r="G2042" s="50" t="s">
        <v>559</v>
      </c>
      <c r="H2042" s="50">
        <v>2</v>
      </c>
      <c r="I2042" s="100">
        <v>6.7391919697301583</v>
      </c>
      <c r="J2042" s="52">
        <v>3834.68</v>
      </c>
      <c r="K2042" s="67">
        <f t="shared" si="128"/>
        <v>42149.353444512773</v>
      </c>
      <c r="L2042" s="95">
        <f>+VLOOKUP(E2042,MARGEN!A:B,2,FALSE)</f>
        <v>0.1</v>
      </c>
      <c r="M2042" s="112">
        <f t="shared" si="125"/>
        <v>4214.9353444512772</v>
      </c>
      <c r="N2042" s="113">
        <f t="shared" si="126"/>
        <v>168.59741377805111</v>
      </c>
      <c r="O2042" s="113">
        <f t="shared" si="127"/>
        <v>37765.820686283449</v>
      </c>
    </row>
    <row r="2043" spans="1:15" x14ac:dyDescent="0.25">
      <c r="A2043" s="13">
        <v>44444</v>
      </c>
      <c r="B2043" s="97">
        <v>1559</v>
      </c>
      <c r="C2043" t="s">
        <v>172</v>
      </c>
      <c r="D2043" s="94" t="s">
        <v>371</v>
      </c>
      <c r="E2043" t="s">
        <v>17</v>
      </c>
      <c r="F2043" t="s">
        <v>566</v>
      </c>
      <c r="G2043" s="50" t="s">
        <v>559</v>
      </c>
      <c r="H2043" s="50">
        <v>2</v>
      </c>
      <c r="I2043" s="100">
        <v>6.7391919697301583</v>
      </c>
      <c r="J2043" s="52">
        <v>3834.68</v>
      </c>
      <c r="K2043" s="67">
        <f t="shared" si="128"/>
        <v>40288.683028813866</v>
      </c>
      <c r="L2043" s="95">
        <f>+VLOOKUP(E2043,MARGEN!A:B,2,FALSE)</f>
        <v>0.1</v>
      </c>
      <c r="M2043" s="112">
        <f t="shared" si="125"/>
        <v>4028.8683028813866</v>
      </c>
      <c r="N2043" s="113">
        <f t="shared" si="126"/>
        <v>161.15473211525546</v>
      </c>
      <c r="O2043" s="113">
        <f t="shared" si="127"/>
        <v>36098.659993817222</v>
      </c>
    </row>
    <row r="2044" spans="1:15" x14ac:dyDescent="0.25">
      <c r="A2044" s="13">
        <v>44444</v>
      </c>
      <c r="B2044" s="97">
        <v>1559</v>
      </c>
      <c r="C2044" t="s">
        <v>180</v>
      </c>
      <c r="D2044" s="94" t="s">
        <v>447</v>
      </c>
      <c r="E2044" t="s">
        <v>17</v>
      </c>
      <c r="F2044" t="s">
        <v>558</v>
      </c>
      <c r="G2044" s="50" t="s">
        <v>559</v>
      </c>
      <c r="H2044" s="50">
        <v>2</v>
      </c>
      <c r="I2044" s="100">
        <v>6.7391919697301583</v>
      </c>
      <c r="J2044" s="52">
        <v>3834.68</v>
      </c>
      <c r="K2044" s="67">
        <f t="shared" si="128"/>
        <v>40288.683028813866</v>
      </c>
      <c r="L2044" s="95">
        <f>+VLOOKUP(E2044,MARGEN!A:B,2,FALSE)</f>
        <v>0.1</v>
      </c>
      <c r="M2044" s="112">
        <f t="shared" si="125"/>
        <v>4028.8683028813866</v>
      </c>
      <c r="N2044" s="113">
        <f t="shared" si="126"/>
        <v>161.15473211525546</v>
      </c>
      <c r="O2044" s="113">
        <f t="shared" si="127"/>
        <v>36098.659993817222</v>
      </c>
    </row>
    <row r="2045" spans="1:15" x14ac:dyDescent="0.25">
      <c r="A2045" s="13">
        <v>44444</v>
      </c>
      <c r="B2045" s="97">
        <v>1559</v>
      </c>
      <c r="C2045" t="s">
        <v>176</v>
      </c>
      <c r="D2045" s="94" t="s">
        <v>430</v>
      </c>
      <c r="E2045" t="s">
        <v>17</v>
      </c>
      <c r="F2045" t="s">
        <v>562</v>
      </c>
      <c r="G2045" s="50" t="s">
        <v>559</v>
      </c>
      <c r="H2045" s="50">
        <v>2</v>
      </c>
      <c r="I2045" s="100">
        <v>6.7391919697301583</v>
      </c>
      <c r="J2045" s="52">
        <v>3834.68</v>
      </c>
      <c r="K2045" s="67">
        <f t="shared" si="128"/>
        <v>40288.683028813866</v>
      </c>
      <c r="L2045" s="95">
        <f>+VLOOKUP(E2045,MARGEN!A:B,2,FALSE)</f>
        <v>0.1</v>
      </c>
      <c r="M2045" s="112">
        <f t="shared" si="125"/>
        <v>4028.8683028813866</v>
      </c>
      <c r="N2045" s="113">
        <f t="shared" si="126"/>
        <v>161.15473211525546</v>
      </c>
      <c r="O2045" s="113">
        <f t="shared" si="127"/>
        <v>36098.659993817222</v>
      </c>
    </row>
    <row r="2046" spans="1:15" x14ac:dyDescent="0.25">
      <c r="A2046" s="13">
        <v>44444</v>
      </c>
      <c r="B2046" s="97">
        <v>1439</v>
      </c>
      <c r="C2046" t="s">
        <v>137</v>
      </c>
      <c r="D2046" s="94" t="s">
        <v>418</v>
      </c>
      <c r="E2046" t="s">
        <v>17</v>
      </c>
      <c r="F2046" t="s">
        <v>558</v>
      </c>
      <c r="G2046" s="50" t="s">
        <v>559</v>
      </c>
      <c r="H2046" s="50">
        <v>2</v>
      </c>
      <c r="I2046" s="100">
        <v>6.7391919697301583</v>
      </c>
      <c r="J2046" s="52">
        <v>3834.68</v>
      </c>
      <c r="K2046" s="67">
        <f t="shared" si="128"/>
        <v>37187.565669315685</v>
      </c>
      <c r="L2046" s="95">
        <f>+VLOOKUP(E2046,MARGEN!A:B,2,FALSE)</f>
        <v>0.1</v>
      </c>
      <c r="M2046" s="112">
        <f t="shared" si="125"/>
        <v>3718.7565669315686</v>
      </c>
      <c r="N2046" s="113">
        <f t="shared" si="126"/>
        <v>148.75026267726275</v>
      </c>
      <c r="O2046" s="113">
        <f t="shared" si="127"/>
        <v>33320.058839706857</v>
      </c>
    </row>
    <row r="2047" spans="1:15" x14ac:dyDescent="0.25">
      <c r="A2047" s="13">
        <v>44444</v>
      </c>
      <c r="B2047" s="51">
        <v>1439</v>
      </c>
      <c r="C2047" s="66" t="s">
        <v>169</v>
      </c>
      <c r="D2047" s="66" t="s">
        <v>351</v>
      </c>
      <c r="E2047" t="s">
        <v>17</v>
      </c>
      <c r="F2047" s="50" t="s">
        <v>558</v>
      </c>
      <c r="G2047" s="50" t="s">
        <v>559</v>
      </c>
      <c r="H2047" s="50">
        <v>2</v>
      </c>
      <c r="I2047" s="100">
        <v>6.7391919697301583</v>
      </c>
      <c r="J2047" s="52">
        <v>3834.68</v>
      </c>
      <c r="K2047" s="67">
        <f t="shared" si="128"/>
        <v>37187.565669315685</v>
      </c>
      <c r="L2047" s="95">
        <f>+VLOOKUP(E2047,MARGEN!A:B,2,FALSE)</f>
        <v>0.1</v>
      </c>
      <c r="M2047" s="112">
        <f t="shared" si="125"/>
        <v>3718.7565669315686</v>
      </c>
      <c r="N2047" s="113">
        <f t="shared" si="126"/>
        <v>148.75026267726275</v>
      </c>
      <c r="O2047" s="113">
        <f t="shared" si="127"/>
        <v>33320.058839706857</v>
      </c>
    </row>
    <row r="2048" spans="1:15" x14ac:dyDescent="0.25">
      <c r="A2048" s="13">
        <v>44444</v>
      </c>
      <c r="B2048" s="97">
        <v>1439</v>
      </c>
      <c r="C2048" t="s">
        <v>168</v>
      </c>
      <c r="D2048" s="94" t="s">
        <v>352</v>
      </c>
      <c r="E2048" t="s">
        <v>17</v>
      </c>
      <c r="F2048" t="s">
        <v>566</v>
      </c>
      <c r="G2048" s="50" t="s">
        <v>559</v>
      </c>
      <c r="H2048" s="50">
        <v>2</v>
      </c>
      <c r="I2048" s="100">
        <v>6.7391919697301583</v>
      </c>
      <c r="J2048" s="52">
        <v>3834.68</v>
      </c>
      <c r="K2048" s="67">
        <f t="shared" si="128"/>
        <v>37187.565669315685</v>
      </c>
      <c r="L2048" s="95">
        <f>+VLOOKUP(E2048,MARGEN!A:B,2,FALSE)</f>
        <v>0.1</v>
      </c>
      <c r="M2048" s="112">
        <f t="shared" si="125"/>
        <v>3718.7565669315686</v>
      </c>
      <c r="N2048" s="113">
        <f t="shared" si="126"/>
        <v>148.75026267726275</v>
      </c>
      <c r="O2048" s="113">
        <f t="shared" si="127"/>
        <v>33320.058839706857</v>
      </c>
    </row>
    <row r="2049" spans="1:15" x14ac:dyDescent="0.25">
      <c r="A2049" s="13">
        <v>44444</v>
      </c>
      <c r="B2049" s="97">
        <v>1415</v>
      </c>
      <c r="C2049" t="s">
        <v>210</v>
      </c>
      <c r="D2049" s="94" t="s">
        <v>402</v>
      </c>
      <c r="E2049" t="s">
        <v>17</v>
      </c>
      <c r="F2049" t="s">
        <v>558</v>
      </c>
      <c r="G2049" s="50" t="s">
        <v>559</v>
      </c>
      <c r="H2049" s="50">
        <v>2</v>
      </c>
      <c r="I2049" s="100">
        <v>6.7391919697301583</v>
      </c>
      <c r="J2049" s="52">
        <v>3834.68</v>
      </c>
      <c r="K2049" s="67">
        <f t="shared" si="128"/>
        <v>36567.342197416052</v>
      </c>
      <c r="L2049" s="95">
        <f>+VLOOKUP(E2049,MARGEN!A:B,2,FALSE)</f>
        <v>0.1</v>
      </c>
      <c r="M2049" s="112">
        <f t="shared" si="125"/>
        <v>3656.7342197416056</v>
      </c>
      <c r="N2049" s="113">
        <f t="shared" si="126"/>
        <v>146.26936878966421</v>
      </c>
      <c r="O2049" s="113">
        <f t="shared" si="127"/>
        <v>32764.33860888478</v>
      </c>
    </row>
    <row r="2050" spans="1:15" x14ac:dyDescent="0.25">
      <c r="A2050" s="13">
        <v>44444</v>
      </c>
      <c r="B2050" s="97">
        <v>1367</v>
      </c>
      <c r="C2050" t="s">
        <v>173</v>
      </c>
      <c r="D2050" t="s">
        <v>451</v>
      </c>
      <c r="E2050" t="s">
        <v>17</v>
      </c>
      <c r="F2050" t="s">
        <v>566</v>
      </c>
      <c r="G2050" s="50" t="s">
        <v>559</v>
      </c>
      <c r="H2050" s="50">
        <v>2</v>
      </c>
      <c r="I2050" s="100">
        <v>6.7391919697301583</v>
      </c>
      <c r="J2050" s="52">
        <v>3834.68</v>
      </c>
      <c r="K2050" s="67">
        <f t="shared" si="128"/>
        <v>35326.895253616778</v>
      </c>
      <c r="L2050" s="95">
        <f>+VLOOKUP(E2050,MARGEN!A:B,2,FALSE)</f>
        <v>0.1</v>
      </c>
      <c r="M2050" s="112">
        <f t="shared" si="125"/>
        <v>3532.6895253616781</v>
      </c>
      <c r="N2050" s="113">
        <f t="shared" si="126"/>
        <v>141.3075810144671</v>
      </c>
      <c r="O2050" s="113">
        <f t="shared" si="127"/>
        <v>31652.898147240634</v>
      </c>
    </row>
    <row r="2051" spans="1:15" x14ac:dyDescent="0.25">
      <c r="A2051" s="13">
        <v>44444</v>
      </c>
      <c r="B2051" s="97">
        <v>1343</v>
      </c>
      <c r="C2051" t="s">
        <v>297</v>
      </c>
      <c r="D2051" s="94" t="s">
        <v>526</v>
      </c>
      <c r="E2051" t="s">
        <v>17</v>
      </c>
      <c r="F2051" t="s">
        <v>558</v>
      </c>
      <c r="G2051" s="50" t="s">
        <v>559</v>
      </c>
      <c r="H2051" s="50">
        <v>2</v>
      </c>
      <c r="I2051" s="100">
        <v>6.7391919697301583</v>
      </c>
      <c r="J2051" s="52">
        <v>3834.68</v>
      </c>
      <c r="K2051" s="67">
        <f t="shared" si="128"/>
        <v>34706.671781717145</v>
      </c>
      <c r="L2051" s="95">
        <f>+VLOOKUP(E2051,MARGEN!A:B,2,FALSE)</f>
        <v>0.1</v>
      </c>
      <c r="M2051" s="112">
        <f t="shared" ref="M2051:M2114" si="129">+K2051*L2051</f>
        <v>3470.6671781717146</v>
      </c>
      <c r="N2051" s="113">
        <f t="shared" ref="N2051:N2114" si="130">+K2051*4/1000</f>
        <v>138.82668712686859</v>
      </c>
      <c r="O2051" s="113">
        <f t="shared" ref="O2051:O2114" si="131">+K2051-M2051-N2051</f>
        <v>31097.177916418561</v>
      </c>
    </row>
    <row r="2052" spans="1:15" x14ac:dyDescent="0.25">
      <c r="A2052" s="13">
        <v>44444</v>
      </c>
      <c r="B2052" s="97">
        <v>1319</v>
      </c>
      <c r="C2052" t="s">
        <v>292</v>
      </c>
      <c r="D2052" s="94" t="s">
        <v>535</v>
      </c>
      <c r="E2052" t="s">
        <v>17</v>
      </c>
      <c r="F2052" t="s">
        <v>558</v>
      </c>
      <c r="G2052" s="50" t="s">
        <v>559</v>
      </c>
      <c r="H2052" s="50">
        <v>2</v>
      </c>
      <c r="I2052" s="100">
        <v>6.7391919697301583</v>
      </c>
      <c r="J2052" s="52">
        <v>3834.68</v>
      </c>
      <c r="K2052" s="67">
        <f t="shared" si="128"/>
        <v>34086.448309817511</v>
      </c>
      <c r="L2052" s="95">
        <f>+VLOOKUP(E2052,MARGEN!A:B,2,FALSE)</f>
        <v>0.1</v>
      </c>
      <c r="M2052" s="112">
        <f t="shared" si="129"/>
        <v>3408.6448309817515</v>
      </c>
      <c r="N2052" s="113">
        <f t="shared" si="130"/>
        <v>136.34579323927005</v>
      </c>
      <c r="O2052" s="113">
        <f t="shared" si="131"/>
        <v>30541.457685596492</v>
      </c>
    </row>
    <row r="2053" spans="1:15" x14ac:dyDescent="0.25">
      <c r="A2053" s="13">
        <v>44444</v>
      </c>
      <c r="B2053" s="97">
        <v>1295</v>
      </c>
      <c r="C2053" t="s">
        <v>302</v>
      </c>
      <c r="D2053" s="94" t="s">
        <v>538</v>
      </c>
      <c r="E2053" t="s">
        <v>17</v>
      </c>
      <c r="F2053" t="s">
        <v>566</v>
      </c>
      <c r="G2053" s="50" t="s">
        <v>559</v>
      </c>
      <c r="H2053" s="50">
        <v>2</v>
      </c>
      <c r="I2053" s="100">
        <v>6.7391919697301583</v>
      </c>
      <c r="J2053" s="52">
        <v>3834.68</v>
      </c>
      <c r="K2053" s="67">
        <f t="shared" si="128"/>
        <v>33466.224837917871</v>
      </c>
      <c r="L2053" s="95">
        <f>+VLOOKUP(E2053,MARGEN!A:B,2,FALSE)</f>
        <v>0.1</v>
      </c>
      <c r="M2053" s="112">
        <f t="shared" si="129"/>
        <v>3346.6224837917871</v>
      </c>
      <c r="N2053" s="113">
        <f t="shared" si="130"/>
        <v>133.86489935167148</v>
      </c>
      <c r="O2053" s="113">
        <f t="shared" si="131"/>
        <v>29985.737454774411</v>
      </c>
    </row>
    <row r="2054" spans="1:15" x14ac:dyDescent="0.25">
      <c r="A2054" s="13">
        <v>44444</v>
      </c>
      <c r="B2054" s="97">
        <v>1271</v>
      </c>
      <c r="C2054" t="s">
        <v>183</v>
      </c>
      <c r="D2054" s="94" t="s">
        <v>390</v>
      </c>
      <c r="E2054" t="s">
        <v>17</v>
      </c>
      <c r="F2054" t="s">
        <v>566</v>
      </c>
      <c r="G2054" s="50" t="s">
        <v>559</v>
      </c>
      <c r="H2054" s="50">
        <v>2</v>
      </c>
      <c r="I2054" s="100">
        <v>6.7391919697301583</v>
      </c>
      <c r="J2054" s="52">
        <v>3834.68</v>
      </c>
      <c r="K2054" s="67">
        <f t="shared" si="128"/>
        <v>32846.00136601823</v>
      </c>
      <c r="L2054" s="95">
        <f>+VLOOKUP(E2054,MARGEN!A:B,2,FALSE)</f>
        <v>0.1</v>
      </c>
      <c r="M2054" s="112">
        <f t="shared" si="129"/>
        <v>3284.6001366018231</v>
      </c>
      <c r="N2054" s="113">
        <f t="shared" si="130"/>
        <v>131.38400546407291</v>
      </c>
      <c r="O2054" s="113">
        <f t="shared" si="131"/>
        <v>29430.017223952334</v>
      </c>
    </row>
    <row r="2055" spans="1:15" x14ac:dyDescent="0.25">
      <c r="A2055" s="13">
        <v>44444</v>
      </c>
      <c r="B2055" s="97">
        <v>1199</v>
      </c>
      <c r="C2055" t="s">
        <v>199</v>
      </c>
      <c r="D2055" s="94" t="s">
        <v>414</v>
      </c>
      <c r="E2055" t="s">
        <v>17</v>
      </c>
      <c r="F2055" t="s">
        <v>558</v>
      </c>
      <c r="G2055" s="50" t="s">
        <v>559</v>
      </c>
      <c r="H2055" s="50">
        <v>2</v>
      </c>
      <c r="I2055" s="100">
        <v>6.7391919697301583</v>
      </c>
      <c r="J2055" s="52">
        <v>3834.68</v>
      </c>
      <c r="K2055" s="67">
        <f t="shared" si="128"/>
        <v>30985.330950319327</v>
      </c>
      <c r="L2055" s="95">
        <f>+VLOOKUP(E2055,MARGEN!A:B,2,FALSE)</f>
        <v>0.1</v>
      </c>
      <c r="M2055" s="112">
        <f t="shared" si="129"/>
        <v>3098.533095031933</v>
      </c>
      <c r="N2055" s="113">
        <f t="shared" si="130"/>
        <v>123.94132380127731</v>
      </c>
      <c r="O2055" s="113">
        <f t="shared" si="131"/>
        <v>27762.856531486115</v>
      </c>
    </row>
    <row r="2056" spans="1:15" x14ac:dyDescent="0.25">
      <c r="A2056" s="13">
        <v>44444</v>
      </c>
      <c r="B2056" s="97">
        <v>1199</v>
      </c>
      <c r="C2056" t="s">
        <v>298</v>
      </c>
      <c r="D2056" s="94" t="s">
        <v>536</v>
      </c>
      <c r="E2056" t="s">
        <v>17</v>
      </c>
      <c r="F2056" t="s">
        <v>566</v>
      </c>
      <c r="G2056" s="50" t="s">
        <v>559</v>
      </c>
      <c r="H2056" s="50">
        <v>2</v>
      </c>
      <c r="I2056" s="100">
        <v>6.7391919697301583</v>
      </c>
      <c r="J2056" s="52">
        <v>3834.68</v>
      </c>
      <c r="K2056" s="67">
        <f t="shared" si="128"/>
        <v>30985.330950319327</v>
      </c>
      <c r="L2056" s="95">
        <f>+VLOOKUP(E2056,MARGEN!A:B,2,FALSE)</f>
        <v>0.1</v>
      </c>
      <c r="M2056" s="112">
        <f t="shared" si="129"/>
        <v>3098.533095031933</v>
      </c>
      <c r="N2056" s="113">
        <f t="shared" si="130"/>
        <v>123.94132380127731</v>
      </c>
      <c r="O2056" s="113">
        <f t="shared" si="131"/>
        <v>27762.856531486115</v>
      </c>
    </row>
    <row r="2057" spans="1:15" x14ac:dyDescent="0.25">
      <c r="A2057" s="13">
        <v>44444</v>
      </c>
      <c r="B2057" s="97">
        <v>1175</v>
      </c>
      <c r="C2057" t="s">
        <v>151</v>
      </c>
      <c r="D2057" s="94" t="s">
        <v>394</v>
      </c>
      <c r="E2057" t="s">
        <v>17</v>
      </c>
      <c r="F2057" t="s">
        <v>558</v>
      </c>
      <c r="G2057" s="50" t="s">
        <v>559</v>
      </c>
      <c r="H2057" s="50">
        <v>2</v>
      </c>
      <c r="I2057" s="100">
        <v>6.7391919697301583</v>
      </c>
      <c r="J2057" s="52">
        <v>3834.68</v>
      </c>
      <c r="K2057" s="67">
        <f t="shared" ref="K2057:K2120" si="132">+B2057*I2057*J2057/1000</f>
        <v>30365.10747841969</v>
      </c>
      <c r="L2057" s="95">
        <f>+VLOOKUP(E2057,MARGEN!A:B,2,FALSE)</f>
        <v>0.1</v>
      </c>
      <c r="M2057" s="112">
        <f t="shared" si="129"/>
        <v>3036.5107478419691</v>
      </c>
      <c r="N2057" s="113">
        <f t="shared" si="130"/>
        <v>121.46042991367877</v>
      </c>
      <c r="O2057" s="113">
        <f t="shared" si="131"/>
        <v>27207.136300664042</v>
      </c>
    </row>
    <row r="2058" spans="1:15" x14ac:dyDescent="0.25">
      <c r="A2058" s="13">
        <v>44444</v>
      </c>
      <c r="B2058" s="51">
        <v>1151</v>
      </c>
      <c r="C2058" s="66" t="s">
        <v>184</v>
      </c>
      <c r="D2058" s="66" t="s">
        <v>443</v>
      </c>
      <c r="E2058" t="s">
        <v>17</v>
      </c>
      <c r="F2058" s="50" t="s">
        <v>566</v>
      </c>
      <c r="G2058" s="50" t="s">
        <v>559</v>
      </c>
      <c r="H2058" s="50">
        <v>2</v>
      </c>
      <c r="I2058" s="100">
        <v>6.7391919697301583</v>
      </c>
      <c r="J2058" s="52">
        <v>3834.68</v>
      </c>
      <c r="K2058" s="67">
        <f t="shared" si="132"/>
        <v>29744.884006520053</v>
      </c>
      <c r="L2058" s="95">
        <f>+VLOOKUP(E2058,MARGEN!A:B,2,FALSE)</f>
        <v>0.1</v>
      </c>
      <c r="M2058" s="112">
        <f t="shared" si="129"/>
        <v>2974.4884006520056</v>
      </c>
      <c r="N2058" s="113">
        <f t="shared" si="130"/>
        <v>118.97953602608021</v>
      </c>
      <c r="O2058" s="113">
        <f t="shared" si="131"/>
        <v>26651.416069841969</v>
      </c>
    </row>
    <row r="2059" spans="1:15" x14ac:dyDescent="0.25">
      <c r="A2059" s="13">
        <v>44444</v>
      </c>
      <c r="B2059" s="97">
        <v>719</v>
      </c>
      <c r="C2059" t="s">
        <v>181</v>
      </c>
      <c r="D2059" s="94" t="s">
        <v>415</v>
      </c>
      <c r="E2059" t="s">
        <v>17</v>
      </c>
      <c r="F2059" t="s">
        <v>558</v>
      </c>
      <c r="G2059" s="50" t="s">
        <v>559</v>
      </c>
      <c r="H2059" s="50">
        <v>2</v>
      </c>
      <c r="I2059" s="100">
        <v>6.7391919697301583</v>
      </c>
      <c r="J2059" s="52">
        <v>3834.68</v>
      </c>
      <c r="K2059" s="67">
        <f t="shared" si="132"/>
        <v>18580.861512326603</v>
      </c>
      <c r="L2059" s="95">
        <f>+VLOOKUP(E2059,MARGEN!A:B,2,FALSE)</f>
        <v>0.1</v>
      </c>
      <c r="M2059" s="112">
        <f t="shared" si="129"/>
        <v>1858.0861512326603</v>
      </c>
      <c r="N2059" s="113">
        <f t="shared" si="130"/>
        <v>74.323446049306412</v>
      </c>
      <c r="O2059" s="113">
        <f t="shared" si="131"/>
        <v>16648.451915044636</v>
      </c>
    </row>
    <row r="2060" spans="1:15" x14ac:dyDescent="0.25">
      <c r="A2060" s="13">
        <v>44445</v>
      </c>
      <c r="B2060" s="97">
        <v>6767</v>
      </c>
      <c r="C2060" t="s">
        <v>150</v>
      </c>
      <c r="D2060" s="94" t="s">
        <v>357</v>
      </c>
      <c r="E2060" t="s">
        <v>17</v>
      </c>
      <c r="F2060" t="s">
        <v>558</v>
      </c>
      <c r="G2060" s="50" t="s">
        <v>559</v>
      </c>
      <c r="H2060" s="50">
        <v>2</v>
      </c>
      <c r="I2060" s="100">
        <v>6.7391919697301583</v>
      </c>
      <c r="J2060" s="52">
        <v>3834.68</v>
      </c>
      <c r="K2060" s="67">
        <f t="shared" si="132"/>
        <v>174877.17643103495</v>
      </c>
      <c r="L2060" s="95">
        <f>+VLOOKUP(E2060,MARGEN!A:B,2,FALSE)</f>
        <v>0.1</v>
      </c>
      <c r="M2060" s="112">
        <f t="shared" si="129"/>
        <v>17487.717643103497</v>
      </c>
      <c r="N2060" s="113">
        <f t="shared" si="130"/>
        <v>699.50870572413976</v>
      </c>
      <c r="O2060" s="113">
        <f t="shared" si="131"/>
        <v>156689.9500822073</v>
      </c>
    </row>
    <row r="2061" spans="1:15" x14ac:dyDescent="0.25">
      <c r="A2061" s="13">
        <v>44445</v>
      </c>
      <c r="B2061" s="97">
        <v>5950</v>
      </c>
      <c r="C2061" t="s">
        <v>279</v>
      </c>
      <c r="D2061" s="94" t="s">
        <v>493</v>
      </c>
      <c r="E2061" t="s">
        <v>17</v>
      </c>
      <c r="F2061" t="s">
        <v>562</v>
      </c>
      <c r="G2061" s="50" t="s">
        <v>559</v>
      </c>
      <c r="H2061" s="50">
        <v>2</v>
      </c>
      <c r="I2061" s="100">
        <v>6.7391919697301583</v>
      </c>
      <c r="J2061" s="52">
        <v>3834.68</v>
      </c>
      <c r="K2061" s="67">
        <f t="shared" si="132"/>
        <v>153763.73574178483</v>
      </c>
      <c r="L2061" s="95">
        <f>+VLOOKUP(E2061,MARGEN!A:B,2,FALSE)</f>
        <v>0.1</v>
      </c>
      <c r="M2061" s="112">
        <f t="shared" si="129"/>
        <v>15376.373574178484</v>
      </c>
      <c r="N2061" s="113">
        <f t="shared" si="130"/>
        <v>615.05494296713925</v>
      </c>
      <c r="O2061" s="113">
        <f t="shared" si="131"/>
        <v>137772.3072246392</v>
      </c>
    </row>
    <row r="2062" spans="1:15" x14ac:dyDescent="0.25">
      <c r="A2062" s="13">
        <v>44445</v>
      </c>
      <c r="B2062" s="51">
        <v>4271</v>
      </c>
      <c r="C2062" s="66" t="s">
        <v>193</v>
      </c>
      <c r="D2062" s="66" t="s">
        <v>380</v>
      </c>
      <c r="E2062" t="s">
        <v>17</v>
      </c>
      <c r="F2062" s="50" t="s">
        <v>562</v>
      </c>
      <c r="G2062" s="50" t="s">
        <v>559</v>
      </c>
      <c r="H2062" s="50">
        <v>2</v>
      </c>
      <c r="I2062" s="100">
        <v>6.7391919697301583</v>
      </c>
      <c r="J2062" s="52">
        <v>3834.68</v>
      </c>
      <c r="K2062" s="67">
        <f t="shared" si="132"/>
        <v>110373.93535347277</v>
      </c>
      <c r="L2062" s="95">
        <f>+VLOOKUP(E2062,MARGEN!A:B,2,FALSE)</f>
        <v>0.1</v>
      </c>
      <c r="M2062" s="112">
        <f t="shared" si="129"/>
        <v>11037.393535347277</v>
      </c>
      <c r="N2062" s="113">
        <f t="shared" si="130"/>
        <v>441.4957414138911</v>
      </c>
      <c r="O2062" s="113">
        <f t="shared" si="131"/>
        <v>98895.046076711602</v>
      </c>
    </row>
    <row r="2063" spans="1:15" x14ac:dyDescent="0.25">
      <c r="A2063" s="13">
        <v>44445</v>
      </c>
      <c r="B2063" s="97">
        <v>3623</v>
      </c>
      <c r="C2063" t="s">
        <v>149</v>
      </c>
      <c r="D2063" s="94" t="s">
        <v>325</v>
      </c>
      <c r="E2063" t="s">
        <v>17</v>
      </c>
      <c r="F2063" t="s">
        <v>562</v>
      </c>
      <c r="G2063" s="50" t="s">
        <v>559</v>
      </c>
      <c r="H2063" s="50">
        <v>2</v>
      </c>
      <c r="I2063" s="100">
        <v>6.7391919697301583</v>
      </c>
      <c r="J2063" s="52">
        <v>3834.68</v>
      </c>
      <c r="K2063" s="67">
        <f t="shared" si="132"/>
        <v>93627.901612182584</v>
      </c>
      <c r="L2063" s="95">
        <f>+VLOOKUP(E2063,MARGEN!A:B,2,FALSE)</f>
        <v>0.1</v>
      </c>
      <c r="M2063" s="112">
        <f t="shared" si="129"/>
        <v>9362.7901612182595</v>
      </c>
      <c r="N2063" s="113">
        <f t="shared" si="130"/>
        <v>374.51160644873033</v>
      </c>
      <c r="O2063" s="113">
        <f t="shared" si="131"/>
        <v>83890.599844515586</v>
      </c>
    </row>
    <row r="2064" spans="1:15" x14ac:dyDescent="0.25">
      <c r="A2064" s="13">
        <v>44445</v>
      </c>
      <c r="B2064" s="97">
        <v>3479</v>
      </c>
      <c r="C2064" t="s">
        <v>165</v>
      </c>
      <c r="D2064" s="94" t="s">
        <v>375</v>
      </c>
      <c r="E2064" t="s">
        <v>17</v>
      </c>
      <c r="F2064" t="s">
        <v>558</v>
      </c>
      <c r="G2064" s="50" t="s">
        <v>559</v>
      </c>
      <c r="H2064" s="50">
        <v>2</v>
      </c>
      <c r="I2064" s="100">
        <v>6.7391919697301583</v>
      </c>
      <c r="J2064" s="52">
        <v>3834.68</v>
      </c>
      <c r="K2064" s="67">
        <f t="shared" si="132"/>
        <v>89906.56078078477</v>
      </c>
      <c r="L2064" s="95">
        <f>+VLOOKUP(E2064,MARGEN!A:B,2,FALSE)</f>
        <v>0.1</v>
      </c>
      <c r="M2064" s="112">
        <f t="shared" si="129"/>
        <v>8990.6560780784766</v>
      </c>
      <c r="N2064" s="113">
        <f t="shared" si="130"/>
        <v>359.62624312313909</v>
      </c>
      <c r="O2064" s="113">
        <f t="shared" si="131"/>
        <v>80556.278459583147</v>
      </c>
    </row>
    <row r="2065" spans="1:15" x14ac:dyDescent="0.25">
      <c r="A2065" s="13">
        <v>44445</v>
      </c>
      <c r="B2065" s="97">
        <v>3359</v>
      </c>
      <c r="C2065" t="s">
        <v>309</v>
      </c>
      <c r="D2065" s="94" t="s">
        <v>544</v>
      </c>
      <c r="E2065" t="s">
        <v>17</v>
      </c>
      <c r="F2065" t="s">
        <v>558</v>
      </c>
      <c r="G2065" s="50" t="s">
        <v>559</v>
      </c>
      <c r="H2065" s="50">
        <v>2</v>
      </c>
      <c r="I2065" s="100">
        <v>6.7391919697301583</v>
      </c>
      <c r="J2065" s="52">
        <v>3834.68</v>
      </c>
      <c r="K2065" s="67">
        <f t="shared" si="132"/>
        <v>86805.443421286589</v>
      </c>
      <c r="L2065" s="95">
        <f>+VLOOKUP(E2065,MARGEN!A:B,2,FALSE)</f>
        <v>0.1</v>
      </c>
      <c r="M2065" s="112">
        <f t="shared" si="129"/>
        <v>8680.54434212866</v>
      </c>
      <c r="N2065" s="113">
        <f t="shared" si="130"/>
        <v>347.22177368514633</v>
      </c>
      <c r="O2065" s="113">
        <f t="shared" si="131"/>
        <v>77777.677305472782</v>
      </c>
    </row>
    <row r="2066" spans="1:15" x14ac:dyDescent="0.25">
      <c r="A2066" s="13">
        <v>44445</v>
      </c>
      <c r="B2066" s="97">
        <v>2903</v>
      </c>
      <c r="C2066" t="s">
        <v>134</v>
      </c>
      <c r="D2066" s="94" t="s">
        <v>362</v>
      </c>
      <c r="E2066" t="s">
        <v>17</v>
      </c>
      <c r="F2066" t="s">
        <v>558</v>
      </c>
      <c r="G2066" s="50" t="s">
        <v>559</v>
      </c>
      <c r="H2066" s="50">
        <v>2</v>
      </c>
      <c r="I2066" s="100">
        <v>6.7391919697301583</v>
      </c>
      <c r="J2066" s="52">
        <v>3834.68</v>
      </c>
      <c r="K2066" s="67">
        <f t="shared" si="132"/>
        <v>75021.197455193484</v>
      </c>
      <c r="L2066" s="95">
        <f>+VLOOKUP(E2066,MARGEN!A:B,2,FALSE)</f>
        <v>0.1</v>
      </c>
      <c r="M2066" s="112">
        <f t="shared" si="129"/>
        <v>7502.1197455193487</v>
      </c>
      <c r="N2066" s="113">
        <f t="shared" si="130"/>
        <v>300.08478982077395</v>
      </c>
      <c r="O2066" s="113">
        <f t="shared" si="131"/>
        <v>67218.992919853365</v>
      </c>
    </row>
    <row r="2067" spans="1:15" x14ac:dyDescent="0.25">
      <c r="A2067" s="13">
        <v>44445</v>
      </c>
      <c r="B2067" s="97">
        <v>2783</v>
      </c>
      <c r="C2067" t="s">
        <v>131</v>
      </c>
      <c r="D2067" s="94" t="s">
        <v>344</v>
      </c>
      <c r="E2067" t="s">
        <v>17</v>
      </c>
      <c r="F2067" t="s">
        <v>562</v>
      </c>
      <c r="G2067" s="50" t="s">
        <v>559</v>
      </c>
      <c r="H2067" s="50">
        <v>2</v>
      </c>
      <c r="I2067" s="100">
        <v>6.7391919697301583</v>
      </c>
      <c r="J2067" s="52">
        <v>3834.68</v>
      </c>
      <c r="K2067" s="67">
        <f t="shared" si="132"/>
        <v>71920.080095695317</v>
      </c>
      <c r="L2067" s="95">
        <f>+VLOOKUP(E2067,MARGEN!A:B,2,FALSE)</f>
        <v>0.1</v>
      </c>
      <c r="M2067" s="112">
        <f t="shared" si="129"/>
        <v>7192.0080095695321</v>
      </c>
      <c r="N2067" s="113">
        <f t="shared" si="130"/>
        <v>287.68032038278125</v>
      </c>
      <c r="O2067" s="113">
        <f t="shared" si="131"/>
        <v>64440.391765743007</v>
      </c>
    </row>
    <row r="2068" spans="1:15" x14ac:dyDescent="0.25">
      <c r="A2068" s="13">
        <v>44445</v>
      </c>
      <c r="B2068" s="97">
        <v>2591</v>
      </c>
      <c r="C2068" t="s">
        <v>186</v>
      </c>
      <c r="D2068" s="94" t="s">
        <v>440</v>
      </c>
      <c r="E2068" t="s">
        <v>17</v>
      </c>
      <c r="F2068" t="s">
        <v>558</v>
      </c>
      <c r="G2068" s="50" t="s">
        <v>559</v>
      </c>
      <c r="H2068" s="50">
        <v>2</v>
      </c>
      <c r="I2068" s="100">
        <v>6.7391919697301583</v>
      </c>
      <c r="J2068" s="52">
        <v>3834.68</v>
      </c>
      <c r="K2068" s="67">
        <f t="shared" si="132"/>
        <v>66958.292320498222</v>
      </c>
      <c r="L2068" s="95">
        <f>+VLOOKUP(E2068,MARGEN!A:B,2,FALSE)</f>
        <v>0.1</v>
      </c>
      <c r="M2068" s="112">
        <f t="shared" si="129"/>
        <v>6695.8292320498222</v>
      </c>
      <c r="N2068" s="113">
        <f t="shared" si="130"/>
        <v>267.83316928199287</v>
      </c>
      <c r="O2068" s="113">
        <f t="shared" si="131"/>
        <v>59994.629919166407</v>
      </c>
    </row>
    <row r="2069" spans="1:15" x14ac:dyDescent="0.25">
      <c r="A2069" s="13">
        <v>44445</v>
      </c>
      <c r="B2069" s="97">
        <v>2567</v>
      </c>
      <c r="C2069" t="s">
        <v>310</v>
      </c>
      <c r="D2069" s="94" t="s">
        <v>540</v>
      </c>
      <c r="E2069" t="s">
        <v>17</v>
      </c>
      <c r="F2069" t="s">
        <v>558</v>
      </c>
      <c r="G2069" s="50" t="s">
        <v>559</v>
      </c>
      <c r="H2069" s="50">
        <v>2</v>
      </c>
      <c r="I2069" s="100">
        <v>6.7391919697301583</v>
      </c>
      <c r="J2069" s="52">
        <v>3834.68</v>
      </c>
      <c r="K2069" s="67">
        <f t="shared" si="132"/>
        <v>66338.068848598588</v>
      </c>
      <c r="L2069" s="95">
        <f>+VLOOKUP(E2069,MARGEN!A:B,2,FALSE)</f>
        <v>0.1</v>
      </c>
      <c r="M2069" s="112">
        <f t="shared" si="129"/>
        <v>6633.8068848598596</v>
      </c>
      <c r="N2069" s="113">
        <f t="shared" si="130"/>
        <v>265.35227539439433</v>
      </c>
      <c r="O2069" s="113">
        <f t="shared" si="131"/>
        <v>59438.909688344334</v>
      </c>
    </row>
    <row r="2070" spans="1:15" x14ac:dyDescent="0.25">
      <c r="A2070" s="13">
        <v>44445</v>
      </c>
      <c r="B2070" s="97">
        <v>2543</v>
      </c>
      <c r="C2070" t="s">
        <v>146</v>
      </c>
      <c r="D2070" s="94" t="s">
        <v>348</v>
      </c>
      <c r="E2070" t="s">
        <v>17</v>
      </c>
      <c r="F2070" t="s">
        <v>562</v>
      </c>
      <c r="G2070" s="50" t="s">
        <v>559</v>
      </c>
      <c r="H2070" s="50">
        <v>2</v>
      </c>
      <c r="I2070" s="100">
        <v>6.7391919697301583</v>
      </c>
      <c r="J2070" s="52">
        <v>3834.68</v>
      </c>
      <c r="K2070" s="67">
        <f t="shared" si="132"/>
        <v>65717.84537669897</v>
      </c>
      <c r="L2070" s="95">
        <f>+VLOOKUP(E2070,MARGEN!A:B,2,FALSE)</f>
        <v>0.1</v>
      </c>
      <c r="M2070" s="112">
        <f t="shared" si="129"/>
        <v>6571.784537669897</v>
      </c>
      <c r="N2070" s="113">
        <f t="shared" si="130"/>
        <v>262.8713815067959</v>
      </c>
      <c r="O2070" s="113">
        <f t="shared" si="131"/>
        <v>58883.189457522276</v>
      </c>
    </row>
    <row r="2071" spans="1:15" x14ac:dyDescent="0.25">
      <c r="A2071" s="13">
        <v>44445</v>
      </c>
      <c r="B2071" s="97">
        <v>2519</v>
      </c>
      <c r="C2071" t="s">
        <v>127</v>
      </c>
      <c r="D2071" s="94" t="s">
        <v>411</v>
      </c>
      <c r="E2071" t="s">
        <v>17</v>
      </c>
      <c r="F2071" t="s">
        <v>562</v>
      </c>
      <c r="G2071" s="50" t="s">
        <v>559</v>
      </c>
      <c r="H2071" s="50">
        <v>2</v>
      </c>
      <c r="I2071" s="100">
        <v>6.7391919697301583</v>
      </c>
      <c r="J2071" s="52">
        <v>3834.68</v>
      </c>
      <c r="K2071" s="67">
        <f t="shared" si="132"/>
        <v>65097.621904799322</v>
      </c>
      <c r="L2071" s="95">
        <f>+VLOOKUP(E2071,MARGEN!A:B,2,FALSE)</f>
        <v>0.1</v>
      </c>
      <c r="M2071" s="112">
        <f t="shared" si="129"/>
        <v>6509.7621904799325</v>
      </c>
      <c r="N2071" s="113">
        <f t="shared" si="130"/>
        <v>260.3904876191973</v>
      </c>
      <c r="O2071" s="113">
        <f t="shared" si="131"/>
        <v>58327.469226700196</v>
      </c>
    </row>
    <row r="2072" spans="1:15" x14ac:dyDescent="0.25">
      <c r="A2072" s="13">
        <v>44445</v>
      </c>
      <c r="B2072" s="97">
        <v>2399</v>
      </c>
      <c r="C2072" t="s">
        <v>281</v>
      </c>
      <c r="D2072" s="94" t="s">
        <v>495</v>
      </c>
      <c r="E2072" t="s">
        <v>17</v>
      </c>
      <c r="F2072" t="s">
        <v>558</v>
      </c>
      <c r="G2072" s="50" t="s">
        <v>559</v>
      </c>
      <c r="H2072" s="50">
        <v>2</v>
      </c>
      <c r="I2072" s="100">
        <v>6.7391919697301583</v>
      </c>
      <c r="J2072" s="52">
        <v>3834.68</v>
      </c>
      <c r="K2072" s="67">
        <f t="shared" si="132"/>
        <v>61996.504545301133</v>
      </c>
      <c r="L2072" s="95">
        <f>+VLOOKUP(E2072,MARGEN!A:B,2,FALSE)</f>
        <v>0.1</v>
      </c>
      <c r="M2072" s="112">
        <f t="shared" si="129"/>
        <v>6199.6504545301141</v>
      </c>
      <c r="N2072" s="113">
        <f t="shared" si="130"/>
        <v>247.98601818120454</v>
      </c>
      <c r="O2072" s="113">
        <f t="shared" si="131"/>
        <v>55548.868072589816</v>
      </c>
    </row>
    <row r="2073" spans="1:15" x14ac:dyDescent="0.25">
      <c r="A2073" s="13">
        <v>44445</v>
      </c>
      <c r="B2073" s="97">
        <v>2303</v>
      </c>
      <c r="C2073" t="s">
        <v>128</v>
      </c>
      <c r="D2073" s="94" t="s">
        <v>416</v>
      </c>
      <c r="E2073" t="s">
        <v>17</v>
      </c>
      <c r="F2073" t="s">
        <v>558</v>
      </c>
      <c r="G2073" s="50" t="s">
        <v>559</v>
      </c>
      <c r="H2073" s="50">
        <v>2</v>
      </c>
      <c r="I2073" s="100">
        <v>6.7391919697301583</v>
      </c>
      <c r="J2073" s="52">
        <v>3834.68</v>
      </c>
      <c r="K2073" s="67">
        <f t="shared" si="132"/>
        <v>59515.610657702593</v>
      </c>
      <c r="L2073" s="95">
        <f>+VLOOKUP(E2073,MARGEN!A:B,2,FALSE)</f>
        <v>0.1</v>
      </c>
      <c r="M2073" s="112">
        <f t="shared" si="129"/>
        <v>5951.56106577026</v>
      </c>
      <c r="N2073" s="113">
        <f t="shared" si="130"/>
        <v>238.06244263081038</v>
      </c>
      <c r="O2073" s="113">
        <f t="shared" si="131"/>
        <v>53325.987149301516</v>
      </c>
    </row>
    <row r="2074" spans="1:15" x14ac:dyDescent="0.25">
      <c r="A2074" s="13">
        <v>44445</v>
      </c>
      <c r="B2074" s="97">
        <v>2279</v>
      </c>
      <c r="C2074" t="s">
        <v>122</v>
      </c>
      <c r="D2074" s="94" t="s">
        <v>446</v>
      </c>
      <c r="E2074" t="s">
        <v>17</v>
      </c>
      <c r="F2074" t="s">
        <v>558</v>
      </c>
      <c r="G2074" s="50" t="s">
        <v>559</v>
      </c>
      <c r="H2074" s="50">
        <v>2</v>
      </c>
      <c r="I2074" s="100">
        <v>6.7391919697301583</v>
      </c>
      <c r="J2074" s="52">
        <v>3834.68</v>
      </c>
      <c r="K2074" s="67">
        <f t="shared" si="132"/>
        <v>58895.387185802952</v>
      </c>
      <c r="L2074" s="95">
        <f>+VLOOKUP(E2074,MARGEN!A:B,2,FALSE)</f>
        <v>0.1</v>
      </c>
      <c r="M2074" s="112">
        <f t="shared" si="129"/>
        <v>5889.5387185802956</v>
      </c>
      <c r="N2074" s="113">
        <f t="shared" si="130"/>
        <v>235.58154874321181</v>
      </c>
      <c r="O2074" s="113">
        <f t="shared" si="131"/>
        <v>52770.266918479443</v>
      </c>
    </row>
    <row r="2075" spans="1:15" x14ac:dyDescent="0.25">
      <c r="A2075" s="13">
        <v>44445</v>
      </c>
      <c r="B2075" s="97">
        <v>2255</v>
      </c>
      <c r="C2075" t="s">
        <v>163</v>
      </c>
      <c r="D2075" s="94" t="s">
        <v>398</v>
      </c>
      <c r="E2075" t="s">
        <v>17</v>
      </c>
      <c r="F2075" t="s">
        <v>558</v>
      </c>
      <c r="G2075" s="50" t="s">
        <v>559</v>
      </c>
      <c r="H2075" s="50">
        <v>2</v>
      </c>
      <c r="I2075" s="100">
        <v>6.7391919697301583</v>
      </c>
      <c r="J2075" s="52">
        <v>3834.68</v>
      </c>
      <c r="K2075" s="67">
        <f t="shared" si="132"/>
        <v>58275.163713903326</v>
      </c>
      <c r="L2075" s="95">
        <f>+VLOOKUP(E2075,MARGEN!A:B,2,FALSE)</f>
        <v>0.1</v>
      </c>
      <c r="M2075" s="112">
        <f t="shared" si="129"/>
        <v>5827.516371390333</v>
      </c>
      <c r="N2075" s="113">
        <f t="shared" si="130"/>
        <v>233.1006548556133</v>
      </c>
      <c r="O2075" s="113">
        <f t="shared" si="131"/>
        <v>52214.546687657385</v>
      </c>
    </row>
    <row r="2076" spans="1:15" x14ac:dyDescent="0.25">
      <c r="A2076" s="13">
        <v>44445</v>
      </c>
      <c r="B2076" s="97">
        <v>2231</v>
      </c>
      <c r="C2076" t="s">
        <v>126</v>
      </c>
      <c r="D2076" s="94" t="s">
        <v>438</v>
      </c>
      <c r="E2076" t="s">
        <v>17</v>
      </c>
      <c r="F2076" t="s">
        <v>558</v>
      </c>
      <c r="G2076" s="50" t="s">
        <v>559</v>
      </c>
      <c r="H2076" s="50">
        <v>2</v>
      </c>
      <c r="I2076" s="100">
        <v>6.7391919697301583</v>
      </c>
      <c r="J2076" s="52">
        <v>3834.68</v>
      </c>
      <c r="K2076" s="67">
        <f t="shared" si="132"/>
        <v>57654.940242003679</v>
      </c>
      <c r="L2076" s="95">
        <f>+VLOOKUP(E2076,MARGEN!A:B,2,FALSE)</f>
        <v>0.1</v>
      </c>
      <c r="M2076" s="112">
        <f t="shared" si="129"/>
        <v>5765.4940242003686</v>
      </c>
      <c r="N2076" s="113">
        <f t="shared" si="130"/>
        <v>230.6197609680147</v>
      </c>
      <c r="O2076" s="113">
        <f t="shared" si="131"/>
        <v>51658.826456835297</v>
      </c>
    </row>
    <row r="2077" spans="1:15" x14ac:dyDescent="0.25">
      <c r="A2077" s="13">
        <v>44445</v>
      </c>
      <c r="B2077" s="97">
        <v>2183</v>
      </c>
      <c r="C2077" t="s">
        <v>157</v>
      </c>
      <c r="D2077" t="s">
        <v>435</v>
      </c>
      <c r="E2077" t="s">
        <v>17</v>
      </c>
      <c r="F2077" t="s">
        <v>558</v>
      </c>
      <c r="G2077" s="50" t="s">
        <v>559</v>
      </c>
      <c r="H2077" s="50">
        <v>2</v>
      </c>
      <c r="I2077" s="100">
        <v>6.7391919697301583</v>
      </c>
      <c r="J2077" s="52">
        <v>3834.68</v>
      </c>
      <c r="K2077" s="67">
        <f t="shared" si="132"/>
        <v>56414.493298204405</v>
      </c>
      <c r="L2077" s="95">
        <f>+VLOOKUP(E2077,MARGEN!A:B,2,FALSE)</f>
        <v>0.1</v>
      </c>
      <c r="M2077" s="112">
        <f t="shared" si="129"/>
        <v>5641.4493298204407</v>
      </c>
      <c r="N2077" s="113">
        <f t="shared" si="130"/>
        <v>225.65797319281762</v>
      </c>
      <c r="O2077" s="113">
        <f t="shared" si="131"/>
        <v>50547.385995191151</v>
      </c>
    </row>
    <row r="2078" spans="1:15" x14ac:dyDescent="0.25">
      <c r="A2078" s="13">
        <v>44445</v>
      </c>
      <c r="B2078" s="97">
        <v>2135</v>
      </c>
      <c r="C2078" t="s">
        <v>312</v>
      </c>
      <c r="D2078" s="94" t="s">
        <v>542</v>
      </c>
      <c r="E2078" t="s">
        <v>17</v>
      </c>
      <c r="F2078" t="s">
        <v>558</v>
      </c>
      <c r="G2078" s="50" t="s">
        <v>559</v>
      </c>
      <c r="H2078" s="50">
        <v>2</v>
      </c>
      <c r="I2078" s="100">
        <v>6.7391919697301583</v>
      </c>
      <c r="J2078" s="52">
        <v>3834.68</v>
      </c>
      <c r="K2078" s="67">
        <f t="shared" si="132"/>
        <v>55174.046354405145</v>
      </c>
      <c r="L2078" s="95">
        <f>+VLOOKUP(E2078,MARGEN!A:B,2,FALSE)</f>
        <v>0.1</v>
      </c>
      <c r="M2078" s="112">
        <f t="shared" si="129"/>
        <v>5517.4046354405145</v>
      </c>
      <c r="N2078" s="113">
        <f t="shared" si="130"/>
        <v>220.69618541762057</v>
      </c>
      <c r="O2078" s="113">
        <f t="shared" si="131"/>
        <v>49435.945533547012</v>
      </c>
    </row>
    <row r="2079" spans="1:15" x14ac:dyDescent="0.25">
      <c r="A2079" s="13">
        <v>44445</v>
      </c>
      <c r="B2079" s="97">
        <v>2015</v>
      </c>
      <c r="C2079" t="s">
        <v>123</v>
      </c>
      <c r="D2079" s="94" t="s">
        <v>396</v>
      </c>
      <c r="E2079" t="s">
        <v>17</v>
      </c>
      <c r="F2079" t="s">
        <v>558</v>
      </c>
      <c r="G2079" s="50" t="s">
        <v>559</v>
      </c>
      <c r="H2079" s="50">
        <v>2</v>
      </c>
      <c r="I2079" s="100">
        <v>6.7391919697301583</v>
      </c>
      <c r="J2079" s="52">
        <v>3834.68</v>
      </c>
      <c r="K2079" s="67">
        <f t="shared" si="132"/>
        <v>52072.928994906957</v>
      </c>
      <c r="L2079" s="95">
        <f>+VLOOKUP(E2079,MARGEN!A:B,2,FALSE)</f>
        <v>0.1</v>
      </c>
      <c r="M2079" s="112">
        <f t="shared" si="129"/>
        <v>5207.2928994906961</v>
      </c>
      <c r="N2079" s="113">
        <f t="shared" si="130"/>
        <v>208.29171597962784</v>
      </c>
      <c r="O2079" s="113">
        <f t="shared" si="131"/>
        <v>46657.344379436632</v>
      </c>
    </row>
    <row r="2080" spans="1:15" x14ac:dyDescent="0.25">
      <c r="A2080" s="13">
        <v>44445</v>
      </c>
      <c r="B2080" s="97">
        <v>1991</v>
      </c>
      <c r="C2080" t="s">
        <v>295</v>
      </c>
      <c r="D2080" s="94" t="s">
        <v>532</v>
      </c>
      <c r="E2080" t="s">
        <v>17</v>
      </c>
      <c r="F2080" t="s">
        <v>558</v>
      </c>
      <c r="G2080" s="50" t="s">
        <v>559</v>
      </c>
      <c r="H2080" s="50">
        <v>2</v>
      </c>
      <c r="I2080" s="100">
        <v>6.7391919697301583</v>
      </c>
      <c r="J2080" s="52">
        <v>3834.68</v>
      </c>
      <c r="K2080" s="67">
        <f t="shared" si="132"/>
        <v>51452.705523007324</v>
      </c>
      <c r="L2080" s="95">
        <f>+VLOOKUP(E2080,MARGEN!A:B,2,FALSE)</f>
        <v>0.1</v>
      </c>
      <c r="M2080" s="112">
        <f t="shared" si="129"/>
        <v>5145.2705523007326</v>
      </c>
      <c r="N2080" s="113">
        <f t="shared" si="130"/>
        <v>205.8108220920293</v>
      </c>
      <c r="O2080" s="113">
        <f t="shared" si="131"/>
        <v>46101.624148614566</v>
      </c>
    </row>
    <row r="2081" spans="1:15" x14ac:dyDescent="0.25">
      <c r="A2081" s="13">
        <v>44445</v>
      </c>
      <c r="B2081" s="97">
        <v>1895</v>
      </c>
      <c r="C2081" t="s">
        <v>125</v>
      </c>
      <c r="D2081" s="94" t="s">
        <v>341</v>
      </c>
      <c r="E2081" t="s">
        <v>17</v>
      </c>
      <c r="F2081" t="s">
        <v>558</v>
      </c>
      <c r="G2081" s="50" t="s">
        <v>559</v>
      </c>
      <c r="H2081" s="50">
        <v>2</v>
      </c>
      <c r="I2081" s="100">
        <v>6.7391919697301583</v>
      </c>
      <c r="J2081" s="52">
        <v>3834.68</v>
      </c>
      <c r="K2081" s="67">
        <f t="shared" si="132"/>
        <v>48971.811635408776</v>
      </c>
      <c r="L2081" s="95">
        <f>+VLOOKUP(E2081,MARGEN!A:B,2,FALSE)</f>
        <v>0.1</v>
      </c>
      <c r="M2081" s="112">
        <f t="shared" si="129"/>
        <v>4897.1811635408776</v>
      </c>
      <c r="N2081" s="113">
        <f t="shared" si="130"/>
        <v>195.88724654163511</v>
      </c>
      <c r="O2081" s="113">
        <f t="shared" si="131"/>
        <v>43878.743225326267</v>
      </c>
    </row>
    <row r="2082" spans="1:15" x14ac:dyDescent="0.25">
      <c r="A2082" s="13">
        <v>44445</v>
      </c>
      <c r="B2082" s="97">
        <v>1799</v>
      </c>
      <c r="C2082" t="s">
        <v>172</v>
      </c>
      <c r="D2082" s="94" t="s">
        <v>371</v>
      </c>
      <c r="E2082" t="s">
        <v>17</v>
      </c>
      <c r="F2082" t="s">
        <v>558</v>
      </c>
      <c r="G2082" s="50" t="s">
        <v>559</v>
      </c>
      <c r="H2082" s="50">
        <v>2</v>
      </c>
      <c r="I2082" s="100">
        <v>6.7391919697301583</v>
      </c>
      <c r="J2082" s="52">
        <v>3834.68</v>
      </c>
      <c r="K2082" s="67">
        <f t="shared" si="132"/>
        <v>46490.917747810228</v>
      </c>
      <c r="L2082" s="95">
        <f>+VLOOKUP(E2082,MARGEN!A:B,2,FALSE)</f>
        <v>0.1</v>
      </c>
      <c r="M2082" s="112">
        <f t="shared" si="129"/>
        <v>4649.0917747810227</v>
      </c>
      <c r="N2082" s="113">
        <f t="shared" si="130"/>
        <v>185.96367099124092</v>
      </c>
      <c r="O2082" s="113">
        <f t="shared" si="131"/>
        <v>41655.862302037967</v>
      </c>
    </row>
    <row r="2083" spans="1:15" x14ac:dyDescent="0.25">
      <c r="A2083" s="13">
        <v>44445</v>
      </c>
      <c r="B2083" s="97">
        <v>1775</v>
      </c>
      <c r="C2083" t="s">
        <v>311</v>
      </c>
      <c r="D2083" s="94" t="s">
        <v>541</v>
      </c>
      <c r="E2083" t="s">
        <v>17</v>
      </c>
      <c r="F2083" t="s">
        <v>558</v>
      </c>
      <c r="G2083" s="50" t="s">
        <v>559</v>
      </c>
      <c r="H2083" s="50">
        <v>2</v>
      </c>
      <c r="I2083" s="100">
        <v>6.7391919697301583</v>
      </c>
      <c r="J2083" s="52">
        <v>3834.68</v>
      </c>
      <c r="K2083" s="67">
        <f t="shared" si="132"/>
        <v>45870.694275910595</v>
      </c>
      <c r="L2083" s="95">
        <f>+VLOOKUP(E2083,MARGEN!A:B,2,FALSE)</f>
        <v>0.1</v>
      </c>
      <c r="M2083" s="112">
        <f t="shared" si="129"/>
        <v>4587.06942759106</v>
      </c>
      <c r="N2083" s="113">
        <f t="shared" si="130"/>
        <v>183.48277710364238</v>
      </c>
      <c r="O2083" s="113">
        <f t="shared" si="131"/>
        <v>41100.142071215894</v>
      </c>
    </row>
    <row r="2084" spans="1:15" x14ac:dyDescent="0.25">
      <c r="A2084" s="13">
        <v>44445</v>
      </c>
      <c r="B2084" s="97">
        <v>1751</v>
      </c>
      <c r="C2084" t="s">
        <v>154</v>
      </c>
      <c r="D2084" s="94" t="s">
        <v>419</v>
      </c>
      <c r="E2084" t="s">
        <v>17</v>
      </c>
      <c r="F2084" t="s">
        <v>558</v>
      </c>
      <c r="G2084" s="50" t="s">
        <v>559</v>
      </c>
      <c r="H2084" s="50">
        <v>2</v>
      </c>
      <c r="I2084" s="100">
        <v>6.7391919697301583</v>
      </c>
      <c r="J2084" s="52">
        <v>3834.68</v>
      </c>
      <c r="K2084" s="67">
        <f t="shared" si="132"/>
        <v>45250.470804010954</v>
      </c>
      <c r="L2084" s="95">
        <f>+VLOOKUP(E2084,MARGEN!A:B,2,FALSE)</f>
        <v>0.1</v>
      </c>
      <c r="M2084" s="112">
        <f t="shared" si="129"/>
        <v>4525.0470804010956</v>
      </c>
      <c r="N2084" s="113">
        <f t="shared" si="130"/>
        <v>181.00188321604381</v>
      </c>
      <c r="O2084" s="113">
        <f t="shared" si="131"/>
        <v>40544.421840393814</v>
      </c>
    </row>
    <row r="2085" spans="1:15" x14ac:dyDescent="0.25">
      <c r="A2085" s="13">
        <v>44445</v>
      </c>
      <c r="B2085" s="97">
        <v>1727</v>
      </c>
      <c r="C2085" t="s">
        <v>174</v>
      </c>
      <c r="D2085" s="94" t="s">
        <v>395</v>
      </c>
      <c r="E2085" t="s">
        <v>17</v>
      </c>
      <c r="F2085" t="s">
        <v>558</v>
      </c>
      <c r="G2085" s="50" t="s">
        <v>559</v>
      </c>
      <c r="H2085" s="50">
        <v>2</v>
      </c>
      <c r="I2085" s="100">
        <v>6.7391919697301583</v>
      </c>
      <c r="J2085" s="52">
        <v>3834.68</v>
      </c>
      <c r="K2085" s="67">
        <f t="shared" si="132"/>
        <v>44630.247332111321</v>
      </c>
      <c r="L2085" s="95">
        <f>+VLOOKUP(E2085,MARGEN!A:B,2,FALSE)</f>
        <v>0.1</v>
      </c>
      <c r="M2085" s="112">
        <f t="shared" si="129"/>
        <v>4463.0247332111321</v>
      </c>
      <c r="N2085" s="113">
        <f t="shared" si="130"/>
        <v>178.5209893284453</v>
      </c>
      <c r="O2085" s="113">
        <f t="shared" si="131"/>
        <v>39988.701609571741</v>
      </c>
    </row>
    <row r="2086" spans="1:15" x14ac:dyDescent="0.25">
      <c r="A2086" s="13">
        <v>44445</v>
      </c>
      <c r="B2086" s="97">
        <v>1727</v>
      </c>
      <c r="C2086" t="s">
        <v>170</v>
      </c>
      <c r="D2086" s="94" t="s">
        <v>437</v>
      </c>
      <c r="E2086" t="s">
        <v>17</v>
      </c>
      <c r="F2086" t="s">
        <v>558</v>
      </c>
      <c r="G2086" s="50" t="s">
        <v>559</v>
      </c>
      <c r="H2086" s="50">
        <v>2</v>
      </c>
      <c r="I2086" s="100">
        <v>6.7391919697301583</v>
      </c>
      <c r="J2086" s="52">
        <v>3834.68</v>
      </c>
      <c r="K2086" s="67">
        <f t="shared" si="132"/>
        <v>44630.247332111321</v>
      </c>
      <c r="L2086" s="95">
        <f>+VLOOKUP(E2086,MARGEN!A:B,2,FALSE)</f>
        <v>0.1</v>
      </c>
      <c r="M2086" s="112">
        <f t="shared" si="129"/>
        <v>4463.0247332111321</v>
      </c>
      <c r="N2086" s="113">
        <f t="shared" si="130"/>
        <v>178.5209893284453</v>
      </c>
      <c r="O2086" s="113">
        <f t="shared" si="131"/>
        <v>39988.701609571741</v>
      </c>
    </row>
    <row r="2087" spans="1:15" x14ac:dyDescent="0.25">
      <c r="A2087" s="13">
        <v>44445</v>
      </c>
      <c r="B2087" s="97">
        <v>1703</v>
      </c>
      <c r="C2087" t="s">
        <v>296</v>
      </c>
      <c r="D2087" s="94" t="s">
        <v>498</v>
      </c>
      <c r="E2087" t="s">
        <v>17</v>
      </c>
      <c r="F2087" t="s">
        <v>558</v>
      </c>
      <c r="G2087" s="50" t="s">
        <v>559</v>
      </c>
      <c r="H2087" s="50">
        <v>2</v>
      </c>
      <c r="I2087" s="100">
        <v>6.7391919697301583</v>
      </c>
      <c r="J2087" s="52">
        <v>3834.68</v>
      </c>
      <c r="K2087" s="67">
        <f t="shared" si="132"/>
        <v>44010.023860211688</v>
      </c>
      <c r="L2087" s="95">
        <f>+VLOOKUP(E2087,MARGEN!A:B,2,FALSE)</f>
        <v>0.1</v>
      </c>
      <c r="M2087" s="112">
        <f t="shared" si="129"/>
        <v>4401.0023860211686</v>
      </c>
      <c r="N2087" s="113">
        <f t="shared" si="130"/>
        <v>176.04009544084676</v>
      </c>
      <c r="O2087" s="113">
        <f t="shared" si="131"/>
        <v>39432.981378749675</v>
      </c>
    </row>
    <row r="2088" spans="1:15" x14ac:dyDescent="0.25">
      <c r="A2088" s="13">
        <v>44445</v>
      </c>
      <c r="B2088" s="97">
        <v>1679</v>
      </c>
      <c r="C2088" t="s">
        <v>121</v>
      </c>
      <c r="D2088" s="94" t="s">
        <v>381</v>
      </c>
      <c r="E2088" t="s">
        <v>17</v>
      </c>
      <c r="F2088" t="s">
        <v>558</v>
      </c>
      <c r="G2088" s="50" t="s">
        <v>559</v>
      </c>
      <c r="H2088" s="50">
        <v>2</v>
      </c>
      <c r="I2088" s="100">
        <v>6.7391919697301583</v>
      </c>
      <c r="J2088" s="52">
        <v>3834.68</v>
      </c>
      <c r="K2088" s="67">
        <f t="shared" si="132"/>
        <v>43389.800388312047</v>
      </c>
      <c r="L2088" s="95">
        <f>+VLOOKUP(E2088,MARGEN!A:B,2,FALSE)</f>
        <v>0.1</v>
      </c>
      <c r="M2088" s="112">
        <f t="shared" si="129"/>
        <v>4338.9800388312051</v>
      </c>
      <c r="N2088" s="113">
        <f t="shared" si="130"/>
        <v>173.55920155324819</v>
      </c>
      <c r="O2088" s="113">
        <f t="shared" si="131"/>
        <v>38877.261147927595</v>
      </c>
    </row>
    <row r="2089" spans="1:15" x14ac:dyDescent="0.25">
      <c r="A2089" s="13">
        <v>44445</v>
      </c>
      <c r="B2089" s="97">
        <v>1679</v>
      </c>
      <c r="C2089" s="88" t="s">
        <v>194</v>
      </c>
      <c r="D2089" t="s">
        <v>417</v>
      </c>
      <c r="E2089" t="s">
        <v>17</v>
      </c>
      <c r="F2089" t="s">
        <v>558</v>
      </c>
      <c r="G2089" s="50" t="s">
        <v>559</v>
      </c>
      <c r="H2089" s="50">
        <v>2</v>
      </c>
      <c r="I2089" s="100">
        <v>6.7391919697301583</v>
      </c>
      <c r="J2089" s="52">
        <v>3834.68</v>
      </c>
      <c r="K2089" s="67">
        <f t="shared" si="132"/>
        <v>43389.800388312047</v>
      </c>
      <c r="L2089" s="95">
        <f>+VLOOKUP(E2089,MARGEN!A:B,2,FALSE)</f>
        <v>0.1</v>
      </c>
      <c r="M2089" s="112">
        <f t="shared" si="129"/>
        <v>4338.9800388312051</v>
      </c>
      <c r="N2089" s="113">
        <f t="shared" si="130"/>
        <v>173.55920155324819</v>
      </c>
      <c r="O2089" s="113">
        <f t="shared" si="131"/>
        <v>38877.261147927595</v>
      </c>
    </row>
    <row r="2090" spans="1:15" x14ac:dyDescent="0.25">
      <c r="A2090" s="13">
        <v>44445</v>
      </c>
      <c r="B2090" s="97">
        <v>1631</v>
      </c>
      <c r="C2090" t="s">
        <v>196</v>
      </c>
      <c r="D2090" s="94" t="s">
        <v>413</v>
      </c>
      <c r="E2090" t="s">
        <v>17</v>
      </c>
      <c r="F2090" t="s">
        <v>558</v>
      </c>
      <c r="G2090" s="50" t="s">
        <v>559</v>
      </c>
      <c r="H2090" s="50">
        <v>2</v>
      </c>
      <c r="I2090" s="100">
        <v>6.7391919697301583</v>
      </c>
      <c r="J2090" s="52">
        <v>3834.68</v>
      </c>
      <c r="K2090" s="67">
        <f t="shared" si="132"/>
        <v>42149.353444512773</v>
      </c>
      <c r="L2090" s="95">
        <f>+VLOOKUP(E2090,MARGEN!A:B,2,FALSE)</f>
        <v>0.1</v>
      </c>
      <c r="M2090" s="112">
        <f t="shared" si="129"/>
        <v>4214.9353444512772</v>
      </c>
      <c r="N2090" s="113">
        <f t="shared" si="130"/>
        <v>168.59741377805111</v>
      </c>
      <c r="O2090" s="113">
        <f t="shared" si="131"/>
        <v>37765.820686283449</v>
      </c>
    </row>
    <row r="2091" spans="1:15" x14ac:dyDescent="0.25">
      <c r="A2091" s="13">
        <v>44445</v>
      </c>
      <c r="B2091" s="97">
        <v>1631</v>
      </c>
      <c r="C2091" t="s">
        <v>209</v>
      </c>
      <c r="D2091" s="94" t="s">
        <v>441</v>
      </c>
      <c r="E2091" t="s">
        <v>17</v>
      </c>
      <c r="F2091" t="s">
        <v>558</v>
      </c>
      <c r="G2091" s="50" t="s">
        <v>559</v>
      </c>
      <c r="H2091" s="50">
        <v>2</v>
      </c>
      <c r="I2091" s="100">
        <v>6.7391919697301583</v>
      </c>
      <c r="J2091" s="52">
        <v>3834.68</v>
      </c>
      <c r="K2091" s="67">
        <f t="shared" si="132"/>
        <v>42149.353444512773</v>
      </c>
      <c r="L2091" s="95">
        <f>+VLOOKUP(E2091,MARGEN!A:B,2,FALSE)</f>
        <v>0.1</v>
      </c>
      <c r="M2091" s="112">
        <f t="shared" si="129"/>
        <v>4214.9353444512772</v>
      </c>
      <c r="N2091" s="113">
        <f t="shared" si="130"/>
        <v>168.59741377805111</v>
      </c>
      <c r="O2091" s="113">
        <f t="shared" si="131"/>
        <v>37765.820686283449</v>
      </c>
    </row>
    <row r="2092" spans="1:15" x14ac:dyDescent="0.25">
      <c r="A2092" s="13">
        <v>44445</v>
      </c>
      <c r="B2092" s="97">
        <v>1607</v>
      </c>
      <c r="C2092" s="88" t="s">
        <v>180</v>
      </c>
      <c r="D2092" t="s">
        <v>447</v>
      </c>
      <c r="E2092" t="s">
        <v>17</v>
      </c>
      <c r="F2092" t="s">
        <v>558</v>
      </c>
      <c r="G2092" s="50" t="s">
        <v>559</v>
      </c>
      <c r="H2092" s="50">
        <v>2</v>
      </c>
      <c r="I2092" s="100">
        <v>6.7391919697301583</v>
      </c>
      <c r="J2092" s="52">
        <v>3834.68</v>
      </c>
      <c r="K2092" s="67">
        <f t="shared" si="132"/>
        <v>41529.12997261314</v>
      </c>
      <c r="L2092" s="95">
        <f>+VLOOKUP(E2092,MARGEN!A:B,2,FALSE)</f>
        <v>0.1</v>
      </c>
      <c r="M2092" s="112">
        <f t="shared" si="129"/>
        <v>4152.9129972613146</v>
      </c>
      <c r="N2092" s="113">
        <f t="shared" si="130"/>
        <v>166.11651989045257</v>
      </c>
      <c r="O2092" s="113">
        <f t="shared" si="131"/>
        <v>37210.100455461376</v>
      </c>
    </row>
    <row r="2093" spans="1:15" x14ac:dyDescent="0.25">
      <c r="A2093" s="13">
        <v>44445</v>
      </c>
      <c r="B2093" s="97">
        <v>1559</v>
      </c>
      <c r="C2093" t="s">
        <v>176</v>
      </c>
      <c r="D2093" s="94" t="s">
        <v>430</v>
      </c>
      <c r="E2093" t="s">
        <v>17</v>
      </c>
      <c r="F2093" t="s">
        <v>562</v>
      </c>
      <c r="G2093" s="50" t="s">
        <v>559</v>
      </c>
      <c r="H2093" s="50">
        <v>2</v>
      </c>
      <c r="I2093" s="100">
        <v>6.7391919697301583</v>
      </c>
      <c r="J2093" s="52">
        <v>3834.68</v>
      </c>
      <c r="K2093" s="67">
        <f t="shared" si="132"/>
        <v>40288.683028813866</v>
      </c>
      <c r="L2093" s="95">
        <f>+VLOOKUP(E2093,MARGEN!A:B,2,FALSE)</f>
        <v>0.1</v>
      </c>
      <c r="M2093" s="112">
        <f t="shared" si="129"/>
        <v>4028.8683028813866</v>
      </c>
      <c r="N2093" s="113">
        <f t="shared" si="130"/>
        <v>161.15473211525546</v>
      </c>
      <c r="O2093" s="113">
        <f t="shared" si="131"/>
        <v>36098.659993817222</v>
      </c>
    </row>
    <row r="2094" spans="1:15" x14ac:dyDescent="0.25">
      <c r="A2094" s="13">
        <v>44445</v>
      </c>
      <c r="B2094" s="97">
        <v>1535</v>
      </c>
      <c r="C2094" t="s">
        <v>137</v>
      </c>
      <c r="D2094" s="94" t="s">
        <v>418</v>
      </c>
      <c r="E2094" t="s">
        <v>17</v>
      </c>
      <c r="F2094" t="s">
        <v>558</v>
      </c>
      <c r="G2094" s="50" t="s">
        <v>559</v>
      </c>
      <c r="H2094" s="50">
        <v>2</v>
      </c>
      <c r="I2094" s="100">
        <v>6.7391919697301583</v>
      </c>
      <c r="J2094" s="52">
        <v>3834.68</v>
      </c>
      <c r="K2094" s="67">
        <f t="shared" si="132"/>
        <v>39668.459556914233</v>
      </c>
      <c r="L2094" s="95">
        <f>+VLOOKUP(E2094,MARGEN!A:B,2,FALSE)</f>
        <v>0.1</v>
      </c>
      <c r="M2094" s="112">
        <f t="shared" si="129"/>
        <v>3966.8459556914236</v>
      </c>
      <c r="N2094" s="113">
        <f t="shared" si="130"/>
        <v>158.67383822765694</v>
      </c>
      <c r="O2094" s="113">
        <f t="shared" si="131"/>
        <v>35542.939762995149</v>
      </c>
    </row>
    <row r="2095" spans="1:15" x14ac:dyDescent="0.25">
      <c r="A2095" s="13">
        <v>44445</v>
      </c>
      <c r="B2095" s="97">
        <v>1487</v>
      </c>
      <c r="C2095" t="s">
        <v>169</v>
      </c>
      <c r="D2095" s="94" t="s">
        <v>351</v>
      </c>
      <c r="E2095" t="s">
        <v>17</v>
      </c>
      <c r="F2095" t="s">
        <v>558</v>
      </c>
      <c r="G2095" s="50" t="s">
        <v>559</v>
      </c>
      <c r="H2095" s="50">
        <v>2</v>
      </c>
      <c r="I2095" s="100">
        <v>6.7391919697301583</v>
      </c>
      <c r="J2095" s="52">
        <v>3834.68</v>
      </c>
      <c r="K2095" s="67">
        <f t="shared" si="132"/>
        <v>38428.012613114959</v>
      </c>
      <c r="L2095" s="95">
        <f>+VLOOKUP(E2095,MARGEN!A:B,2,FALSE)</f>
        <v>0.1</v>
      </c>
      <c r="M2095" s="112">
        <f t="shared" si="129"/>
        <v>3842.8012613114961</v>
      </c>
      <c r="N2095" s="113">
        <f t="shared" si="130"/>
        <v>153.71205045245983</v>
      </c>
      <c r="O2095" s="113">
        <f t="shared" si="131"/>
        <v>34431.499301351003</v>
      </c>
    </row>
    <row r="2096" spans="1:15" x14ac:dyDescent="0.25">
      <c r="A2096" s="13">
        <v>44445</v>
      </c>
      <c r="B2096" s="97">
        <v>1463</v>
      </c>
      <c r="C2096" t="s">
        <v>119</v>
      </c>
      <c r="D2096" s="94" t="s">
        <v>377</v>
      </c>
      <c r="E2096" t="s">
        <v>17</v>
      </c>
      <c r="F2096" t="s">
        <v>558</v>
      </c>
      <c r="G2096" s="50" t="s">
        <v>559</v>
      </c>
      <c r="H2096" s="50">
        <v>2</v>
      </c>
      <c r="I2096" s="100">
        <v>6.7391919697301583</v>
      </c>
      <c r="J2096" s="52">
        <v>3834.68</v>
      </c>
      <c r="K2096" s="67">
        <f t="shared" si="132"/>
        <v>37807.789141215326</v>
      </c>
      <c r="L2096" s="95">
        <f>+VLOOKUP(E2096,MARGEN!A:B,2,FALSE)</f>
        <v>0.1</v>
      </c>
      <c r="M2096" s="112">
        <f t="shared" si="129"/>
        <v>3780.7789141215326</v>
      </c>
      <c r="N2096" s="113">
        <f t="shared" si="130"/>
        <v>151.23115656486129</v>
      </c>
      <c r="O2096" s="113">
        <f t="shared" si="131"/>
        <v>33875.77907052893</v>
      </c>
    </row>
    <row r="2097" spans="1:15" x14ac:dyDescent="0.25">
      <c r="A2097" s="13">
        <v>44445</v>
      </c>
      <c r="B2097" s="97">
        <v>1463</v>
      </c>
      <c r="C2097" t="s">
        <v>297</v>
      </c>
      <c r="D2097" t="s">
        <v>526</v>
      </c>
      <c r="E2097" t="s">
        <v>17</v>
      </c>
      <c r="F2097" t="s">
        <v>558</v>
      </c>
      <c r="G2097" s="50" t="s">
        <v>559</v>
      </c>
      <c r="H2097" s="50">
        <v>2</v>
      </c>
      <c r="I2097" s="100">
        <v>6.7391919697301583</v>
      </c>
      <c r="J2097" s="52">
        <v>3834.68</v>
      </c>
      <c r="K2097" s="67">
        <f t="shared" si="132"/>
        <v>37807.789141215326</v>
      </c>
      <c r="L2097" s="95">
        <f>+VLOOKUP(E2097,MARGEN!A:B,2,FALSE)</f>
        <v>0.1</v>
      </c>
      <c r="M2097" s="112">
        <f t="shared" si="129"/>
        <v>3780.7789141215326</v>
      </c>
      <c r="N2097" s="113">
        <f t="shared" si="130"/>
        <v>151.23115656486129</v>
      </c>
      <c r="O2097" s="113">
        <f t="shared" si="131"/>
        <v>33875.77907052893</v>
      </c>
    </row>
    <row r="2098" spans="1:15" x14ac:dyDescent="0.25">
      <c r="A2098" s="13">
        <v>44445</v>
      </c>
      <c r="B2098" s="97">
        <v>1439</v>
      </c>
      <c r="C2098" s="88" t="s">
        <v>168</v>
      </c>
      <c r="D2098" t="s">
        <v>352</v>
      </c>
      <c r="E2098" t="s">
        <v>17</v>
      </c>
      <c r="F2098" t="s">
        <v>558</v>
      </c>
      <c r="G2098" s="50" t="s">
        <v>559</v>
      </c>
      <c r="H2098" s="50">
        <v>2</v>
      </c>
      <c r="I2098" s="100">
        <v>6.7391919697301583</v>
      </c>
      <c r="J2098" s="52">
        <v>3834.68</v>
      </c>
      <c r="K2098" s="67">
        <f t="shared" si="132"/>
        <v>37187.565669315685</v>
      </c>
      <c r="L2098" s="95">
        <f>+VLOOKUP(E2098,MARGEN!A:B,2,FALSE)</f>
        <v>0.1</v>
      </c>
      <c r="M2098" s="112">
        <f t="shared" si="129"/>
        <v>3718.7565669315686</v>
      </c>
      <c r="N2098" s="113">
        <f t="shared" si="130"/>
        <v>148.75026267726275</v>
      </c>
      <c r="O2098" s="113">
        <f t="shared" si="131"/>
        <v>33320.058839706857</v>
      </c>
    </row>
    <row r="2099" spans="1:15" x14ac:dyDescent="0.25">
      <c r="A2099" s="13">
        <v>44445</v>
      </c>
      <c r="B2099" s="97">
        <v>1391</v>
      </c>
      <c r="C2099" t="s">
        <v>210</v>
      </c>
      <c r="D2099" s="94" t="s">
        <v>402</v>
      </c>
      <c r="E2099" t="s">
        <v>17</v>
      </c>
      <c r="F2099" t="s">
        <v>558</v>
      </c>
      <c r="G2099" s="50" t="s">
        <v>559</v>
      </c>
      <c r="H2099" s="50">
        <v>2</v>
      </c>
      <c r="I2099" s="100">
        <v>6.7391919697301583</v>
      </c>
      <c r="J2099" s="52">
        <v>3834.68</v>
      </c>
      <c r="K2099" s="67">
        <f t="shared" si="132"/>
        <v>35947.118725516419</v>
      </c>
      <c r="L2099" s="95">
        <f>+VLOOKUP(E2099,MARGEN!A:B,2,FALSE)</f>
        <v>0.1</v>
      </c>
      <c r="M2099" s="112">
        <f t="shared" si="129"/>
        <v>3594.711872551642</v>
      </c>
      <c r="N2099" s="113">
        <f t="shared" si="130"/>
        <v>143.78847490206567</v>
      </c>
      <c r="O2099" s="113">
        <f t="shared" si="131"/>
        <v>32208.618378062711</v>
      </c>
    </row>
    <row r="2100" spans="1:15" x14ac:dyDescent="0.25">
      <c r="A2100" s="13">
        <v>44445</v>
      </c>
      <c r="B2100" s="51">
        <v>1367</v>
      </c>
      <c r="C2100" s="66" t="s">
        <v>173</v>
      </c>
      <c r="D2100" s="66" t="s">
        <v>451</v>
      </c>
      <c r="E2100" t="s">
        <v>17</v>
      </c>
      <c r="F2100" s="50" t="s">
        <v>558</v>
      </c>
      <c r="G2100" s="50" t="s">
        <v>559</v>
      </c>
      <c r="H2100" s="50">
        <v>2</v>
      </c>
      <c r="I2100" s="100">
        <v>6.7391919697301583</v>
      </c>
      <c r="J2100" s="52">
        <v>3834.68</v>
      </c>
      <c r="K2100" s="67">
        <f t="shared" si="132"/>
        <v>35326.895253616778</v>
      </c>
      <c r="L2100" s="95">
        <f>+VLOOKUP(E2100,MARGEN!A:B,2,FALSE)</f>
        <v>0.1</v>
      </c>
      <c r="M2100" s="112">
        <f t="shared" si="129"/>
        <v>3532.6895253616781</v>
      </c>
      <c r="N2100" s="113">
        <f t="shared" si="130"/>
        <v>141.3075810144671</v>
      </c>
      <c r="O2100" s="113">
        <f t="shared" si="131"/>
        <v>31652.898147240634</v>
      </c>
    </row>
    <row r="2101" spans="1:15" x14ac:dyDescent="0.25">
      <c r="A2101" s="13">
        <v>44445</v>
      </c>
      <c r="B2101" s="51">
        <v>1343</v>
      </c>
      <c r="C2101" s="66" t="s">
        <v>292</v>
      </c>
      <c r="D2101" s="66" t="s">
        <v>535</v>
      </c>
      <c r="E2101" t="s">
        <v>17</v>
      </c>
      <c r="F2101" s="50" t="s">
        <v>558</v>
      </c>
      <c r="G2101" s="50" t="s">
        <v>559</v>
      </c>
      <c r="H2101" s="50">
        <v>2</v>
      </c>
      <c r="I2101" s="100">
        <v>6.7391919697301583</v>
      </c>
      <c r="J2101" s="52">
        <v>3834.68</v>
      </c>
      <c r="K2101" s="67">
        <f t="shared" si="132"/>
        <v>34706.671781717145</v>
      </c>
      <c r="L2101" s="95">
        <f>+VLOOKUP(E2101,MARGEN!A:B,2,FALSE)</f>
        <v>0.1</v>
      </c>
      <c r="M2101" s="112">
        <f t="shared" si="129"/>
        <v>3470.6671781717146</v>
      </c>
      <c r="N2101" s="113">
        <f t="shared" si="130"/>
        <v>138.82668712686859</v>
      </c>
      <c r="O2101" s="113">
        <f t="shared" si="131"/>
        <v>31097.177916418561</v>
      </c>
    </row>
    <row r="2102" spans="1:15" x14ac:dyDescent="0.25">
      <c r="A2102" s="13">
        <v>44445</v>
      </c>
      <c r="B2102" s="97">
        <v>1319</v>
      </c>
      <c r="C2102" t="s">
        <v>298</v>
      </c>
      <c r="D2102" s="94" t="s">
        <v>536</v>
      </c>
      <c r="E2102" t="s">
        <v>17</v>
      </c>
      <c r="F2102" t="s">
        <v>558</v>
      </c>
      <c r="G2102" s="50" t="s">
        <v>559</v>
      </c>
      <c r="H2102" s="50">
        <v>2</v>
      </c>
      <c r="I2102" s="100">
        <v>6.7391919697301583</v>
      </c>
      <c r="J2102" s="52">
        <v>3834.68</v>
      </c>
      <c r="K2102" s="67">
        <f t="shared" si="132"/>
        <v>34086.448309817511</v>
      </c>
      <c r="L2102" s="95">
        <f>+VLOOKUP(E2102,MARGEN!A:B,2,FALSE)</f>
        <v>0.1</v>
      </c>
      <c r="M2102" s="112">
        <f t="shared" si="129"/>
        <v>3408.6448309817515</v>
      </c>
      <c r="N2102" s="113">
        <f t="shared" si="130"/>
        <v>136.34579323927005</v>
      </c>
      <c r="O2102" s="113">
        <f t="shared" si="131"/>
        <v>30541.457685596492</v>
      </c>
    </row>
    <row r="2103" spans="1:15" x14ac:dyDescent="0.25">
      <c r="A2103" s="13">
        <v>44445</v>
      </c>
      <c r="B2103" s="97">
        <v>1295</v>
      </c>
      <c r="C2103" t="s">
        <v>151</v>
      </c>
      <c r="D2103" s="94" t="s">
        <v>394</v>
      </c>
      <c r="E2103" t="s">
        <v>17</v>
      </c>
      <c r="F2103" t="s">
        <v>558</v>
      </c>
      <c r="G2103" s="50" t="s">
        <v>559</v>
      </c>
      <c r="H2103" s="50">
        <v>2</v>
      </c>
      <c r="I2103" s="100">
        <v>6.7391919697301583</v>
      </c>
      <c r="J2103" s="52">
        <v>3834.68</v>
      </c>
      <c r="K2103" s="67">
        <f t="shared" si="132"/>
        <v>33466.224837917871</v>
      </c>
      <c r="L2103" s="95">
        <f>+VLOOKUP(E2103,MARGEN!A:B,2,FALSE)</f>
        <v>0.1</v>
      </c>
      <c r="M2103" s="112">
        <f t="shared" si="129"/>
        <v>3346.6224837917871</v>
      </c>
      <c r="N2103" s="113">
        <f t="shared" si="130"/>
        <v>133.86489935167148</v>
      </c>
      <c r="O2103" s="113">
        <f t="shared" si="131"/>
        <v>29985.737454774411</v>
      </c>
    </row>
    <row r="2104" spans="1:15" x14ac:dyDescent="0.25">
      <c r="A2104" s="13">
        <v>44445</v>
      </c>
      <c r="B2104" s="97">
        <v>1295</v>
      </c>
      <c r="C2104" t="s">
        <v>302</v>
      </c>
      <c r="D2104" s="94" t="s">
        <v>538</v>
      </c>
      <c r="E2104" t="s">
        <v>17</v>
      </c>
      <c r="F2104" t="s">
        <v>558</v>
      </c>
      <c r="G2104" s="50" t="s">
        <v>559</v>
      </c>
      <c r="H2104" s="50">
        <v>2</v>
      </c>
      <c r="I2104" s="100">
        <v>6.7391919697301583</v>
      </c>
      <c r="J2104" s="52">
        <v>3834.68</v>
      </c>
      <c r="K2104" s="67">
        <f t="shared" si="132"/>
        <v>33466.224837917871</v>
      </c>
      <c r="L2104" s="95">
        <f>+VLOOKUP(E2104,MARGEN!A:B,2,FALSE)</f>
        <v>0.1</v>
      </c>
      <c r="M2104" s="112">
        <f t="shared" si="129"/>
        <v>3346.6224837917871</v>
      </c>
      <c r="N2104" s="113">
        <f t="shared" si="130"/>
        <v>133.86489935167148</v>
      </c>
      <c r="O2104" s="113">
        <f t="shared" si="131"/>
        <v>29985.737454774411</v>
      </c>
    </row>
    <row r="2105" spans="1:15" x14ac:dyDescent="0.25">
      <c r="A2105" s="13">
        <v>44445</v>
      </c>
      <c r="B2105" s="97">
        <v>1271</v>
      </c>
      <c r="C2105" t="s">
        <v>183</v>
      </c>
      <c r="D2105" s="94" t="s">
        <v>390</v>
      </c>
      <c r="E2105" t="s">
        <v>17</v>
      </c>
      <c r="F2105" t="s">
        <v>558</v>
      </c>
      <c r="G2105" s="50" t="s">
        <v>559</v>
      </c>
      <c r="H2105" s="50">
        <v>2</v>
      </c>
      <c r="I2105" s="100">
        <v>6.7391919697301583</v>
      </c>
      <c r="J2105" s="52">
        <v>3834.68</v>
      </c>
      <c r="K2105" s="67">
        <f t="shared" si="132"/>
        <v>32846.00136601823</v>
      </c>
      <c r="L2105" s="95">
        <f>+VLOOKUP(E2105,MARGEN!A:B,2,FALSE)</f>
        <v>0.1</v>
      </c>
      <c r="M2105" s="112">
        <f t="shared" si="129"/>
        <v>3284.6001366018231</v>
      </c>
      <c r="N2105" s="113">
        <f t="shared" si="130"/>
        <v>131.38400546407291</v>
      </c>
      <c r="O2105" s="113">
        <f t="shared" si="131"/>
        <v>29430.017223952334</v>
      </c>
    </row>
    <row r="2106" spans="1:15" x14ac:dyDescent="0.25">
      <c r="A2106" s="13">
        <v>44445</v>
      </c>
      <c r="B2106" s="97">
        <v>1199</v>
      </c>
      <c r="C2106" t="s">
        <v>199</v>
      </c>
      <c r="D2106" s="94" t="s">
        <v>414</v>
      </c>
      <c r="E2106" t="s">
        <v>17</v>
      </c>
      <c r="F2106" t="s">
        <v>558</v>
      </c>
      <c r="G2106" s="50" t="s">
        <v>559</v>
      </c>
      <c r="H2106" s="50">
        <v>2</v>
      </c>
      <c r="I2106" s="100">
        <v>6.7391919697301583</v>
      </c>
      <c r="J2106" s="52">
        <v>3834.68</v>
      </c>
      <c r="K2106" s="67">
        <f t="shared" si="132"/>
        <v>30985.330950319327</v>
      </c>
      <c r="L2106" s="95">
        <f>+VLOOKUP(E2106,MARGEN!A:B,2,FALSE)</f>
        <v>0.1</v>
      </c>
      <c r="M2106" s="112">
        <f t="shared" si="129"/>
        <v>3098.533095031933</v>
      </c>
      <c r="N2106" s="113">
        <f t="shared" si="130"/>
        <v>123.94132380127731</v>
      </c>
      <c r="O2106" s="113">
        <f t="shared" si="131"/>
        <v>27762.856531486115</v>
      </c>
    </row>
    <row r="2107" spans="1:15" x14ac:dyDescent="0.25">
      <c r="A2107" s="13">
        <v>44445</v>
      </c>
      <c r="B2107" s="97">
        <v>1151</v>
      </c>
      <c r="C2107" t="s">
        <v>184</v>
      </c>
      <c r="D2107" s="94" t="s">
        <v>443</v>
      </c>
      <c r="E2107" t="s">
        <v>17</v>
      </c>
      <c r="F2107" t="s">
        <v>558</v>
      </c>
      <c r="G2107" s="50" t="s">
        <v>559</v>
      </c>
      <c r="H2107" s="50">
        <v>2</v>
      </c>
      <c r="I2107" s="100">
        <v>6.7391919697301583</v>
      </c>
      <c r="J2107" s="52">
        <v>3834.68</v>
      </c>
      <c r="K2107" s="67">
        <f t="shared" si="132"/>
        <v>29744.884006520053</v>
      </c>
      <c r="L2107" s="95">
        <f>+VLOOKUP(E2107,MARGEN!A:B,2,FALSE)</f>
        <v>0.1</v>
      </c>
      <c r="M2107" s="112">
        <f t="shared" si="129"/>
        <v>2974.4884006520056</v>
      </c>
      <c r="N2107" s="113">
        <f t="shared" si="130"/>
        <v>118.97953602608021</v>
      </c>
      <c r="O2107" s="113">
        <f t="shared" si="131"/>
        <v>26651.416069841969</v>
      </c>
    </row>
    <row r="2108" spans="1:15" x14ac:dyDescent="0.25">
      <c r="A2108" s="13">
        <v>44445</v>
      </c>
      <c r="B2108" s="97">
        <v>743</v>
      </c>
      <c r="C2108" s="88" t="s">
        <v>181</v>
      </c>
      <c r="D2108" t="s">
        <v>415</v>
      </c>
      <c r="E2108" t="s">
        <v>17</v>
      </c>
      <c r="F2108" t="s">
        <v>558</v>
      </c>
      <c r="G2108" s="50" t="s">
        <v>559</v>
      </c>
      <c r="H2108" s="50">
        <v>2</v>
      </c>
      <c r="I2108" s="100">
        <v>6.7391919697301583</v>
      </c>
      <c r="J2108" s="52">
        <v>3834.68</v>
      </c>
      <c r="K2108" s="67">
        <f t="shared" si="132"/>
        <v>19201.08498422624</v>
      </c>
      <c r="L2108" s="95">
        <f>+VLOOKUP(E2108,MARGEN!A:B,2,FALSE)</f>
        <v>0.1</v>
      </c>
      <c r="M2108" s="112">
        <f t="shared" si="129"/>
        <v>1920.1084984226241</v>
      </c>
      <c r="N2108" s="113">
        <f t="shared" si="130"/>
        <v>76.804339936904952</v>
      </c>
      <c r="O2108" s="113">
        <f t="shared" si="131"/>
        <v>17204.172145866709</v>
      </c>
    </row>
    <row r="2109" spans="1:15" x14ac:dyDescent="0.25">
      <c r="A2109" s="13">
        <v>44446</v>
      </c>
      <c r="B2109" s="97">
        <v>6767</v>
      </c>
      <c r="C2109" t="s">
        <v>150</v>
      </c>
      <c r="D2109" s="94" t="s">
        <v>357</v>
      </c>
      <c r="E2109" t="s">
        <v>17</v>
      </c>
      <c r="F2109" t="s">
        <v>558</v>
      </c>
      <c r="G2109" s="50" t="s">
        <v>559</v>
      </c>
      <c r="H2109" s="50">
        <v>2</v>
      </c>
      <c r="I2109" s="100">
        <v>6.7391919697301583</v>
      </c>
      <c r="J2109" s="52">
        <v>3834.68</v>
      </c>
      <c r="K2109" s="67">
        <f t="shared" si="132"/>
        <v>174877.17643103495</v>
      </c>
      <c r="L2109" s="95">
        <f>+VLOOKUP(E2109,MARGEN!A:B,2,FALSE)</f>
        <v>0.1</v>
      </c>
      <c r="M2109" s="112">
        <f t="shared" si="129"/>
        <v>17487.717643103497</v>
      </c>
      <c r="N2109" s="113">
        <f t="shared" si="130"/>
        <v>699.50870572413976</v>
      </c>
      <c r="O2109" s="113">
        <f t="shared" si="131"/>
        <v>156689.9500822073</v>
      </c>
    </row>
    <row r="2110" spans="1:15" x14ac:dyDescent="0.25">
      <c r="A2110" s="13">
        <v>44446</v>
      </c>
      <c r="B2110" s="97">
        <v>5974</v>
      </c>
      <c r="C2110" t="s">
        <v>279</v>
      </c>
      <c r="D2110" s="94" t="s">
        <v>493</v>
      </c>
      <c r="E2110" t="s">
        <v>17</v>
      </c>
      <c r="F2110" t="s">
        <v>562</v>
      </c>
      <c r="G2110" s="50" t="s">
        <v>559</v>
      </c>
      <c r="H2110" s="50">
        <v>2</v>
      </c>
      <c r="I2110" s="100">
        <v>6.7391919697301583</v>
      </c>
      <c r="J2110" s="52">
        <v>3834.68</v>
      </c>
      <c r="K2110" s="67">
        <f t="shared" si="132"/>
        <v>154383.95921368443</v>
      </c>
      <c r="L2110" s="95">
        <f>+VLOOKUP(E2110,MARGEN!A:B,2,FALSE)</f>
        <v>0.1</v>
      </c>
      <c r="M2110" s="112">
        <f t="shared" si="129"/>
        <v>15438.395921368443</v>
      </c>
      <c r="N2110" s="113">
        <f t="shared" si="130"/>
        <v>617.53583685473768</v>
      </c>
      <c r="O2110" s="113">
        <f t="shared" si="131"/>
        <v>138328.02745546124</v>
      </c>
    </row>
    <row r="2111" spans="1:15" x14ac:dyDescent="0.25">
      <c r="A2111" s="13">
        <v>44446</v>
      </c>
      <c r="B2111" s="97">
        <v>5254</v>
      </c>
      <c r="C2111" t="s">
        <v>278</v>
      </c>
      <c r="D2111" s="94" t="s">
        <v>453</v>
      </c>
      <c r="E2111" t="s">
        <v>17</v>
      </c>
      <c r="F2111" t="s">
        <v>562</v>
      </c>
      <c r="G2111" s="50" t="s">
        <v>559</v>
      </c>
      <c r="H2111" s="50">
        <v>2</v>
      </c>
      <c r="I2111" s="100">
        <v>6.7391919697301583</v>
      </c>
      <c r="J2111" s="52">
        <v>3834.68</v>
      </c>
      <c r="K2111" s="67">
        <f t="shared" si="132"/>
        <v>135777.25505669537</v>
      </c>
      <c r="L2111" s="95">
        <f>+VLOOKUP(E2111,MARGEN!A:B,2,FALSE)</f>
        <v>0.1</v>
      </c>
      <c r="M2111" s="112">
        <f t="shared" si="129"/>
        <v>13577.725505669538</v>
      </c>
      <c r="N2111" s="113">
        <f t="shared" si="130"/>
        <v>543.10902022678147</v>
      </c>
      <c r="O2111" s="113">
        <f t="shared" si="131"/>
        <v>121656.42053079905</v>
      </c>
    </row>
    <row r="2112" spans="1:15" x14ac:dyDescent="0.25">
      <c r="A2112" s="13">
        <v>44446</v>
      </c>
      <c r="B2112" s="97">
        <v>4271</v>
      </c>
      <c r="C2112" t="s">
        <v>193</v>
      </c>
      <c r="D2112" s="94" t="s">
        <v>380</v>
      </c>
      <c r="E2112" t="s">
        <v>17</v>
      </c>
      <c r="F2112" t="s">
        <v>562</v>
      </c>
      <c r="G2112" s="50" t="s">
        <v>559</v>
      </c>
      <c r="H2112" s="50">
        <v>2</v>
      </c>
      <c r="I2112" s="100">
        <v>6.7391919697301583</v>
      </c>
      <c r="J2112" s="52">
        <v>3834.68</v>
      </c>
      <c r="K2112" s="67">
        <f t="shared" si="132"/>
        <v>110373.93535347277</v>
      </c>
      <c r="L2112" s="95">
        <f>+VLOOKUP(E2112,MARGEN!A:B,2,FALSE)</f>
        <v>0.1</v>
      </c>
      <c r="M2112" s="112">
        <f t="shared" si="129"/>
        <v>11037.393535347277</v>
      </c>
      <c r="N2112" s="113">
        <f t="shared" si="130"/>
        <v>441.4957414138911</v>
      </c>
      <c r="O2112" s="113">
        <f t="shared" si="131"/>
        <v>98895.046076711602</v>
      </c>
    </row>
    <row r="2113" spans="1:15" x14ac:dyDescent="0.25">
      <c r="A2113" s="13">
        <v>44446</v>
      </c>
      <c r="B2113" s="97">
        <v>3623</v>
      </c>
      <c r="C2113" t="s">
        <v>149</v>
      </c>
      <c r="D2113" s="94" t="s">
        <v>325</v>
      </c>
      <c r="E2113" t="s">
        <v>17</v>
      </c>
      <c r="F2113" t="s">
        <v>562</v>
      </c>
      <c r="G2113" s="50" t="s">
        <v>559</v>
      </c>
      <c r="H2113" s="50">
        <v>2</v>
      </c>
      <c r="I2113" s="100">
        <v>6.7391919697301583</v>
      </c>
      <c r="J2113" s="52">
        <v>3834.68</v>
      </c>
      <c r="K2113" s="67">
        <f t="shared" si="132"/>
        <v>93627.901612182584</v>
      </c>
      <c r="L2113" s="95">
        <f>+VLOOKUP(E2113,MARGEN!A:B,2,FALSE)</f>
        <v>0.1</v>
      </c>
      <c r="M2113" s="112">
        <f t="shared" si="129"/>
        <v>9362.7901612182595</v>
      </c>
      <c r="N2113" s="113">
        <f t="shared" si="130"/>
        <v>374.51160644873033</v>
      </c>
      <c r="O2113" s="113">
        <f t="shared" si="131"/>
        <v>83890.599844515586</v>
      </c>
    </row>
    <row r="2114" spans="1:15" x14ac:dyDescent="0.25">
      <c r="A2114" s="13">
        <v>44446</v>
      </c>
      <c r="B2114" s="97">
        <v>3599</v>
      </c>
      <c r="C2114" t="s">
        <v>192</v>
      </c>
      <c r="D2114" t="s">
        <v>347</v>
      </c>
      <c r="E2114" t="s">
        <v>17</v>
      </c>
      <c r="F2114" t="s">
        <v>562</v>
      </c>
      <c r="G2114" s="50" t="s">
        <v>559</v>
      </c>
      <c r="H2114" s="50">
        <v>2</v>
      </c>
      <c r="I2114" s="100">
        <v>6.7391919697301583</v>
      </c>
      <c r="J2114" s="52">
        <v>3834.68</v>
      </c>
      <c r="K2114" s="67">
        <f t="shared" si="132"/>
        <v>93007.678140282951</v>
      </c>
      <c r="L2114" s="95">
        <f>+VLOOKUP(E2114,MARGEN!A:B,2,FALSE)</f>
        <v>0.1</v>
      </c>
      <c r="M2114" s="112">
        <f t="shared" si="129"/>
        <v>9300.7678140282951</v>
      </c>
      <c r="N2114" s="113">
        <f t="shared" si="130"/>
        <v>372.03071256113179</v>
      </c>
      <c r="O2114" s="113">
        <f t="shared" si="131"/>
        <v>83334.879613693527</v>
      </c>
    </row>
    <row r="2115" spans="1:15" x14ac:dyDescent="0.25">
      <c r="A2115" s="13">
        <v>44446</v>
      </c>
      <c r="B2115" s="97">
        <v>3479</v>
      </c>
      <c r="C2115" t="s">
        <v>165</v>
      </c>
      <c r="D2115" s="94" t="s">
        <v>375</v>
      </c>
      <c r="E2115" t="s">
        <v>17</v>
      </c>
      <c r="F2115" t="s">
        <v>558</v>
      </c>
      <c r="G2115" s="50" t="s">
        <v>559</v>
      </c>
      <c r="H2115" s="50">
        <v>2</v>
      </c>
      <c r="I2115" s="100">
        <v>6.7391919697301583</v>
      </c>
      <c r="J2115" s="52">
        <v>3834.68</v>
      </c>
      <c r="K2115" s="67">
        <f t="shared" si="132"/>
        <v>89906.56078078477</v>
      </c>
      <c r="L2115" s="95">
        <f>+VLOOKUP(E2115,MARGEN!A:B,2,FALSE)</f>
        <v>0.1</v>
      </c>
      <c r="M2115" s="112">
        <f t="shared" ref="M2115:M2178" si="133">+K2115*L2115</f>
        <v>8990.6560780784766</v>
      </c>
      <c r="N2115" s="113">
        <f t="shared" ref="N2115:N2178" si="134">+K2115*4/1000</f>
        <v>359.62624312313909</v>
      </c>
      <c r="O2115" s="113">
        <f t="shared" ref="O2115:O2178" si="135">+K2115-M2115-N2115</f>
        <v>80556.278459583147</v>
      </c>
    </row>
    <row r="2116" spans="1:15" x14ac:dyDescent="0.25">
      <c r="A2116" s="13">
        <v>44446</v>
      </c>
      <c r="B2116" s="97">
        <v>3359</v>
      </c>
      <c r="C2116" t="s">
        <v>309</v>
      </c>
      <c r="D2116" s="94" t="s">
        <v>544</v>
      </c>
      <c r="E2116" t="s">
        <v>17</v>
      </c>
      <c r="F2116" t="s">
        <v>558</v>
      </c>
      <c r="G2116" s="50" t="s">
        <v>559</v>
      </c>
      <c r="H2116" s="50">
        <v>2</v>
      </c>
      <c r="I2116" s="100">
        <v>6.7391919697301583</v>
      </c>
      <c r="J2116" s="52">
        <v>3834.68</v>
      </c>
      <c r="K2116" s="67">
        <f t="shared" si="132"/>
        <v>86805.443421286589</v>
      </c>
      <c r="L2116" s="95">
        <f>+VLOOKUP(E2116,MARGEN!A:B,2,FALSE)</f>
        <v>0.1</v>
      </c>
      <c r="M2116" s="112">
        <f t="shared" si="133"/>
        <v>8680.54434212866</v>
      </c>
      <c r="N2116" s="113">
        <f t="shared" si="134"/>
        <v>347.22177368514633</v>
      </c>
      <c r="O2116" s="113">
        <f t="shared" si="135"/>
        <v>77777.677305472782</v>
      </c>
    </row>
    <row r="2117" spans="1:15" x14ac:dyDescent="0.25">
      <c r="A2117" s="13">
        <v>44446</v>
      </c>
      <c r="B2117" s="97">
        <v>2903</v>
      </c>
      <c r="C2117" t="s">
        <v>134</v>
      </c>
      <c r="D2117" s="94" t="s">
        <v>362</v>
      </c>
      <c r="E2117" t="s">
        <v>17</v>
      </c>
      <c r="F2117" t="s">
        <v>558</v>
      </c>
      <c r="G2117" s="50" t="s">
        <v>559</v>
      </c>
      <c r="H2117" s="50">
        <v>2</v>
      </c>
      <c r="I2117" s="100">
        <v>6.7391919697301583</v>
      </c>
      <c r="J2117" s="52">
        <v>3834.68</v>
      </c>
      <c r="K2117" s="67">
        <f t="shared" si="132"/>
        <v>75021.197455193484</v>
      </c>
      <c r="L2117" s="95">
        <f>+VLOOKUP(E2117,MARGEN!A:B,2,FALSE)</f>
        <v>0.1</v>
      </c>
      <c r="M2117" s="112">
        <f t="shared" si="133"/>
        <v>7502.1197455193487</v>
      </c>
      <c r="N2117" s="113">
        <f t="shared" si="134"/>
        <v>300.08478982077395</v>
      </c>
      <c r="O2117" s="113">
        <f t="shared" si="135"/>
        <v>67218.992919853365</v>
      </c>
    </row>
    <row r="2118" spans="1:15" x14ac:dyDescent="0.25">
      <c r="A2118" s="13">
        <v>44446</v>
      </c>
      <c r="B2118" s="97">
        <v>2783</v>
      </c>
      <c r="C2118" t="s">
        <v>131</v>
      </c>
      <c r="D2118" s="94" t="s">
        <v>344</v>
      </c>
      <c r="E2118" t="s">
        <v>17</v>
      </c>
      <c r="F2118" t="s">
        <v>562</v>
      </c>
      <c r="G2118" s="50" t="s">
        <v>559</v>
      </c>
      <c r="H2118" s="50">
        <v>2</v>
      </c>
      <c r="I2118" s="100">
        <v>6.7391919697301583</v>
      </c>
      <c r="J2118" s="52">
        <v>3834.68</v>
      </c>
      <c r="K2118" s="67">
        <f t="shared" si="132"/>
        <v>71920.080095695317</v>
      </c>
      <c r="L2118" s="95">
        <f>+VLOOKUP(E2118,MARGEN!A:B,2,FALSE)</f>
        <v>0.1</v>
      </c>
      <c r="M2118" s="112">
        <f t="shared" si="133"/>
        <v>7192.0080095695321</v>
      </c>
      <c r="N2118" s="113">
        <f t="shared" si="134"/>
        <v>287.68032038278125</v>
      </c>
      <c r="O2118" s="113">
        <f t="shared" si="135"/>
        <v>64440.391765743007</v>
      </c>
    </row>
    <row r="2119" spans="1:15" x14ac:dyDescent="0.25">
      <c r="A2119" s="13">
        <v>44446</v>
      </c>
      <c r="B2119" s="97">
        <v>2711</v>
      </c>
      <c r="C2119" t="s">
        <v>132</v>
      </c>
      <c r="D2119" s="94" t="s">
        <v>376</v>
      </c>
      <c r="E2119" t="s">
        <v>17</v>
      </c>
      <c r="F2119" t="s">
        <v>562</v>
      </c>
      <c r="G2119" s="50" t="s">
        <v>559</v>
      </c>
      <c r="H2119" s="50">
        <v>2</v>
      </c>
      <c r="I2119" s="100">
        <v>6.7391919697301583</v>
      </c>
      <c r="J2119" s="52">
        <v>3834.68</v>
      </c>
      <c r="K2119" s="67">
        <f t="shared" si="132"/>
        <v>70059.409679996417</v>
      </c>
      <c r="L2119" s="95">
        <f>+VLOOKUP(E2119,MARGEN!A:B,2,FALSE)</f>
        <v>0.1</v>
      </c>
      <c r="M2119" s="112">
        <f t="shared" si="133"/>
        <v>7005.9409679996425</v>
      </c>
      <c r="N2119" s="113">
        <f t="shared" si="134"/>
        <v>280.23763871998568</v>
      </c>
      <c r="O2119" s="113">
        <f t="shared" si="135"/>
        <v>62773.231073276787</v>
      </c>
    </row>
    <row r="2120" spans="1:15" x14ac:dyDescent="0.25">
      <c r="A2120" s="13">
        <v>44446</v>
      </c>
      <c r="B2120" s="97">
        <v>2663</v>
      </c>
      <c r="C2120" t="s">
        <v>186</v>
      </c>
      <c r="D2120" t="s">
        <v>440</v>
      </c>
      <c r="E2120" t="s">
        <v>17</v>
      </c>
      <c r="F2120" t="s">
        <v>558</v>
      </c>
      <c r="G2120" s="50" t="s">
        <v>559</v>
      </c>
      <c r="H2120" s="50">
        <v>2</v>
      </c>
      <c r="I2120" s="100">
        <v>6.7391919697301583</v>
      </c>
      <c r="J2120" s="52">
        <v>3834.68</v>
      </c>
      <c r="K2120" s="67">
        <f t="shared" si="132"/>
        <v>68818.962736197136</v>
      </c>
      <c r="L2120" s="95">
        <f>+VLOOKUP(E2120,MARGEN!A:B,2,FALSE)</f>
        <v>0.1</v>
      </c>
      <c r="M2120" s="112">
        <f t="shared" si="133"/>
        <v>6881.8962736197136</v>
      </c>
      <c r="N2120" s="113">
        <f t="shared" si="134"/>
        <v>275.27585094478854</v>
      </c>
      <c r="O2120" s="113">
        <f t="shared" si="135"/>
        <v>61661.790611632634</v>
      </c>
    </row>
    <row r="2121" spans="1:15" x14ac:dyDescent="0.25">
      <c r="A2121" s="13">
        <v>44446</v>
      </c>
      <c r="B2121" s="97">
        <v>2567</v>
      </c>
      <c r="C2121" t="s">
        <v>310</v>
      </c>
      <c r="D2121" s="94" t="s">
        <v>540</v>
      </c>
      <c r="E2121" t="s">
        <v>17</v>
      </c>
      <c r="F2121" t="s">
        <v>558</v>
      </c>
      <c r="G2121" s="50" t="s">
        <v>559</v>
      </c>
      <c r="H2121" s="50">
        <v>2</v>
      </c>
      <c r="I2121" s="100">
        <v>6.7391919697301583</v>
      </c>
      <c r="J2121" s="52">
        <v>3834.68</v>
      </c>
      <c r="K2121" s="67">
        <f t="shared" ref="K2121:K2184" si="136">+B2121*I2121*J2121/1000</f>
        <v>66338.068848598588</v>
      </c>
      <c r="L2121" s="95">
        <f>+VLOOKUP(E2121,MARGEN!A:B,2,FALSE)</f>
        <v>0.1</v>
      </c>
      <c r="M2121" s="112">
        <f t="shared" si="133"/>
        <v>6633.8068848598596</v>
      </c>
      <c r="N2121" s="113">
        <f t="shared" si="134"/>
        <v>265.35227539439433</v>
      </c>
      <c r="O2121" s="113">
        <f t="shared" si="135"/>
        <v>59438.909688344334</v>
      </c>
    </row>
    <row r="2122" spans="1:15" x14ac:dyDescent="0.25">
      <c r="A2122" s="13">
        <v>44446</v>
      </c>
      <c r="B2122" s="97">
        <v>2519</v>
      </c>
      <c r="C2122" s="88" t="s">
        <v>127</v>
      </c>
      <c r="D2122" t="s">
        <v>411</v>
      </c>
      <c r="E2122" t="s">
        <v>17</v>
      </c>
      <c r="F2122" t="s">
        <v>558</v>
      </c>
      <c r="G2122" s="50" t="s">
        <v>559</v>
      </c>
      <c r="H2122" s="50">
        <v>2</v>
      </c>
      <c r="I2122" s="100">
        <v>6.7391919697301583</v>
      </c>
      <c r="J2122" s="52">
        <v>3834.68</v>
      </c>
      <c r="K2122" s="67">
        <f t="shared" si="136"/>
        <v>65097.621904799322</v>
      </c>
      <c r="L2122" s="95">
        <f>+VLOOKUP(E2122,MARGEN!A:B,2,FALSE)</f>
        <v>0.1</v>
      </c>
      <c r="M2122" s="112">
        <f t="shared" si="133"/>
        <v>6509.7621904799325</v>
      </c>
      <c r="N2122" s="113">
        <f t="shared" si="134"/>
        <v>260.3904876191973</v>
      </c>
      <c r="O2122" s="113">
        <f t="shared" si="135"/>
        <v>58327.469226700196</v>
      </c>
    </row>
    <row r="2123" spans="1:15" x14ac:dyDescent="0.25">
      <c r="A2123" s="13">
        <v>44446</v>
      </c>
      <c r="B2123" s="97">
        <v>2519</v>
      </c>
      <c r="C2123" t="s">
        <v>146</v>
      </c>
      <c r="D2123" t="s">
        <v>348</v>
      </c>
      <c r="E2123" t="s">
        <v>17</v>
      </c>
      <c r="F2123" t="s">
        <v>562</v>
      </c>
      <c r="G2123" s="50" t="s">
        <v>559</v>
      </c>
      <c r="H2123" s="50">
        <v>2</v>
      </c>
      <c r="I2123" s="100">
        <v>6.7391919697301583</v>
      </c>
      <c r="J2123" s="52">
        <v>3834.68</v>
      </c>
      <c r="K2123" s="67">
        <f t="shared" si="136"/>
        <v>65097.621904799322</v>
      </c>
      <c r="L2123" s="95">
        <f>+VLOOKUP(E2123,MARGEN!A:B,2,FALSE)</f>
        <v>0.1</v>
      </c>
      <c r="M2123" s="112">
        <f t="shared" si="133"/>
        <v>6509.7621904799325</v>
      </c>
      <c r="N2123" s="113">
        <f t="shared" si="134"/>
        <v>260.3904876191973</v>
      </c>
      <c r="O2123" s="113">
        <f t="shared" si="135"/>
        <v>58327.469226700196</v>
      </c>
    </row>
    <row r="2124" spans="1:15" x14ac:dyDescent="0.25">
      <c r="A2124" s="13">
        <v>44446</v>
      </c>
      <c r="B2124" s="97">
        <v>2447</v>
      </c>
      <c r="C2124" t="s">
        <v>163</v>
      </c>
      <c r="D2124" s="94" t="s">
        <v>398</v>
      </c>
      <c r="E2124" t="s">
        <v>17</v>
      </c>
      <c r="F2124" t="s">
        <v>558</v>
      </c>
      <c r="G2124" s="50" t="s">
        <v>559</v>
      </c>
      <c r="H2124" s="50">
        <v>2</v>
      </c>
      <c r="I2124" s="100">
        <v>6.7391919697301583</v>
      </c>
      <c r="J2124" s="52">
        <v>3834.68</v>
      </c>
      <c r="K2124" s="67">
        <f t="shared" si="136"/>
        <v>63236.951489100415</v>
      </c>
      <c r="L2124" s="95">
        <f>+VLOOKUP(E2124,MARGEN!A:B,2,FALSE)</f>
        <v>0.1</v>
      </c>
      <c r="M2124" s="112">
        <f t="shared" si="133"/>
        <v>6323.695148910042</v>
      </c>
      <c r="N2124" s="113">
        <f t="shared" si="134"/>
        <v>252.94780595640165</v>
      </c>
      <c r="O2124" s="113">
        <f t="shared" si="135"/>
        <v>56660.308534233976</v>
      </c>
    </row>
    <row r="2125" spans="1:15" x14ac:dyDescent="0.25">
      <c r="A2125" s="13">
        <v>44446</v>
      </c>
      <c r="B2125" s="97">
        <v>2399</v>
      </c>
      <c r="C2125" t="s">
        <v>281</v>
      </c>
      <c r="D2125" s="94" t="s">
        <v>495</v>
      </c>
      <c r="E2125" t="s">
        <v>17</v>
      </c>
      <c r="F2125" t="s">
        <v>558</v>
      </c>
      <c r="G2125" s="50" t="s">
        <v>559</v>
      </c>
      <c r="H2125" s="50">
        <v>2</v>
      </c>
      <c r="I2125" s="100">
        <v>6.7391919697301583</v>
      </c>
      <c r="J2125" s="52">
        <v>3834.68</v>
      </c>
      <c r="K2125" s="67">
        <f t="shared" si="136"/>
        <v>61996.504545301133</v>
      </c>
      <c r="L2125" s="95">
        <f>+VLOOKUP(E2125,MARGEN!A:B,2,FALSE)</f>
        <v>0.1</v>
      </c>
      <c r="M2125" s="112">
        <f t="shared" si="133"/>
        <v>6199.6504545301141</v>
      </c>
      <c r="N2125" s="113">
        <f t="shared" si="134"/>
        <v>247.98601818120454</v>
      </c>
      <c r="O2125" s="113">
        <f t="shared" si="135"/>
        <v>55548.868072589816</v>
      </c>
    </row>
    <row r="2126" spans="1:15" x14ac:dyDescent="0.25">
      <c r="A2126" s="13">
        <v>44446</v>
      </c>
      <c r="B2126" s="97">
        <v>2303</v>
      </c>
      <c r="C2126" t="s">
        <v>128</v>
      </c>
      <c r="D2126" s="94" t="s">
        <v>416</v>
      </c>
      <c r="E2126" t="s">
        <v>17</v>
      </c>
      <c r="F2126" t="s">
        <v>558</v>
      </c>
      <c r="G2126" s="50" t="s">
        <v>559</v>
      </c>
      <c r="H2126" s="50">
        <v>2</v>
      </c>
      <c r="I2126" s="100">
        <v>6.7391919697301583</v>
      </c>
      <c r="J2126" s="52">
        <v>3834.68</v>
      </c>
      <c r="K2126" s="67">
        <f t="shared" si="136"/>
        <v>59515.610657702593</v>
      </c>
      <c r="L2126" s="95">
        <f>+VLOOKUP(E2126,MARGEN!A:B,2,FALSE)</f>
        <v>0.1</v>
      </c>
      <c r="M2126" s="112">
        <f t="shared" si="133"/>
        <v>5951.56106577026</v>
      </c>
      <c r="N2126" s="113">
        <f t="shared" si="134"/>
        <v>238.06244263081038</v>
      </c>
      <c r="O2126" s="113">
        <f t="shared" si="135"/>
        <v>53325.987149301516</v>
      </c>
    </row>
    <row r="2127" spans="1:15" x14ac:dyDescent="0.25">
      <c r="A2127" s="13">
        <v>44446</v>
      </c>
      <c r="B2127" s="97">
        <v>2303</v>
      </c>
      <c r="C2127" t="s">
        <v>130</v>
      </c>
      <c r="D2127" s="94" t="s">
        <v>367</v>
      </c>
      <c r="E2127" t="s">
        <v>17</v>
      </c>
      <c r="F2127" t="s">
        <v>558</v>
      </c>
      <c r="G2127" s="50" t="s">
        <v>559</v>
      </c>
      <c r="H2127" s="50">
        <v>2</v>
      </c>
      <c r="I2127" s="100">
        <v>6.7391919697301583</v>
      </c>
      <c r="J2127" s="52">
        <v>3834.68</v>
      </c>
      <c r="K2127" s="67">
        <f t="shared" si="136"/>
        <v>59515.610657702593</v>
      </c>
      <c r="L2127" s="95">
        <f>+VLOOKUP(E2127,MARGEN!A:B,2,FALSE)</f>
        <v>0.1</v>
      </c>
      <c r="M2127" s="112">
        <f t="shared" si="133"/>
        <v>5951.56106577026</v>
      </c>
      <c r="N2127" s="113">
        <f t="shared" si="134"/>
        <v>238.06244263081038</v>
      </c>
      <c r="O2127" s="113">
        <f t="shared" si="135"/>
        <v>53325.987149301516</v>
      </c>
    </row>
    <row r="2128" spans="1:15" x14ac:dyDescent="0.25">
      <c r="A2128" s="13">
        <v>44446</v>
      </c>
      <c r="B2128" s="97">
        <v>2279</v>
      </c>
      <c r="C2128" t="s">
        <v>122</v>
      </c>
      <c r="D2128" s="94" t="s">
        <v>446</v>
      </c>
      <c r="E2128" t="s">
        <v>17</v>
      </c>
      <c r="F2128" t="s">
        <v>558</v>
      </c>
      <c r="G2128" s="50" t="s">
        <v>559</v>
      </c>
      <c r="H2128" s="50">
        <v>2</v>
      </c>
      <c r="I2128" s="100">
        <v>6.7391919697301583</v>
      </c>
      <c r="J2128" s="52">
        <v>3834.68</v>
      </c>
      <c r="K2128" s="67">
        <f t="shared" si="136"/>
        <v>58895.387185802952</v>
      </c>
      <c r="L2128" s="95">
        <f>+VLOOKUP(E2128,MARGEN!A:B,2,FALSE)</f>
        <v>0.1</v>
      </c>
      <c r="M2128" s="112">
        <f t="shared" si="133"/>
        <v>5889.5387185802956</v>
      </c>
      <c r="N2128" s="113">
        <f t="shared" si="134"/>
        <v>235.58154874321181</v>
      </c>
      <c r="O2128" s="113">
        <f t="shared" si="135"/>
        <v>52770.266918479443</v>
      </c>
    </row>
    <row r="2129" spans="1:15" x14ac:dyDescent="0.25">
      <c r="A2129" s="13">
        <v>44446</v>
      </c>
      <c r="B2129" s="97">
        <v>2231</v>
      </c>
      <c r="C2129" t="s">
        <v>126</v>
      </c>
      <c r="D2129" s="94" t="s">
        <v>438</v>
      </c>
      <c r="E2129" t="s">
        <v>17</v>
      </c>
      <c r="F2129" t="s">
        <v>558</v>
      </c>
      <c r="G2129" s="50" t="s">
        <v>559</v>
      </c>
      <c r="H2129" s="50">
        <v>2</v>
      </c>
      <c r="I2129" s="100">
        <v>6.7391919697301583</v>
      </c>
      <c r="J2129" s="52">
        <v>3834.68</v>
      </c>
      <c r="K2129" s="67">
        <f t="shared" si="136"/>
        <v>57654.940242003679</v>
      </c>
      <c r="L2129" s="95">
        <f>+VLOOKUP(E2129,MARGEN!A:B,2,FALSE)</f>
        <v>0.1</v>
      </c>
      <c r="M2129" s="112">
        <f t="shared" si="133"/>
        <v>5765.4940242003686</v>
      </c>
      <c r="N2129" s="113">
        <f t="shared" si="134"/>
        <v>230.6197609680147</v>
      </c>
      <c r="O2129" s="113">
        <f t="shared" si="135"/>
        <v>51658.826456835297</v>
      </c>
    </row>
    <row r="2130" spans="1:15" x14ac:dyDescent="0.25">
      <c r="A2130" s="13">
        <v>44446</v>
      </c>
      <c r="B2130" s="97">
        <v>2135</v>
      </c>
      <c r="C2130" t="s">
        <v>312</v>
      </c>
      <c r="D2130" s="94" t="s">
        <v>542</v>
      </c>
      <c r="E2130" t="s">
        <v>17</v>
      </c>
      <c r="F2130" t="s">
        <v>558</v>
      </c>
      <c r="G2130" s="50" t="s">
        <v>559</v>
      </c>
      <c r="H2130" s="50">
        <v>2</v>
      </c>
      <c r="I2130" s="100">
        <v>6.7391919697301583</v>
      </c>
      <c r="J2130" s="52">
        <v>3834.68</v>
      </c>
      <c r="K2130" s="67">
        <f t="shared" si="136"/>
        <v>55174.046354405145</v>
      </c>
      <c r="L2130" s="95">
        <f>+VLOOKUP(E2130,MARGEN!A:B,2,FALSE)</f>
        <v>0.1</v>
      </c>
      <c r="M2130" s="112">
        <f t="shared" si="133"/>
        <v>5517.4046354405145</v>
      </c>
      <c r="N2130" s="113">
        <f t="shared" si="134"/>
        <v>220.69618541762057</v>
      </c>
      <c r="O2130" s="113">
        <f t="shared" si="135"/>
        <v>49435.945533547012</v>
      </c>
    </row>
    <row r="2131" spans="1:15" x14ac:dyDescent="0.25">
      <c r="A2131" s="13">
        <v>44446</v>
      </c>
      <c r="B2131" s="97">
        <v>2135</v>
      </c>
      <c r="C2131" t="s">
        <v>157</v>
      </c>
      <c r="D2131" s="94" t="s">
        <v>435</v>
      </c>
      <c r="E2131" t="s">
        <v>17</v>
      </c>
      <c r="F2131" t="s">
        <v>558</v>
      </c>
      <c r="G2131" s="50" t="s">
        <v>559</v>
      </c>
      <c r="H2131" s="50">
        <v>2</v>
      </c>
      <c r="I2131" s="100">
        <v>6.7391919697301583</v>
      </c>
      <c r="J2131" s="52">
        <v>3834.68</v>
      </c>
      <c r="K2131" s="67">
        <f t="shared" si="136"/>
        <v>55174.046354405145</v>
      </c>
      <c r="L2131" s="95">
        <f>+VLOOKUP(E2131,MARGEN!A:B,2,FALSE)</f>
        <v>0.1</v>
      </c>
      <c r="M2131" s="112">
        <f t="shared" si="133"/>
        <v>5517.4046354405145</v>
      </c>
      <c r="N2131" s="113">
        <f t="shared" si="134"/>
        <v>220.69618541762057</v>
      </c>
      <c r="O2131" s="113">
        <f t="shared" si="135"/>
        <v>49435.945533547012</v>
      </c>
    </row>
    <row r="2132" spans="1:15" x14ac:dyDescent="0.25">
      <c r="A2132" s="13">
        <v>44446</v>
      </c>
      <c r="B2132" s="97">
        <v>2015</v>
      </c>
      <c r="C2132" t="s">
        <v>123</v>
      </c>
      <c r="D2132" t="s">
        <v>396</v>
      </c>
      <c r="E2132" t="s">
        <v>17</v>
      </c>
      <c r="F2132" t="s">
        <v>558</v>
      </c>
      <c r="G2132" s="50" t="s">
        <v>559</v>
      </c>
      <c r="H2132" s="50">
        <v>2</v>
      </c>
      <c r="I2132" s="100">
        <v>6.7391919697301583</v>
      </c>
      <c r="J2132" s="52">
        <v>3834.68</v>
      </c>
      <c r="K2132" s="67">
        <f t="shared" si="136"/>
        <v>52072.928994906957</v>
      </c>
      <c r="L2132" s="95">
        <f>+VLOOKUP(E2132,MARGEN!A:B,2,FALSE)</f>
        <v>0.1</v>
      </c>
      <c r="M2132" s="112">
        <f t="shared" si="133"/>
        <v>5207.2928994906961</v>
      </c>
      <c r="N2132" s="113">
        <f t="shared" si="134"/>
        <v>208.29171597962784</v>
      </c>
      <c r="O2132" s="113">
        <f t="shared" si="135"/>
        <v>46657.344379436632</v>
      </c>
    </row>
    <row r="2133" spans="1:15" x14ac:dyDescent="0.25">
      <c r="A2133" s="13">
        <v>44446</v>
      </c>
      <c r="B2133" s="97">
        <v>1967</v>
      </c>
      <c r="C2133" t="s">
        <v>295</v>
      </c>
      <c r="D2133" s="94" t="s">
        <v>532</v>
      </c>
      <c r="E2133" t="s">
        <v>17</v>
      </c>
      <c r="F2133" t="s">
        <v>558</v>
      </c>
      <c r="G2133" s="50" t="s">
        <v>559</v>
      </c>
      <c r="H2133" s="50">
        <v>2</v>
      </c>
      <c r="I2133" s="100">
        <v>6.7391919697301583</v>
      </c>
      <c r="J2133" s="52">
        <v>3834.68</v>
      </c>
      <c r="K2133" s="67">
        <f t="shared" si="136"/>
        <v>50832.482051107683</v>
      </c>
      <c r="L2133" s="95">
        <f>+VLOOKUP(E2133,MARGEN!A:B,2,FALSE)</f>
        <v>0.1</v>
      </c>
      <c r="M2133" s="112">
        <f t="shared" si="133"/>
        <v>5083.248205110769</v>
      </c>
      <c r="N2133" s="113">
        <f t="shared" si="134"/>
        <v>203.32992820443073</v>
      </c>
      <c r="O2133" s="113">
        <f t="shared" si="135"/>
        <v>45545.903917792486</v>
      </c>
    </row>
    <row r="2134" spans="1:15" x14ac:dyDescent="0.25">
      <c r="A2134" s="13">
        <v>44446</v>
      </c>
      <c r="B2134" s="97">
        <v>1847</v>
      </c>
      <c r="C2134" t="s">
        <v>125</v>
      </c>
      <c r="D2134" s="94" t="s">
        <v>341</v>
      </c>
      <c r="E2134" t="s">
        <v>17</v>
      </c>
      <c r="F2134" t="s">
        <v>558</v>
      </c>
      <c r="G2134" s="50" t="s">
        <v>559</v>
      </c>
      <c r="H2134" s="50">
        <v>2</v>
      </c>
      <c r="I2134" s="100">
        <v>6.7391919697301583</v>
      </c>
      <c r="J2134" s="52">
        <v>3834.68</v>
      </c>
      <c r="K2134" s="67">
        <f t="shared" si="136"/>
        <v>47731.364691609502</v>
      </c>
      <c r="L2134" s="95">
        <f>+VLOOKUP(E2134,MARGEN!A:B,2,FALSE)</f>
        <v>0.1</v>
      </c>
      <c r="M2134" s="112">
        <f t="shared" si="133"/>
        <v>4773.1364691609506</v>
      </c>
      <c r="N2134" s="113">
        <f t="shared" si="134"/>
        <v>190.925458766438</v>
      </c>
      <c r="O2134" s="113">
        <f t="shared" si="135"/>
        <v>42767.302763682113</v>
      </c>
    </row>
    <row r="2135" spans="1:15" x14ac:dyDescent="0.25">
      <c r="A2135" s="13">
        <v>44446</v>
      </c>
      <c r="B2135" s="97">
        <v>1799</v>
      </c>
      <c r="C2135" t="s">
        <v>172</v>
      </c>
      <c r="D2135" s="94" t="s">
        <v>371</v>
      </c>
      <c r="E2135" t="s">
        <v>17</v>
      </c>
      <c r="F2135" t="s">
        <v>558</v>
      </c>
      <c r="G2135" s="50" t="s">
        <v>559</v>
      </c>
      <c r="H2135" s="50">
        <v>2</v>
      </c>
      <c r="I2135" s="100">
        <v>6.7391919697301583</v>
      </c>
      <c r="J2135" s="52">
        <v>3834.68</v>
      </c>
      <c r="K2135" s="67">
        <f t="shared" si="136"/>
        <v>46490.917747810228</v>
      </c>
      <c r="L2135" s="95">
        <f>+VLOOKUP(E2135,MARGEN!A:B,2,FALSE)</f>
        <v>0.1</v>
      </c>
      <c r="M2135" s="112">
        <f t="shared" si="133"/>
        <v>4649.0917747810227</v>
      </c>
      <c r="N2135" s="113">
        <f t="shared" si="134"/>
        <v>185.96367099124092</v>
      </c>
      <c r="O2135" s="113">
        <f t="shared" si="135"/>
        <v>41655.862302037967</v>
      </c>
    </row>
    <row r="2136" spans="1:15" x14ac:dyDescent="0.25">
      <c r="A2136" s="13">
        <v>44446</v>
      </c>
      <c r="B2136" s="97">
        <v>1775</v>
      </c>
      <c r="C2136" t="s">
        <v>311</v>
      </c>
      <c r="D2136" s="94" t="s">
        <v>541</v>
      </c>
      <c r="E2136" t="s">
        <v>17</v>
      </c>
      <c r="F2136" t="s">
        <v>558</v>
      </c>
      <c r="G2136" s="50" t="s">
        <v>559</v>
      </c>
      <c r="H2136" s="50">
        <v>2</v>
      </c>
      <c r="I2136" s="100">
        <v>6.7391919697301583</v>
      </c>
      <c r="J2136" s="52">
        <v>3834.68</v>
      </c>
      <c r="K2136" s="67">
        <f t="shared" si="136"/>
        <v>45870.694275910595</v>
      </c>
      <c r="L2136" s="95">
        <f>+VLOOKUP(E2136,MARGEN!A:B,2,FALSE)</f>
        <v>0.1</v>
      </c>
      <c r="M2136" s="112">
        <f t="shared" si="133"/>
        <v>4587.06942759106</v>
      </c>
      <c r="N2136" s="113">
        <f t="shared" si="134"/>
        <v>183.48277710364238</v>
      </c>
      <c r="O2136" s="113">
        <f t="shared" si="135"/>
        <v>41100.142071215894</v>
      </c>
    </row>
    <row r="2137" spans="1:15" x14ac:dyDescent="0.25">
      <c r="A2137" s="13">
        <v>44446</v>
      </c>
      <c r="B2137" s="97">
        <v>1751</v>
      </c>
      <c r="C2137" t="s">
        <v>154</v>
      </c>
      <c r="D2137" s="94" t="s">
        <v>419</v>
      </c>
      <c r="E2137" t="s">
        <v>17</v>
      </c>
      <c r="F2137" t="s">
        <v>558</v>
      </c>
      <c r="G2137" s="50" t="s">
        <v>559</v>
      </c>
      <c r="H2137" s="50">
        <v>2</v>
      </c>
      <c r="I2137" s="100">
        <v>6.7391919697301583</v>
      </c>
      <c r="J2137" s="52">
        <v>3834.68</v>
      </c>
      <c r="K2137" s="67">
        <f t="shared" si="136"/>
        <v>45250.470804010954</v>
      </c>
      <c r="L2137" s="95">
        <f>+VLOOKUP(E2137,MARGEN!A:B,2,FALSE)</f>
        <v>0.1</v>
      </c>
      <c r="M2137" s="112">
        <f t="shared" si="133"/>
        <v>4525.0470804010956</v>
      </c>
      <c r="N2137" s="113">
        <f t="shared" si="134"/>
        <v>181.00188321604381</v>
      </c>
      <c r="O2137" s="113">
        <f t="shared" si="135"/>
        <v>40544.421840393814</v>
      </c>
    </row>
    <row r="2138" spans="1:15" x14ac:dyDescent="0.25">
      <c r="A2138" s="13">
        <v>44446</v>
      </c>
      <c r="B2138" s="97">
        <v>1727</v>
      </c>
      <c r="C2138" s="88" t="s">
        <v>170</v>
      </c>
      <c r="D2138" t="s">
        <v>437</v>
      </c>
      <c r="E2138" t="s">
        <v>17</v>
      </c>
      <c r="F2138" t="s">
        <v>558</v>
      </c>
      <c r="G2138" s="50" t="s">
        <v>559</v>
      </c>
      <c r="H2138" s="50">
        <v>2</v>
      </c>
      <c r="I2138" s="100">
        <v>6.7391919697301583</v>
      </c>
      <c r="J2138" s="52">
        <v>3834.68</v>
      </c>
      <c r="K2138" s="67">
        <f t="shared" si="136"/>
        <v>44630.247332111321</v>
      </c>
      <c r="L2138" s="95">
        <f>+VLOOKUP(E2138,MARGEN!A:B,2,FALSE)</f>
        <v>0.1</v>
      </c>
      <c r="M2138" s="112">
        <f t="shared" si="133"/>
        <v>4463.0247332111321</v>
      </c>
      <c r="N2138" s="113">
        <f t="shared" si="134"/>
        <v>178.5209893284453</v>
      </c>
      <c r="O2138" s="113">
        <f t="shared" si="135"/>
        <v>39988.701609571741</v>
      </c>
    </row>
    <row r="2139" spans="1:15" x14ac:dyDescent="0.25">
      <c r="A2139" s="13">
        <v>44446</v>
      </c>
      <c r="B2139" s="97">
        <v>1727</v>
      </c>
      <c r="C2139" t="s">
        <v>174</v>
      </c>
      <c r="D2139" s="94" t="s">
        <v>395</v>
      </c>
      <c r="E2139" t="s">
        <v>17</v>
      </c>
      <c r="F2139" t="s">
        <v>558</v>
      </c>
      <c r="G2139" s="50" t="s">
        <v>559</v>
      </c>
      <c r="H2139" s="50">
        <v>2</v>
      </c>
      <c r="I2139" s="100">
        <v>6.7391919697301583</v>
      </c>
      <c r="J2139" s="52">
        <v>3834.68</v>
      </c>
      <c r="K2139" s="67">
        <f t="shared" si="136"/>
        <v>44630.247332111321</v>
      </c>
      <c r="L2139" s="95">
        <f>+VLOOKUP(E2139,MARGEN!A:B,2,FALSE)</f>
        <v>0.1</v>
      </c>
      <c r="M2139" s="112">
        <f t="shared" si="133"/>
        <v>4463.0247332111321</v>
      </c>
      <c r="N2139" s="113">
        <f t="shared" si="134"/>
        <v>178.5209893284453</v>
      </c>
      <c r="O2139" s="113">
        <f t="shared" si="135"/>
        <v>39988.701609571741</v>
      </c>
    </row>
    <row r="2140" spans="1:15" x14ac:dyDescent="0.25">
      <c r="A2140" s="13">
        <v>44446</v>
      </c>
      <c r="B2140" s="97">
        <v>1703</v>
      </c>
      <c r="C2140" t="s">
        <v>296</v>
      </c>
      <c r="D2140" s="94" t="s">
        <v>498</v>
      </c>
      <c r="E2140" t="s">
        <v>17</v>
      </c>
      <c r="F2140" t="s">
        <v>558</v>
      </c>
      <c r="G2140" s="50" t="s">
        <v>559</v>
      </c>
      <c r="H2140" s="50">
        <v>2</v>
      </c>
      <c r="I2140" s="100">
        <v>6.7391919697301583</v>
      </c>
      <c r="J2140" s="52">
        <v>3834.68</v>
      </c>
      <c r="K2140" s="67">
        <f t="shared" si="136"/>
        <v>44010.023860211688</v>
      </c>
      <c r="L2140" s="95">
        <f>+VLOOKUP(E2140,MARGEN!A:B,2,FALSE)</f>
        <v>0.1</v>
      </c>
      <c r="M2140" s="112">
        <f t="shared" si="133"/>
        <v>4401.0023860211686</v>
      </c>
      <c r="N2140" s="113">
        <f t="shared" si="134"/>
        <v>176.04009544084676</v>
      </c>
      <c r="O2140" s="113">
        <f t="shared" si="135"/>
        <v>39432.981378749675</v>
      </c>
    </row>
    <row r="2141" spans="1:15" x14ac:dyDescent="0.25">
      <c r="A2141" s="13">
        <v>44446</v>
      </c>
      <c r="B2141" s="97">
        <v>1679</v>
      </c>
      <c r="C2141" t="s">
        <v>121</v>
      </c>
      <c r="D2141" s="94" t="s">
        <v>381</v>
      </c>
      <c r="E2141" t="s">
        <v>17</v>
      </c>
      <c r="F2141" t="s">
        <v>558</v>
      </c>
      <c r="G2141" s="50" t="s">
        <v>559</v>
      </c>
      <c r="H2141" s="50">
        <v>2</v>
      </c>
      <c r="I2141" s="100">
        <v>6.7391919697301583</v>
      </c>
      <c r="J2141" s="52">
        <v>3834.68</v>
      </c>
      <c r="K2141" s="67">
        <f t="shared" si="136"/>
        <v>43389.800388312047</v>
      </c>
      <c r="L2141" s="95">
        <f>+VLOOKUP(E2141,MARGEN!A:B,2,FALSE)</f>
        <v>0.1</v>
      </c>
      <c r="M2141" s="112">
        <f t="shared" si="133"/>
        <v>4338.9800388312051</v>
      </c>
      <c r="N2141" s="113">
        <f t="shared" si="134"/>
        <v>173.55920155324819</v>
      </c>
      <c r="O2141" s="113">
        <f t="shared" si="135"/>
        <v>38877.261147927595</v>
      </c>
    </row>
    <row r="2142" spans="1:15" x14ac:dyDescent="0.25">
      <c r="A2142" s="13">
        <v>44446</v>
      </c>
      <c r="B2142" s="97">
        <v>1679</v>
      </c>
      <c r="C2142" t="s">
        <v>194</v>
      </c>
      <c r="D2142" s="94" t="s">
        <v>417</v>
      </c>
      <c r="E2142" t="s">
        <v>17</v>
      </c>
      <c r="F2142" t="s">
        <v>558</v>
      </c>
      <c r="G2142" s="50" t="s">
        <v>559</v>
      </c>
      <c r="H2142" s="50">
        <v>2</v>
      </c>
      <c r="I2142" s="100">
        <v>6.7391919697301583</v>
      </c>
      <c r="J2142" s="52">
        <v>3834.68</v>
      </c>
      <c r="K2142" s="67">
        <f t="shared" si="136"/>
        <v>43389.800388312047</v>
      </c>
      <c r="L2142" s="95">
        <f>+VLOOKUP(E2142,MARGEN!A:B,2,FALSE)</f>
        <v>0.1</v>
      </c>
      <c r="M2142" s="112">
        <f t="shared" si="133"/>
        <v>4338.9800388312051</v>
      </c>
      <c r="N2142" s="113">
        <f t="shared" si="134"/>
        <v>173.55920155324819</v>
      </c>
      <c r="O2142" s="113">
        <f t="shared" si="135"/>
        <v>38877.261147927595</v>
      </c>
    </row>
    <row r="2143" spans="1:15" x14ac:dyDescent="0.25">
      <c r="A2143" s="13">
        <v>44446</v>
      </c>
      <c r="B2143" s="51">
        <v>1679</v>
      </c>
      <c r="C2143" s="66" t="s">
        <v>287</v>
      </c>
      <c r="D2143" s="66" t="s">
        <v>496</v>
      </c>
      <c r="E2143" t="s">
        <v>17</v>
      </c>
      <c r="F2143" s="50" t="s">
        <v>562</v>
      </c>
      <c r="G2143" s="50" t="s">
        <v>559</v>
      </c>
      <c r="H2143" s="50">
        <v>2</v>
      </c>
      <c r="I2143" s="100">
        <v>6.7391919697301583</v>
      </c>
      <c r="J2143" s="52">
        <v>3834.68</v>
      </c>
      <c r="K2143" s="67">
        <f t="shared" si="136"/>
        <v>43389.800388312047</v>
      </c>
      <c r="L2143" s="95">
        <f>+VLOOKUP(E2143,MARGEN!A:B,2,FALSE)</f>
        <v>0.1</v>
      </c>
      <c r="M2143" s="112">
        <f t="shared" si="133"/>
        <v>4338.9800388312051</v>
      </c>
      <c r="N2143" s="113">
        <f t="shared" si="134"/>
        <v>173.55920155324819</v>
      </c>
      <c r="O2143" s="113">
        <f t="shared" si="135"/>
        <v>38877.261147927595</v>
      </c>
    </row>
    <row r="2144" spans="1:15" x14ac:dyDescent="0.25">
      <c r="A2144" s="13">
        <v>44446</v>
      </c>
      <c r="B2144" s="97">
        <v>1631</v>
      </c>
      <c r="C2144" t="s">
        <v>209</v>
      </c>
      <c r="D2144" s="94" t="s">
        <v>441</v>
      </c>
      <c r="E2144" t="s">
        <v>17</v>
      </c>
      <c r="F2144" t="s">
        <v>558</v>
      </c>
      <c r="G2144" s="50" t="s">
        <v>559</v>
      </c>
      <c r="H2144" s="50">
        <v>2</v>
      </c>
      <c r="I2144" s="100">
        <v>6.7391919697301583</v>
      </c>
      <c r="J2144" s="52">
        <v>3834.68</v>
      </c>
      <c r="K2144" s="67">
        <f t="shared" si="136"/>
        <v>42149.353444512773</v>
      </c>
      <c r="L2144" s="95">
        <f>+VLOOKUP(E2144,MARGEN!A:B,2,FALSE)</f>
        <v>0.1</v>
      </c>
      <c r="M2144" s="112">
        <f t="shared" si="133"/>
        <v>4214.9353444512772</v>
      </c>
      <c r="N2144" s="113">
        <f t="shared" si="134"/>
        <v>168.59741377805111</v>
      </c>
      <c r="O2144" s="113">
        <f t="shared" si="135"/>
        <v>37765.820686283449</v>
      </c>
    </row>
    <row r="2145" spans="1:15" x14ac:dyDescent="0.25">
      <c r="A2145" s="13">
        <v>44446</v>
      </c>
      <c r="B2145" s="51">
        <v>1631</v>
      </c>
      <c r="C2145" s="66" t="s">
        <v>196</v>
      </c>
      <c r="D2145" s="66" t="s">
        <v>413</v>
      </c>
      <c r="E2145" t="s">
        <v>17</v>
      </c>
      <c r="F2145" s="50" t="s">
        <v>558</v>
      </c>
      <c r="G2145" s="50" t="s">
        <v>559</v>
      </c>
      <c r="H2145" s="50">
        <v>2</v>
      </c>
      <c r="I2145" s="100">
        <v>6.7391919697301583</v>
      </c>
      <c r="J2145" s="52">
        <v>3834.68</v>
      </c>
      <c r="K2145" s="67">
        <f t="shared" si="136"/>
        <v>42149.353444512773</v>
      </c>
      <c r="L2145" s="95">
        <f>+VLOOKUP(E2145,MARGEN!A:B,2,FALSE)</f>
        <v>0.1</v>
      </c>
      <c r="M2145" s="112">
        <f t="shared" si="133"/>
        <v>4214.9353444512772</v>
      </c>
      <c r="N2145" s="113">
        <f t="shared" si="134"/>
        <v>168.59741377805111</v>
      </c>
      <c r="O2145" s="113">
        <f t="shared" si="135"/>
        <v>37765.820686283449</v>
      </c>
    </row>
    <row r="2146" spans="1:15" x14ac:dyDescent="0.25">
      <c r="A2146" s="13">
        <v>44446</v>
      </c>
      <c r="B2146" s="97">
        <v>1607</v>
      </c>
      <c r="C2146" t="s">
        <v>180</v>
      </c>
      <c r="D2146" s="94" t="s">
        <v>447</v>
      </c>
      <c r="E2146" t="s">
        <v>17</v>
      </c>
      <c r="F2146" t="s">
        <v>558</v>
      </c>
      <c r="G2146" s="50" t="s">
        <v>559</v>
      </c>
      <c r="H2146" s="50">
        <v>2</v>
      </c>
      <c r="I2146" s="100">
        <v>6.7391919697301583</v>
      </c>
      <c r="J2146" s="52">
        <v>3834.68</v>
      </c>
      <c r="K2146" s="67">
        <f t="shared" si="136"/>
        <v>41529.12997261314</v>
      </c>
      <c r="L2146" s="95">
        <f>+VLOOKUP(E2146,MARGEN!A:B,2,FALSE)</f>
        <v>0.1</v>
      </c>
      <c r="M2146" s="112">
        <f t="shared" si="133"/>
        <v>4152.9129972613146</v>
      </c>
      <c r="N2146" s="113">
        <f t="shared" si="134"/>
        <v>166.11651989045257</v>
      </c>
      <c r="O2146" s="113">
        <f t="shared" si="135"/>
        <v>37210.100455461376</v>
      </c>
    </row>
    <row r="2147" spans="1:15" x14ac:dyDescent="0.25">
      <c r="A2147" s="13">
        <v>44446</v>
      </c>
      <c r="B2147" s="97">
        <v>1559</v>
      </c>
      <c r="C2147" t="s">
        <v>176</v>
      </c>
      <c r="D2147" s="94" t="s">
        <v>430</v>
      </c>
      <c r="E2147" t="s">
        <v>17</v>
      </c>
      <c r="F2147" t="s">
        <v>558</v>
      </c>
      <c r="G2147" s="50" t="s">
        <v>559</v>
      </c>
      <c r="H2147" s="50">
        <v>2</v>
      </c>
      <c r="I2147" s="100">
        <v>6.7391919697301583</v>
      </c>
      <c r="J2147" s="52">
        <v>3834.68</v>
      </c>
      <c r="K2147" s="67">
        <f t="shared" si="136"/>
        <v>40288.683028813866</v>
      </c>
      <c r="L2147" s="95">
        <f>+VLOOKUP(E2147,MARGEN!A:B,2,FALSE)</f>
        <v>0.1</v>
      </c>
      <c r="M2147" s="112">
        <f t="shared" si="133"/>
        <v>4028.8683028813866</v>
      </c>
      <c r="N2147" s="113">
        <f t="shared" si="134"/>
        <v>161.15473211525546</v>
      </c>
      <c r="O2147" s="113">
        <f t="shared" si="135"/>
        <v>36098.659993817222</v>
      </c>
    </row>
    <row r="2148" spans="1:15" x14ac:dyDescent="0.25">
      <c r="A2148" s="13">
        <v>44446</v>
      </c>
      <c r="B2148" s="97">
        <v>1559</v>
      </c>
      <c r="C2148" s="88" t="s">
        <v>552</v>
      </c>
      <c r="D2148" t="s">
        <v>563</v>
      </c>
      <c r="E2148" t="s">
        <v>17</v>
      </c>
      <c r="F2148" t="s">
        <v>558</v>
      </c>
      <c r="G2148" s="50" t="s">
        <v>559</v>
      </c>
      <c r="H2148" s="50">
        <v>2</v>
      </c>
      <c r="I2148" s="100">
        <v>6.7391919697301583</v>
      </c>
      <c r="J2148" s="52">
        <v>3834.68</v>
      </c>
      <c r="K2148" s="67">
        <f t="shared" si="136"/>
        <v>40288.683028813866</v>
      </c>
      <c r="L2148" s="95">
        <f>+VLOOKUP(E2148,MARGEN!A:B,2,FALSE)</f>
        <v>0.1</v>
      </c>
      <c r="M2148" s="112">
        <f t="shared" si="133"/>
        <v>4028.8683028813866</v>
      </c>
      <c r="N2148" s="113">
        <f t="shared" si="134"/>
        <v>161.15473211525546</v>
      </c>
      <c r="O2148" s="113">
        <f t="shared" si="135"/>
        <v>36098.659993817222</v>
      </c>
    </row>
    <row r="2149" spans="1:15" x14ac:dyDescent="0.25">
      <c r="A2149" s="13">
        <v>44446</v>
      </c>
      <c r="B2149" s="97">
        <v>1535</v>
      </c>
      <c r="C2149" t="s">
        <v>137</v>
      </c>
      <c r="D2149" s="94" t="s">
        <v>418</v>
      </c>
      <c r="E2149" t="s">
        <v>17</v>
      </c>
      <c r="F2149" t="s">
        <v>558</v>
      </c>
      <c r="G2149" s="50" t="s">
        <v>559</v>
      </c>
      <c r="H2149" s="50">
        <v>2</v>
      </c>
      <c r="I2149" s="100">
        <v>6.7391919697301583</v>
      </c>
      <c r="J2149" s="52">
        <v>3834.68</v>
      </c>
      <c r="K2149" s="67">
        <f t="shared" si="136"/>
        <v>39668.459556914233</v>
      </c>
      <c r="L2149" s="95">
        <f>+VLOOKUP(E2149,MARGEN!A:B,2,FALSE)</f>
        <v>0.1</v>
      </c>
      <c r="M2149" s="112">
        <f t="shared" si="133"/>
        <v>3966.8459556914236</v>
      </c>
      <c r="N2149" s="113">
        <f t="shared" si="134"/>
        <v>158.67383822765694</v>
      </c>
      <c r="O2149" s="113">
        <f t="shared" si="135"/>
        <v>35542.939762995149</v>
      </c>
    </row>
    <row r="2150" spans="1:15" x14ac:dyDescent="0.25">
      <c r="A2150" s="13">
        <v>44446</v>
      </c>
      <c r="B2150" s="97">
        <v>1487</v>
      </c>
      <c r="C2150" t="s">
        <v>169</v>
      </c>
      <c r="D2150" s="94" t="s">
        <v>351</v>
      </c>
      <c r="E2150" t="s">
        <v>17</v>
      </c>
      <c r="F2150" t="s">
        <v>558</v>
      </c>
      <c r="G2150" s="50" t="s">
        <v>559</v>
      </c>
      <c r="H2150" s="50">
        <v>2</v>
      </c>
      <c r="I2150" s="100">
        <v>6.7391919697301583</v>
      </c>
      <c r="J2150" s="52">
        <v>3834.68</v>
      </c>
      <c r="K2150" s="67">
        <f t="shared" si="136"/>
        <v>38428.012613114959</v>
      </c>
      <c r="L2150" s="95">
        <f>+VLOOKUP(E2150,MARGEN!A:B,2,FALSE)</f>
        <v>0.1</v>
      </c>
      <c r="M2150" s="112">
        <f t="shared" si="133"/>
        <v>3842.8012613114961</v>
      </c>
      <c r="N2150" s="113">
        <f t="shared" si="134"/>
        <v>153.71205045245983</v>
      </c>
      <c r="O2150" s="113">
        <f t="shared" si="135"/>
        <v>34431.499301351003</v>
      </c>
    </row>
    <row r="2151" spans="1:15" x14ac:dyDescent="0.25">
      <c r="A2151" s="13">
        <v>44446</v>
      </c>
      <c r="B2151" s="97">
        <v>1487</v>
      </c>
      <c r="C2151" t="s">
        <v>119</v>
      </c>
      <c r="D2151" s="94" t="s">
        <v>377</v>
      </c>
      <c r="E2151" t="s">
        <v>17</v>
      </c>
      <c r="F2151" t="s">
        <v>558</v>
      </c>
      <c r="G2151" s="50" t="s">
        <v>559</v>
      </c>
      <c r="H2151" s="50">
        <v>2</v>
      </c>
      <c r="I2151" s="100">
        <v>6.7391919697301583</v>
      </c>
      <c r="J2151" s="52">
        <v>3834.68</v>
      </c>
      <c r="K2151" s="67">
        <f t="shared" si="136"/>
        <v>38428.012613114959</v>
      </c>
      <c r="L2151" s="95">
        <f>+VLOOKUP(E2151,MARGEN!A:B,2,FALSE)</f>
        <v>0.1</v>
      </c>
      <c r="M2151" s="112">
        <f t="shared" si="133"/>
        <v>3842.8012613114961</v>
      </c>
      <c r="N2151" s="113">
        <f t="shared" si="134"/>
        <v>153.71205045245983</v>
      </c>
      <c r="O2151" s="113">
        <f t="shared" si="135"/>
        <v>34431.499301351003</v>
      </c>
    </row>
    <row r="2152" spans="1:15" x14ac:dyDescent="0.25">
      <c r="A2152" s="13">
        <v>44446</v>
      </c>
      <c r="B2152" s="97">
        <v>1463</v>
      </c>
      <c r="C2152" t="s">
        <v>297</v>
      </c>
      <c r="D2152" t="s">
        <v>526</v>
      </c>
      <c r="E2152" t="s">
        <v>17</v>
      </c>
      <c r="F2152" t="s">
        <v>558</v>
      </c>
      <c r="G2152" s="50" t="s">
        <v>559</v>
      </c>
      <c r="H2152" s="50">
        <v>2</v>
      </c>
      <c r="I2152" s="100">
        <v>6.7391919697301583</v>
      </c>
      <c r="J2152" s="52">
        <v>3834.68</v>
      </c>
      <c r="K2152" s="67">
        <f t="shared" si="136"/>
        <v>37807.789141215326</v>
      </c>
      <c r="L2152" s="95">
        <f>+VLOOKUP(E2152,MARGEN!A:B,2,FALSE)</f>
        <v>0.1</v>
      </c>
      <c r="M2152" s="112">
        <f t="shared" si="133"/>
        <v>3780.7789141215326</v>
      </c>
      <c r="N2152" s="113">
        <f t="shared" si="134"/>
        <v>151.23115656486129</v>
      </c>
      <c r="O2152" s="113">
        <f t="shared" si="135"/>
        <v>33875.77907052893</v>
      </c>
    </row>
    <row r="2153" spans="1:15" x14ac:dyDescent="0.25">
      <c r="A2153" s="13">
        <v>44446</v>
      </c>
      <c r="B2153" s="97">
        <v>1439</v>
      </c>
      <c r="C2153" t="s">
        <v>168</v>
      </c>
      <c r="D2153" s="94" t="s">
        <v>352</v>
      </c>
      <c r="E2153" t="s">
        <v>17</v>
      </c>
      <c r="F2153" t="s">
        <v>558</v>
      </c>
      <c r="G2153" s="50" t="s">
        <v>559</v>
      </c>
      <c r="H2153" s="50">
        <v>2</v>
      </c>
      <c r="I2153" s="100">
        <v>6.7391919697301583</v>
      </c>
      <c r="J2153" s="52">
        <v>3834.68</v>
      </c>
      <c r="K2153" s="67">
        <f t="shared" si="136"/>
        <v>37187.565669315685</v>
      </c>
      <c r="L2153" s="95">
        <f>+VLOOKUP(E2153,MARGEN!A:B,2,FALSE)</f>
        <v>0.1</v>
      </c>
      <c r="M2153" s="112">
        <f t="shared" si="133"/>
        <v>3718.7565669315686</v>
      </c>
      <c r="N2153" s="113">
        <f t="shared" si="134"/>
        <v>148.75026267726275</v>
      </c>
      <c r="O2153" s="113">
        <f t="shared" si="135"/>
        <v>33320.058839706857</v>
      </c>
    </row>
    <row r="2154" spans="1:15" x14ac:dyDescent="0.25">
      <c r="A2154" s="13">
        <v>44446</v>
      </c>
      <c r="B2154" s="97">
        <v>1439</v>
      </c>
      <c r="C2154" t="s">
        <v>210</v>
      </c>
      <c r="D2154" s="94" t="s">
        <v>402</v>
      </c>
      <c r="E2154" t="s">
        <v>17</v>
      </c>
      <c r="F2154" t="s">
        <v>558</v>
      </c>
      <c r="G2154" s="50" t="s">
        <v>559</v>
      </c>
      <c r="H2154" s="50">
        <v>2</v>
      </c>
      <c r="I2154" s="100">
        <v>6.7391919697301583</v>
      </c>
      <c r="J2154" s="52">
        <v>3834.68</v>
      </c>
      <c r="K2154" s="67">
        <f t="shared" si="136"/>
        <v>37187.565669315685</v>
      </c>
      <c r="L2154" s="95">
        <f>+VLOOKUP(E2154,MARGEN!A:B,2,FALSE)</f>
        <v>0.1</v>
      </c>
      <c r="M2154" s="112">
        <f t="shared" si="133"/>
        <v>3718.7565669315686</v>
      </c>
      <c r="N2154" s="113">
        <f t="shared" si="134"/>
        <v>148.75026267726275</v>
      </c>
      <c r="O2154" s="113">
        <f t="shared" si="135"/>
        <v>33320.058839706857</v>
      </c>
    </row>
    <row r="2155" spans="1:15" x14ac:dyDescent="0.25">
      <c r="A2155" s="13">
        <v>44446</v>
      </c>
      <c r="B2155" s="97">
        <v>1367</v>
      </c>
      <c r="C2155" t="s">
        <v>173</v>
      </c>
      <c r="D2155" s="94" t="s">
        <v>451</v>
      </c>
      <c r="E2155" t="s">
        <v>17</v>
      </c>
      <c r="F2155" t="s">
        <v>558</v>
      </c>
      <c r="G2155" s="50" t="s">
        <v>559</v>
      </c>
      <c r="H2155" s="50">
        <v>2</v>
      </c>
      <c r="I2155" s="100">
        <v>6.7391919697301583</v>
      </c>
      <c r="J2155" s="52">
        <v>3834.68</v>
      </c>
      <c r="K2155" s="67">
        <f t="shared" si="136"/>
        <v>35326.895253616778</v>
      </c>
      <c r="L2155" s="95">
        <f>+VLOOKUP(E2155,MARGEN!A:B,2,FALSE)</f>
        <v>0.1</v>
      </c>
      <c r="M2155" s="112">
        <f t="shared" si="133"/>
        <v>3532.6895253616781</v>
      </c>
      <c r="N2155" s="113">
        <f t="shared" si="134"/>
        <v>141.3075810144671</v>
      </c>
      <c r="O2155" s="113">
        <f t="shared" si="135"/>
        <v>31652.898147240634</v>
      </c>
    </row>
    <row r="2156" spans="1:15" x14ac:dyDescent="0.25">
      <c r="A2156" s="13">
        <v>44446</v>
      </c>
      <c r="B2156" s="97">
        <v>1343</v>
      </c>
      <c r="C2156" t="s">
        <v>292</v>
      </c>
      <c r="D2156" s="94" t="s">
        <v>535</v>
      </c>
      <c r="E2156" t="s">
        <v>17</v>
      </c>
      <c r="F2156" t="s">
        <v>558</v>
      </c>
      <c r="G2156" s="50" t="s">
        <v>559</v>
      </c>
      <c r="H2156" s="50">
        <v>2</v>
      </c>
      <c r="I2156" s="100">
        <v>6.7391919697301583</v>
      </c>
      <c r="J2156" s="52">
        <v>3834.68</v>
      </c>
      <c r="K2156" s="67">
        <f t="shared" si="136"/>
        <v>34706.671781717145</v>
      </c>
      <c r="L2156" s="95">
        <f>+VLOOKUP(E2156,MARGEN!A:B,2,FALSE)</f>
        <v>0.1</v>
      </c>
      <c r="M2156" s="112">
        <f t="shared" si="133"/>
        <v>3470.6671781717146</v>
      </c>
      <c r="N2156" s="113">
        <f t="shared" si="134"/>
        <v>138.82668712686859</v>
      </c>
      <c r="O2156" s="113">
        <f t="shared" si="135"/>
        <v>31097.177916418561</v>
      </c>
    </row>
    <row r="2157" spans="1:15" x14ac:dyDescent="0.25">
      <c r="A2157" s="13">
        <v>44446</v>
      </c>
      <c r="B2157" s="97">
        <v>1295</v>
      </c>
      <c r="C2157" t="s">
        <v>151</v>
      </c>
      <c r="D2157" s="94" t="s">
        <v>394</v>
      </c>
      <c r="E2157" t="s">
        <v>17</v>
      </c>
      <c r="F2157" t="s">
        <v>558</v>
      </c>
      <c r="G2157" s="50" t="s">
        <v>559</v>
      </c>
      <c r="H2157" s="50">
        <v>2</v>
      </c>
      <c r="I2157" s="100">
        <v>6.7391919697301583</v>
      </c>
      <c r="J2157" s="52">
        <v>3834.68</v>
      </c>
      <c r="K2157" s="67">
        <f t="shared" si="136"/>
        <v>33466.224837917871</v>
      </c>
      <c r="L2157" s="95">
        <f>+VLOOKUP(E2157,MARGEN!A:B,2,FALSE)</f>
        <v>0.1</v>
      </c>
      <c r="M2157" s="112">
        <f t="shared" si="133"/>
        <v>3346.6224837917871</v>
      </c>
      <c r="N2157" s="113">
        <f t="shared" si="134"/>
        <v>133.86489935167148</v>
      </c>
      <c r="O2157" s="113">
        <f t="shared" si="135"/>
        <v>29985.737454774411</v>
      </c>
    </row>
    <row r="2158" spans="1:15" x14ac:dyDescent="0.25">
      <c r="A2158" s="13">
        <v>44446</v>
      </c>
      <c r="B2158" s="97">
        <v>1295</v>
      </c>
      <c r="C2158" t="s">
        <v>183</v>
      </c>
      <c r="D2158" s="94" t="s">
        <v>390</v>
      </c>
      <c r="E2158" t="s">
        <v>17</v>
      </c>
      <c r="F2158" t="s">
        <v>558</v>
      </c>
      <c r="G2158" s="50" t="s">
        <v>559</v>
      </c>
      <c r="H2158" s="50">
        <v>2</v>
      </c>
      <c r="I2158" s="100">
        <v>6.7391919697301583</v>
      </c>
      <c r="J2158" s="52">
        <v>3834.68</v>
      </c>
      <c r="K2158" s="67">
        <f t="shared" si="136"/>
        <v>33466.224837917871</v>
      </c>
      <c r="L2158" s="95">
        <f>+VLOOKUP(E2158,MARGEN!A:B,2,FALSE)</f>
        <v>0.1</v>
      </c>
      <c r="M2158" s="112">
        <f t="shared" si="133"/>
        <v>3346.6224837917871</v>
      </c>
      <c r="N2158" s="113">
        <f t="shared" si="134"/>
        <v>133.86489935167148</v>
      </c>
      <c r="O2158" s="113">
        <f t="shared" si="135"/>
        <v>29985.737454774411</v>
      </c>
    </row>
    <row r="2159" spans="1:15" x14ac:dyDescent="0.25">
      <c r="A2159" s="13">
        <v>44446</v>
      </c>
      <c r="B2159" s="97">
        <v>1295</v>
      </c>
      <c r="C2159" t="s">
        <v>302</v>
      </c>
      <c r="D2159" s="94" t="s">
        <v>538</v>
      </c>
      <c r="E2159" t="s">
        <v>17</v>
      </c>
      <c r="F2159" t="s">
        <v>558</v>
      </c>
      <c r="G2159" s="50" t="s">
        <v>559</v>
      </c>
      <c r="H2159" s="50">
        <v>2</v>
      </c>
      <c r="I2159" s="100">
        <v>6.7391919697301583</v>
      </c>
      <c r="J2159" s="52">
        <v>3834.68</v>
      </c>
      <c r="K2159" s="67">
        <f t="shared" si="136"/>
        <v>33466.224837917871</v>
      </c>
      <c r="L2159" s="95">
        <f>+VLOOKUP(E2159,MARGEN!A:B,2,FALSE)</f>
        <v>0.1</v>
      </c>
      <c r="M2159" s="112">
        <f t="shared" si="133"/>
        <v>3346.6224837917871</v>
      </c>
      <c r="N2159" s="113">
        <f t="shared" si="134"/>
        <v>133.86489935167148</v>
      </c>
      <c r="O2159" s="113">
        <f t="shared" si="135"/>
        <v>29985.737454774411</v>
      </c>
    </row>
    <row r="2160" spans="1:15" x14ac:dyDescent="0.25">
      <c r="A2160" s="13">
        <v>44446</v>
      </c>
      <c r="B2160" s="97">
        <v>1271</v>
      </c>
      <c r="C2160" t="s">
        <v>298</v>
      </c>
      <c r="D2160" s="94" t="s">
        <v>536</v>
      </c>
      <c r="E2160" t="s">
        <v>17</v>
      </c>
      <c r="F2160" t="s">
        <v>558</v>
      </c>
      <c r="G2160" s="50" t="s">
        <v>559</v>
      </c>
      <c r="H2160" s="50">
        <v>2</v>
      </c>
      <c r="I2160" s="100">
        <v>6.7391919697301583</v>
      </c>
      <c r="J2160" s="52">
        <v>3834.68</v>
      </c>
      <c r="K2160" s="67">
        <f t="shared" si="136"/>
        <v>32846.00136601823</v>
      </c>
      <c r="L2160" s="95">
        <f>+VLOOKUP(E2160,MARGEN!A:B,2,FALSE)</f>
        <v>0.1</v>
      </c>
      <c r="M2160" s="112">
        <f t="shared" si="133"/>
        <v>3284.6001366018231</v>
      </c>
      <c r="N2160" s="113">
        <f t="shared" si="134"/>
        <v>131.38400546407291</v>
      </c>
      <c r="O2160" s="113">
        <f t="shared" si="135"/>
        <v>29430.017223952334</v>
      </c>
    </row>
    <row r="2161" spans="1:15" x14ac:dyDescent="0.25">
      <c r="A2161" s="13">
        <v>44446</v>
      </c>
      <c r="B2161" s="97">
        <v>1223</v>
      </c>
      <c r="C2161" t="s">
        <v>199</v>
      </c>
      <c r="D2161" s="94" t="s">
        <v>414</v>
      </c>
      <c r="E2161" t="s">
        <v>17</v>
      </c>
      <c r="F2161" t="s">
        <v>558</v>
      </c>
      <c r="G2161" s="50" t="s">
        <v>559</v>
      </c>
      <c r="H2161" s="50">
        <v>2</v>
      </c>
      <c r="I2161" s="100">
        <v>6.7391919697301583</v>
      </c>
      <c r="J2161" s="52">
        <v>3834.68</v>
      </c>
      <c r="K2161" s="67">
        <f t="shared" si="136"/>
        <v>31605.55442221896</v>
      </c>
      <c r="L2161" s="95">
        <f>+VLOOKUP(E2161,MARGEN!A:B,2,FALSE)</f>
        <v>0.1</v>
      </c>
      <c r="M2161" s="112">
        <f t="shared" si="133"/>
        <v>3160.5554422218961</v>
      </c>
      <c r="N2161" s="113">
        <f t="shared" si="134"/>
        <v>126.42221768887585</v>
      </c>
      <c r="O2161" s="113">
        <f t="shared" si="135"/>
        <v>28318.576762308188</v>
      </c>
    </row>
    <row r="2162" spans="1:15" x14ac:dyDescent="0.25">
      <c r="A2162" s="13">
        <v>44446</v>
      </c>
      <c r="B2162" s="97">
        <v>1151</v>
      </c>
      <c r="C2162" t="s">
        <v>184</v>
      </c>
      <c r="D2162" t="s">
        <v>443</v>
      </c>
      <c r="E2162" t="s">
        <v>17</v>
      </c>
      <c r="F2162" t="s">
        <v>558</v>
      </c>
      <c r="G2162" s="50" t="s">
        <v>559</v>
      </c>
      <c r="H2162" s="50">
        <v>2</v>
      </c>
      <c r="I2162" s="100">
        <v>6.7391919697301583</v>
      </c>
      <c r="J2162" s="52">
        <v>3834.68</v>
      </c>
      <c r="K2162" s="67">
        <f t="shared" si="136"/>
        <v>29744.884006520053</v>
      </c>
      <c r="L2162" s="95">
        <f>+VLOOKUP(E2162,MARGEN!A:B,2,FALSE)</f>
        <v>0.1</v>
      </c>
      <c r="M2162" s="112">
        <f t="shared" si="133"/>
        <v>2974.4884006520056</v>
      </c>
      <c r="N2162" s="113">
        <f t="shared" si="134"/>
        <v>118.97953602608021</v>
      </c>
      <c r="O2162" s="113">
        <f t="shared" si="135"/>
        <v>26651.416069841969</v>
      </c>
    </row>
    <row r="2163" spans="1:15" x14ac:dyDescent="0.25">
      <c r="A2163" s="13">
        <v>44446</v>
      </c>
      <c r="B2163" s="97">
        <v>911</v>
      </c>
      <c r="C2163" t="s">
        <v>182</v>
      </c>
      <c r="D2163" s="94" t="s">
        <v>455</v>
      </c>
      <c r="E2163" t="s">
        <v>17</v>
      </c>
      <c r="F2163" t="s">
        <v>562</v>
      </c>
      <c r="G2163" s="50" t="s">
        <v>559</v>
      </c>
      <c r="H2163" s="50">
        <v>2</v>
      </c>
      <c r="I2163" s="100">
        <v>6.7391919697301583</v>
      </c>
      <c r="J2163" s="52">
        <v>3834.68</v>
      </c>
      <c r="K2163" s="67">
        <f t="shared" si="136"/>
        <v>23542.649287523691</v>
      </c>
      <c r="L2163" s="95">
        <f>+VLOOKUP(E2163,MARGEN!A:B,2,FALSE)</f>
        <v>0.1</v>
      </c>
      <c r="M2163" s="112">
        <f t="shared" si="133"/>
        <v>2354.2649287523691</v>
      </c>
      <c r="N2163" s="113">
        <f t="shared" si="134"/>
        <v>94.170597150094764</v>
      </c>
      <c r="O2163" s="113">
        <f t="shared" si="135"/>
        <v>21094.213761621224</v>
      </c>
    </row>
    <row r="2164" spans="1:15" x14ac:dyDescent="0.25">
      <c r="A2164" s="13">
        <v>44446</v>
      </c>
      <c r="B2164" s="97">
        <v>791</v>
      </c>
      <c r="C2164" t="s">
        <v>307</v>
      </c>
      <c r="D2164" s="94" t="s">
        <v>497</v>
      </c>
      <c r="E2164" t="s">
        <v>17</v>
      </c>
      <c r="F2164" t="s">
        <v>566</v>
      </c>
      <c r="G2164" s="50" t="s">
        <v>559</v>
      </c>
      <c r="H2164" s="50">
        <v>2</v>
      </c>
      <c r="I2164" s="100">
        <v>6.7391919697301583</v>
      </c>
      <c r="J2164" s="52">
        <v>3834.68</v>
      </c>
      <c r="K2164" s="67">
        <f t="shared" si="136"/>
        <v>20441.53192802551</v>
      </c>
      <c r="L2164" s="95">
        <f>+VLOOKUP(E2164,MARGEN!A:B,2,FALSE)</f>
        <v>0.1</v>
      </c>
      <c r="M2164" s="112">
        <f t="shared" si="133"/>
        <v>2044.1531928025511</v>
      </c>
      <c r="N2164" s="113">
        <f t="shared" si="134"/>
        <v>81.766127712102033</v>
      </c>
      <c r="O2164" s="113">
        <f t="shared" si="135"/>
        <v>18315.612607510859</v>
      </c>
    </row>
    <row r="2165" spans="1:15" x14ac:dyDescent="0.25">
      <c r="A2165" s="13">
        <v>44446</v>
      </c>
      <c r="B2165" s="97">
        <v>767</v>
      </c>
      <c r="C2165" t="s">
        <v>181</v>
      </c>
      <c r="D2165" s="94" t="s">
        <v>415</v>
      </c>
      <c r="E2165" t="s">
        <v>17</v>
      </c>
      <c r="F2165" t="s">
        <v>558</v>
      </c>
      <c r="G2165" s="50" t="s">
        <v>559</v>
      </c>
      <c r="H2165" s="50">
        <v>2</v>
      </c>
      <c r="I2165" s="100">
        <v>6.7391919697301583</v>
      </c>
      <c r="J2165" s="52">
        <v>3834.68</v>
      </c>
      <c r="K2165" s="67">
        <f t="shared" si="136"/>
        <v>19821.308456125873</v>
      </c>
      <c r="L2165" s="95">
        <f>+VLOOKUP(E2165,MARGEN!A:B,2,FALSE)</f>
        <v>0.1</v>
      </c>
      <c r="M2165" s="112">
        <f t="shared" si="133"/>
        <v>1982.1308456125873</v>
      </c>
      <c r="N2165" s="113">
        <f t="shared" si="134"/>
        <v>79.285233824503493</v>
      </c>
      <c r="O2165" s="113">
        <f t="shared" si="135"/>
        <v>17759.892376688782</v>
      </c>
    </row>
    <row r="2166" spans="1:15" x14ac:dyDescent="0.25">
      <c r="A2166" s="13">
        <v>44447</v>
      </c>
      <c r="B2166" s="51">
        <v>6766</v>
      </c>
      <c r="C2166" s="66" t="s">
        <v>150</v>
      </c>
      <c r="D2166" s="66" t="s">
        <v>357</v>
      </c>
      <c r="E2166" t="s">
        <v>17</v>
      </c>
      <c r="F2166" s="50" t="s">
        <v>566</v>
      </c>
      <c r="G2166" s="50" t="s">
        <v>559</v>
      </c>
      <c r="H2166" s="50">
        <v>2</v>
      </c>
      <c r="I2166" s="100">
        <v>6.7391919697301583</v>
      </c>
      <c r="J2166" s="52">
        <v>3834.68</v>
      </c>
      <c r="K2166" s="67">
        <f t="shared" si="136"/>
        <v>174851.33378637244</v>
      </c>
      <c r="L2166" s="95">
        <f>+VLOOKUP(E2166,MARGEN!A:B,2,FALSE)</f>
        <v>0.1</v>
      </c>
      <c r="M2166" s="112">
        <f t="shared" si="133"/>
        <v>17485.133378637245</v>
      </c>
      <c r="N2166" s="113">
        <f t="shared" si="134"/>
        <v>699.40533514548974</v>
      </c>
      <c r="O2166" s="113">
        <f t="shared" si="135"/>
        <v>156666.79507258971</v>
      </c>
    </row>
    <row r="2167" spans="1:15" x14ac:dyDescent="0.25">
      <c r="A2167" s="13">
        <v>44447</v>
      </c>
      <c r="B2167" s="97">
        <v>5974</v>
      </c>
      <c r="C2167" t="s">
        <v>279</v>
      </c>
      <c r="D2167" s="94" t="s">
        <v>493</v>
      </c>
      <c r="E2167" t="s">
        <v>17</v>
      </c>
      <c r="F2167" t="s">
        <v>562</v>
      </c>
      <c r="G2167" s="50" t="s">
        <v>559</v>
      </c>
      <c r="H2167" s="50">
        <v>2</v>
      </c>
      <c r="I2167" s="100">
        <v>6.7391919697301583</v>
      </c>
      <c r="J2167" s="52">
        <v>3834.68</v>
      </c>
      <c r="K2167" s="67">
        <f t="shared" si="136"/>
        <v>154383.95921368443</v>
      </c>
      <c r="L2167" s="95">
        <f>+VLOOKUP(E2167,MARGEN!A:B,2,FALSE)</f>
        <v>0.1</v>
      </c>
      <c r="M2167" s="112">
        <f t="shared" si="133"/>
        <v>15438.395921368443</v>
      </c>
      <c r="N2167" s="113">
        <f t="shared" si="134"/>
        <v>617.53583685473768</v>
      </c>
      <c r="O2167" s="113">
        <f t="shared" si="135"/>
        <v>138328.02745546124</v>
      </c>
    </row>
    <row r="2168" spans="1:15" x14ac:dyDescent="0.25">
      <c r="A2168" s="13">
        <v>44447</v>
      </c>
      <c r="B2168" s="97">
        <v>5278</v>
      </c>
      <c r="C2168" t="s">
        <v>278</v>
      </c>
      <c r="D2168" s="94" t="s">
        <v>453</v>
      </c>
      <c r="E2168" t="s">
        <v>17</v>
      </c>
      <c r="F2168" t="s">
        <v>562</v>
      </c>
      <c r="G2168" s="50" t="s">
        <v>559</v>
      </c>
      <c r="H2168" s="50">
        <v>2</v>
      </c>
      <c r="I2168" s="100">
        <v>6.7391919697301583</v>
      </c>
      <c r="J2168" s="52">
        <v>3834.68</v>
      </c>
      <c r="K2168" s="67">
        <f t="shared" si="136"/>
        <v>136397.47852859498</v>
      </c>
      <c r="L2168" s="95">
        <f>+VLOOKUP(E2168,MARGEN!A:B,2,FALSE)</f>
        <v>0.1</v>
      </c>
      <c r="M2168" s="112">
        <f t="shared" si="133"/>
        <v>13639.747852859498</v>
      </c>
      <c r="N2168" s="113">
        <f t="shared" si="134"/>
        <v>545.58991411437989</v>
      </c>
      <c r="O2168" s="113">
        <f t="shared" si="135"/>
        <v>122212.14076162111</v>
      </c>
    </row>
    <row r="2169" spans="1:15" x14ac:dyDescent="0.25">
      <c r="A2169" s="13">
        <v>44447</v>
      </c>
      <c r="B2169" s="97">
        <v>4630</v>
      </c>
      <c r="C2169" t="s">
        <v>136</v>
      </c>
      <c r="D2169" s="94" t="s">
        <v>359</v>
      </c>
      <c r="E2169" t="s">
        <v>17</v>
      </c>
      <c r="F2169" t="s">
        <v>562</v>
      </c>
      <c r="G2169" s="50" t="s">
        <v>559</v>
      </c>
      <c r="H2169" s="50">
        <v>2</v>
      </c>
      <c r="I2169" s="100">
        <v>6.7391919697301583</v>
      </c>
      <c r="J2169" s="52">
        <v>3834.68</v>
      </c>
      <c r="K2169" s="67">
        <f t="shared" si="136"/>
        <v>119651.44478730482</v>
      </c>
      <c r="L2169" s="95">
        <f>+VLOOKUP(E2169,MARGEN!A:B,2,FALSE)</f>
        <v>0.1</v>
      </c>
      <c r="M2169" s="112">
        <f t="shared" si="133"/>
        <v>11965.144478730483</v>
      </c>
      <c r="N2169" s="113">
        <f t="shared" si="134"/>
        <v>478.6057791492193</v>
      </c>
      <c r="O2169" s="113">
        <f t="shared" si="135"/>
        <v>107207.69452942512</v>
      </c>
    </row>
    <row r="2170" spans="1:15" x14ac:dyDescent="0.25">
      <c r="A2170" s="13">
        <v>44447</v>
      </c>
      <c r="B2170" s="97">
        <v>4271</v>
      </c>
      <c r="C2170" t="s">
        <v>193</v>
      </c>
      <c r="D2170" s="94" t="s">
        <v>380</v>
      </c>
      <c r="E2170" t="s">
        <v>17</v>
      </c>
      <c r="F2170" t="s">
        <v>562</v>
      </c>
      <c r="G2170" s="50" t="s">
        <v>559</v>
      </c>
      <c r="H2170" s="50">
        <v>2</v>
      </c>
      <c r="I2170" s="100">
        <v>6.7391919697301583</v>
      </c>
      <c r="J2170" s="52">
        <v>3834.68</v>
      </c>
      <c r="K2170" s="67">
        <f t="shared" si="136"/>
        <v>110373.93535347277</v>
      </c>
      <c r="L2170" s="95">
        <f>+VLOOKUP(E2170,MARGEN!A:B,2,FALSE)</f>
        <v>0.1</v>
      </c>
      <c r="M2170" s="112">
        <f t="shared" si="133"/>
        <v>11037.393535347277</v>
      </c>
      <c r="N2170" s="113">
        <f t="shared" si="134"/>
        <v>441.4957414138911</v>
      </c>
      <c r="O2170" s="113">
        <f t="shared" si="135"/>
        <v>98895.046076711602</v>
      </c>
    </row>
    <row r="2171" spans="1:15" x14ac:dyDescent="0.25">
      <c r="A2171" s="13">
        <v>44447</v>
      </c>
      <c r="B2171" s="97">
        <v>3623</v>
      </c>
      <c r="C2171" t="s">
        <v>149</v>
      </c>
      <c r="D2171" s="94" t="s">
        <v>325</v>
      </c>
      <c r="E2171" t="s">
        <v>17</v>
      </c>
      <c r="F2171" t="s">
        <v>562</v>
      </c>
      <c r="G2171" s="50" t="s">
        <v>559</v>
      </c>
      <c r="H2171" s="50">
        <v>2</v>
      </c>
      <c r="I2171" s="100">
        <v>6.7391919697301583</v>
      </c>
      <c r="J2171" s="52">
        <v>3834.68</v>
      </c>
      <c r="K2171" s="67">
        <f t="shared" si="136"/>
        <v>93627.901612182584</v>
      </c>
      <c r="L2171" s="95">
        <f>+VLOOKUP(E2171,MARGEN!A:B,2,FALSE)</f>
        <v>0.1</v>
      </c>
      <c r="M2171" s="112">
        <f t="shared" si="133"/>
        <v>9362.7901612182595</v>
      </c>
      <c r="N2171" s="113">
        <f t="shared" si="134"/>
        <v>374.51160644873033</v>
      </c>
      <c r="O2171" s="113">
        <f t="shared" si="135"/>
        <v>83890.599844515586</v>
      </c>
    </row>
    <row r="2172" spans="1:15" x14ac:dyDescent="0.25">
      <c r="A2172" s="13">
        <v>44447</v>
      </c>
      <c r="B2172" s="97">
        <v>3599</v>
      </c>
      <c r="C2172" t="s">
        <v>192</v>
      </c>
      <c r="D2172" s="94" t="s">
        <v>347</v>
      </c>
      <c r="E2172" t="s">
        <v>17</v>
      </c>
      <c r="F2172" t="s">
        <v>562</v>
      </c>
      <c r="G2172" s="50" t="s">
        <v>559</v>
      </c>
      <c r="H2172" s="50">
        <v>2</v>
      </c>
      <c r="I2172" s="100">
        <v>6.7391919697301583</v>
      </c>
      <c r="J2172" s="52">
        <v>3834.68</v>
      </c>
      <c r="K2172" s="67">
        <f t="shared" si="136"/>
        <v>93007.678140282951</v>
      </c>
      <c r="L2172" s="95">
        <f>+VLOOKUP(E2172,MARGEN!A:B,2,FALSE)</f>
        <v>0.1</v>
      </c>
      <c r="M2172" s="112">
        <f t="shared" si="133"/>
        <v>9300.7678140282951</v>
      </c>
      <c r="N2172" s="113">
        <f t="shared" si="134"/>
        <v>372.03071256113179</v>
      </c>
      <c r="O2172" s="113">
        <f t="shared" si="135"/>
        <v>83334.879613693527</v>
      </c>
    </row>
    <row r="2173" spans="1:15" x14ac:dyDescent="0.25">
      <c r="A2173" s="13">
        <v>44447</v>
      </c>
      <c r="B2173" s="97">
        <v>3479</v>
      </c>
      <c r="C2173" t="s">
        <v>165</v>
      </c>
      <c r="D2173" s="94" t="s">
        <v>375</v>
      </c>
      <c r="E2173" t="s">
        <v>17</v>
      </c>
      <c r="F2173" t="s">
        <v>558</v>
      </c>
      <c r="G2173" s="50" t="s">
        <v>559</v>
      </c>
      <c r="H2173" s="50">
        <v>2</v>
      </c>
      <c r="I2173" s="100">
        <v>6.7391919697301583</v>
      </c>
      <c r="J2173" s="52">
        <v>3834.68</v>
      </c>
      <c r="K2173" s="67">
        <f t="shared" si="136"/>
        <v>89906.56078078477</v>
      </c>
      <c r="L2173" s="95">
        <f>+VLOOKUP(E2173,MARGEN!A:B,2,FALSE)</f>
        <v>0.1</v>
      </c>
      <c r="M2173" s="112">
        <f t="shared" si="133"/>
        <v>8990.6560780784766</v>
      </c>
      <c r="N2173" s="113">
        <f t="shared" si="134"/>
        <v>359.62624312313909</v>
      </c>
      <c r="O2173" s="113">
        <f t="shared" si="135"/>
        <v>80556.278459583147</v>
      </c>
    </row>
    <row r="2174" spans="1:15" x14ac:dyDescent="0.25">
      <c r="A2174" s="13">
        <v>44447</v>
      </c>
      <c r="B2174" s="97">
        <v>3359</v>
      </c>
      <c r="C2174" t="s">
        <v>309</v>
      </c>
      <c r="D2174" s="94" t="s">
        <v>544</v>
      </c>
      <c r="E2174" t="s">
        <v>17</v>
      </c>
      <c r="F2174" t="s">
        <v>558</v>
      </c>
      <c r="G2174" s="50" t="s">
        <v>559</v>
      </c>
      <c r="H2174" s="50">
        <v>2</v>
      </c>
      <c r="I2174" s="100">
        <v>6.7391919697301583</v>
      </c>
      <c r="J2174" s="52">
        <v>3834.68</v>
      </c>
      <c r="K2174" s="67">
        <f t="shared" si="136"/>
        <v>86805.443421286589</v>
      </c>
      <c r="L2174" s="95">
        <f>+VLOOKUP(E2174,MARGEN!A:B,2,FALSE)</f>
        <v>0.1</v>
      </c>
      <c r="M2174" s="112">
        <f t="shared" si="133"/>
        <v>8680.54434212866</v>
      </c>
      <c r="N2174" s="113">
        <f t="shared" si="134"/>
        <v>347.22177368514633</v>
      </c>
      <c r="O2174" s="113">
        <f t="shared" si="135"/>
        <v>77777.677305472782</v>
      </c>
    </row>
    <row r="2175" spans="1:15" x14ac:dyDescent="0.25">
      <c r="A2175" s="13">
        <v>44447</v>
      </c>
      <c r="B2175" s="97">
        <v>2903</v>
      </c>
      <c r="C2175" t="s">
        <v>134</v>
      </c>
      <c r="D2175" s="94" t="s">
        <v>362</v>
      </c>
      <c r="E2175" t="s">
        <v>17</v>
      </c>
      <c r="F2175" t="s">
        <v>558</v>
      </c>
      <c r="G2175" s="50" t="s">
        <v>559</v>
      </c>
      <c r="H2175" s="50">
        <v>2</v>
      </c>
      <c r="I2175" s="100">
        <v>6.7391919697301583</v>
      </c>
      <c r="J2175" s="52">
        <v>3834.68</v>
      </c>
      <c r="K2175" s="67">
        <f t="shared" si="136"/>
        <v>75021.197455193484</v>
      </c>
      <c r="L2175" s="95">
        <f>+VLOOKUP(E2175,MARGEN!A:B,2,FALSE)</f>
        <v>0.1</v>
      </c>
      <c r="M2175" s="112">
        <f t="shared" si="133"/>
        <v>7502.1197455193487</v>
      </c>
      <c r="N2175" s="113">
        <f t="shared" si="134"/>
        <v>300.08478982077395</v>
      </c>
      <c r="O2175" s="113">
        <f t="shared" si="135"/>
        <v>67218.992919853365</v>
      </c>
    </row>
    <row r="2176" spans="1:15" x14ac:dyDescent="0.25">
      <c r="A2176" s="13">
        <v>44447</v>
      </c>
      <c r="B2176" s="97">
        <v>2783</v>
      </c>
      <c r="C2176" t="s">
        <v>131</v>
      </c>
      <c r="D2176" s="94" t="s">
        <v>344</v>
      </c>
      <c r="E2176" t="s">
        <v>17</v>
      </c>
      <c r="F2176" t="s">
        <v>562</v>
      </c>
      <c r="G2176" s="50" t="s">
        <v>559</v>
      </c>
      <c r="H2176" s="50">
        <v>2</v>
      </c>
      <c r="I2176" s="100">
        <v>6.7391919697301583</v>
      </c>
      <c r="J2176" s="52">
        <v>3834.68</v>
      </c>
      <c r="K2176" s="67">
        <f t="shared" si="136"/>
        <v>71920.080095695317</v>
      </c>
      <c r="L2176" s="95">
        <f>+VLOOKUP(E2176,MARGEN!A:B,2,FALSE)</f>
        <v>0.1</v>
      </c>
      <c r="M2176" s="112">
        <f t="shared" si="133"/>
        <v>7192.0080095695321</v>
      </c>
      <c r="N2176" s="113">
        <f t="shared" si="134"/>
        <v>287.68032038278125</v>
      </c>
      <c r="O2176" s="113">
        <f t="shared" si="135"/>
        <v>64440.391765743007</v>
      </c>
    </row>
    <row r="2177" spans="1:15" x14ac:dyDescent="0.25">
      <c r="A2177" s="13">
        <v>44447</v>
      </c>
      <c r="B2177" s="97">
        <v>2711</v>
      </c>
      <c r="C2177" t="s">
        <v>132</v>
      </c>
      <c r="D2177" s="94" t="s">
        <v>376</v>
      </c>
      <c r="E2177" t="s">
        <v>17</v>
      </c>
      <c r="F2177" t="s">
        <v>562</v>
      </c>
      <c r="G2177" s="50" t="s">
        <v>559</v>
      </c>
      <c r="H2177" s="50">
        <v>2</v>
      </c>
      <c r="I2177" s="100">
        <v>6.7391919697301583</v>
      </c>
      <c r="J2177" s="52">
        <v>3834.68</v>
      </c>
      <c r="K2177" s="67">
        <f t="shared" si="136"/>
        <v>70059.409679996417</v>
      </c>
      <c r="L2177" s="95">
        <f>+VLOOKUP(E2177,MARGEN!A:B,2,FALSE)</f>
        <v>0.1</v>
      </c>
      <c r="M2177" s="112">
        <f t="shared" si="133"/>
        <v>7005.9409679996425</v>
      </c>
      <c r="N2177" s="113">
        <f t="shared" si="134"/>
        <v>280.23763871998568</v>
      </c>
      <c r="O2177" s="113">
        <f t="shared" si="135"/>
        <v>62773.231073276787</v>
      </c>
    </row>
    <row r="2178" spans="1:15" x14ac:dyDescent="0.25">
      <c r="A2178" s="13">
        <v>44447</v>
      </c>
      <c r="B2178" s="97">
        <v>2663</v>
      </c>
      <c r="C2178" t="s">
        <v>186</v>
      </c>
      <c r="D2178" s="94" t="s">
        <v>440</v>
      </c>
      <c r="E2178" t="s">
        <v>17</v>
      </c>
      <c r="F2178" t="s">
        <v>558</v>
      </c>
      <c r="G2178" s="50" t="s">
        <v>559</v>
      </c>
      <c r="H2178" s="50">
        <v>2</v>
      </c>
      <c r="I2178" s="100">
        <v>6.7391919697301583</v>
      </c>
      <c r="J2178" s="52">
        <v>3834.68</v>
      </c>
      <c r="K2178" s="67">
        <f t="shared" si="136"/>
        <v>68818.962736197136</v>
      </c>
      <c r="L2178" s="95">
        <f>+VLOOKUP(E2178,MARGEN!A:B,2,FALSE)</f>
        <v>0.1</v>
      </c>
      <c r="M2178" s="112">
        <f t="shared" si="133"/>
        <v>6881.8962736197136</v>
      </c>
      <c r="N2178" s="113">
        <f t="shared" si="134"/>
        <v>275.27585094478854</v>
      </c>
      <c r="O2178" s="113">
        <f t="shared" si="135"/>
        <v>61661.790611632634</v>
      </c>
    </row>
    <row r="2179" spans="1:15" x14ac:dyDescent="0.25">
      <c r="A2179" s="13">
        <v>44447</v>
      </c>
      <c r="B2179" s="97">
        <v>2567</v>
      </c>
      <c r="C2179" t="s">
        <v>310</v>
      </c>
      <c r="D2179" s="94" t="s">
        <v>540</v>
      </c>
      <c r="E2179" t="s">
        <v>17</v>
      </c>
      <c r="F2179" t="s">
        <v>558</v>
      </c>
      <c r="G2179" s="50" t="s">
        <v>559</v>
      </c>
      <c r="H2179" s="50">
        <v>2</v>
      </c>
      <c r="I2179" s="100">
        <v>6.7391919697301583</v>
      </c>
      <c r="J2179" s="52">
        <v>3834.68</v>
      </c>
      <c r="K2179" s="67">
        <f t="shared" si="136"/>
        <v>66338.068848598588</v>
      </c>
      <c r="L2179" s="95">
        <f>+VLOOKUP(E2179,MARGEN!A:B,2,FALSE)</f>
        <v>0.1</v>
      </c>
      <c r="M2179" s="112">
        <f t="shared" ref="M2179:M2242" si="137">+K2179*L2179</f>
        <v>6633.8068848598596</v>
      </c>
      <c r="N2179" s="113">
        <f t="shared" ref="N2179:N2242" si="138">+K2179*4/1000</f>
        <v>265.35227539439433</v>
      </c>
      <c r="O2179" s="113">
        <f t="shared" ref="O2179:O2242" si="139">+K2179-M2179-N2179</f>
        <v>59438.909688344334</v>
      </c>
    </row>
    <row r="2180" spans="1:15" x14ac:dyDescent="0.25">
      <c r="A2180" s="13">
        <v>44447</v>
      </c>
      <c r="B2180" s="97">
        <v>2519</v>
      </c>
      <c r="C2180" t="s">
        <v>127</v>
      </c>
      <c r="D2180" s="94" t="s">
        <v>411</v>
      </c>
      <c r="E2180" t="s">
        <v>17</v>
      </c>
      <c r="F2180" t="s">
        <v>558</v>
      </c>
      <c r="G2180" s="50" t="s">
        <v>559</v>
      </c>
      <c r="H2180" s="50">
        <v>2</v>
      </c>
      <c r="I2180" s="100">
        <v>6.7391919697301583</v>
      </c>
      <c r="J2180" s="52">
        <v>3834.68</v>
      </c>
      <c r="K2180" s="67">
        <f t="shared" si="136"/>
        <v>65097.621904799322</v>
      </c>
      <c r="L2180" s="95">
        <f>+VLOOKUP(E2180,MARGEN!A:B,2,FALSE)</f>
        <v>0.1</v>
      </c>
      <c r="M2180" s="112">
        <f t="shared" si="137"/>
        <v>6509.7621904799325</v>
      </c>
      <c r="N2180" s="113">
        <f t="shared" si="138"/>
        <v>260.3904876191973</v>
      </c>
      <c r="O2180" s="113">
        <f t="shared" si="139"/>
        <v>58327.469226700196</v>
      </c>
    </row>
    <row r="2181" spans="1:15" x14ac:dyDescent="0.25">
      <c r="A2181" s="13">
        <v>44447</v>
      </c>
      <c r="B2181" s="97">
        <v>2519</v>
      </c>
      <c r="C2181" t="s">
        <v>146</v>
      </c>
      <c r="D2181" s="94" t="s">
        <v>348</v>
      </c>
      <c r="E2181" t="s">
        <v>17</v>
      </c>
      <c r="F2181" t="s">
        <v>562</v>
      </c>
      <c r="G2181" s="50" t="s">
        <v>559</v>
      </c>
      <c r="H2181" s="50">
        <v>2</v>
      </c>
      <c r="I2181" s="100">
        <v>6.7391919697301583</v>
      </c>
      <c r="J2181" s="52">
        <v>3834.68</v>
      </c>
      <c r="K2181" s="67">
        <f t="shared" si="136"/>
        <v>65097.621904799322</v>
      </c>
      <c r="L2181" s="95">
        <f>+VLOOKUP(E2181,MARGEN!A:B,2,FALSE)</f>
        <v>0.1</v>
      </c>
      <c r="M2181" s="112">
        <f t="shared" si="137"/>
        <v>6509.7621904799325</v>
      </c>
      <c r="N2181" s="113">
        <f t="shared" si="138"/>
        <v>260.3904876191973</v>
      </c>
      <c r="O2181" s="113">
        <f t="shared" si="139"/>
        <v>58327.469226700196</v>
      </c>
    </row>
    <row r="2182" spans="1:15" x14ac:dyDescent="0.25">
      <c r="A2182" s="13">
        <v>44447</v>
      </c>
      <c r="B2182" s="97">
        <v>2423</v>
      </c>
      <c r="C2182" t="s">
        <v>281</v>
      </c>
      <c r="D2182" t="s">
        <v>495</v>
      </c>
      <c r="E2182" t="s">
        <v>17</v>
      </c>
      <c r="F2182" t="s">
        <v>558</v>
      </c>
      <c r="G2182" s="50" t="s">
        <v>559</v>
      </c>
      <c r="H2182" s="50">
        <v>2</v>
      </c>
      <c r="I2182" s="100">
        <v>6.7391919697301583</v>
      </c>
      <c r="J2182" s="52">
        <v>3834.68</v>
      </c>
      <c r="K2182" s="67">
        <f t="shared" si="136"/>
        <v>62616.728017200774</v>
      </c>
      <c r="L2182" s="95">
        <f>+VLOOKUP(E2182,MARGEN!A:B,2,FALSE)</f>
        <v>0.1</v>
      </c>
      <c r="M2182" s="112">
        <f t="shared" si="137"/>
        <v>6261.6728017200776</v>
      </c>
      <c r="N2182" s="113">
        <f t="shared" si="138"/>
        <v>250.46691206880308</v>
      </c>
      <c r="O2182" s="113">
        <f t="shared" si="139"/>
        <v>56104.588303411889</v>
      </c>
    </row>
    <row r="2183" spans="1:15" x14ac:dyDescent="0.25">
      <c r="A2183" s="13">
        <v>44447</v>
      </c>
      <c r="B2183" s="97">
        <v>2399</v>
      </c>
      <c r="C2183" t="s">
        <v>163</v>
      </c>
      <c r="D2183" s="94" t="s">
        <v>398</v>
      </c>
      <c r="E2183" t="s">
        <v>17</v>
      </c>
      <c r="F2183" t="s">
        <v>558</v>
      </c>
      <c r="G2183" s="50" t="s">
        <v>559</v>
      </c>
      <c r="H2183" s="50">
        <v>2</v>
      </c>
      <c r="I2183" s="100">
        <v>6.7391919697301583</v>
      </c>
      <c r="J2183" s="52">
        <v>3834.68</v>
      </c>
      <c r="K2183" s="67">
        <f t="shared" si="136"/>
        <v>61996.504545301133</v>
      </c>
      <c r="L2183" s="95">
        <f>+VLOOKUP(E2183,MARGEN!A:B,2,FALSE)</f>
        <v>0.1</v>
      </c>
      <c r="M2183" s="112">
        <f t="shared" si="137"/>
        <v>6199.6504545301141</v>
      </c>
      <c r="N2183" s="113">
        <f t="shared" si="138"/>
        <v>247.98601818120454</v>
      </c>
      <c r="O2183" s="113">
        <f t="shared" si="139"/>
        <v>55548.868072589816</v>
      </c>
    </row>
    <row r="2184" spans="1:15" x14ac:dyDescent="0.25">
      <c r="A2184" s="13">
        <v>44447</v>
      </c>
      <c r="B2184" s="97">
        <v>2303</v>
      </c>
      <c r="C2184" t="s">
        <v>128</v>
      </c>
      <c r="D2184" s="94" t="s">
        <v>416</v>
      </c>
      <c r="E2184" t="s">
        <v>17</v>
      </c>
      <c r="F2184" t="s">
        <v>558</v>
      </c>
      <c r="G2184" s="50" t="s">
        <v>559</v>
      </c>
      <c r="H2184" s="50">
        <v>2</v>
      </c>
      <c r="I2184" s="100">
        <v>6.7391919697301583</v>
      </c>
      <c r="J2184" s="52">
        <v>3834.68</v>
      </c>
      <c r="K2184" s="67">
        <f t="shared" si="136"/>
        <v>59515.610657702593</v>
      </c>
      <c r="L2184" s="95">
        <f>+VLOOKUP(E2184,MARGEN!A:B,2,FALSE)</f>
        <v>0.1</v>
      </c>
      <c r="M2184" s="112">
        <f t="shared" si="137"/>
        <v>5951.56106577026</v>
      </c>
      <c r="N2184" s="113">
        <f t="shared" si="138"/>
        <v>238.06244263081038</v>
      </c>
      <c r="O2184" s="113">
        <f t="shared" si="139"/>
        <v>53325.987149301516</v>
      </c>
    </row>
    <row r="2185" spans="1:15" x14ac:dyDescent="0.25">
      <c r="A2185" s="13">
        <v>44447</v>
      </c>
      <c r="B2185" s="97">
        <v>2303</v>
      </c>
      <c r="C2185" t="s">
        <v>130</v>
      </c>
      <c r="D2185" s="94" t="s">
        <v>367</v>
      </c>
      <c r="E2185" t="s">
        <v>17</v>
      </c>
      <c r="F2185" t="s">
        <v>558</v>
      </c>
      <c r="G2185" s="50" t="s">
        <v>559</v>
      </c>
      <c r="H2185" s="50">
        <v>2</v>
      </c>
      <c r="I2185" s="100">
        <v>6.7391919697301583</v>
      </c>
      <c r="J2185" s="52">
        <v>3834.68</v>
      </c>
      <c r="K2185" s="67">
        <f t="shared" ref="K2185:K2248" si="140">+B2185*I2185*J2185/1000</f>
        <v>59515.610657702593</v>
      </c>
      <c r="L2185" s="95">
        <f>+VLOOKUP(E2185,MARGEN!A:B,2,FALSE)</f>
        <v>0.1</v>
      </c>
      <c r="M2185" s="112">
        <f t="shared" si="137"/>
        <v>5951.56106577026</v>
      </c>
      <c r="N2185" s="113">
        <f t="shared" si="138"/>
        <v>238.06244263081038</v>
      </c>
      <c r="O2185" s="113">
        <f t="shared" si="139"/>
        <v>53325.987149301516</v>
      </c>
    </row>
    <row r="2186" spans="1:15" x14ac:dyDescent="0.25">
      <c r="A2186" s="13">
        <v>44447</v>
      </c>
      <c r="B2186" s="97">
        <v>2279</v>
      </c>
      <c r="C2186" t="s">
        <v>122</v>
      </c>
      <c r="D2186" s="94" t="s">
        <v>446</v>
      </c>
      <c r="E2186" t="s">
        <v>17</v>
      </c>
      <c r="F2186" t="s">
        <v>558</v>
      </c>
      <c r="G2186" s="50" t="s">
        <v>559</v>
      </c>
      <c r="H2186" s="50">
        <v>2</v>
      </c>
      <c r="I2186" s="100">
        <v>6.7391919697301583</v>
      </c>
      <c r="J2186" s="52">
        <v>3834.68</v>
      </c>
      <c r="K2186" s="67">
        <f t="shared" si="140"/>
        <v>58895.387185802952</v>
      </c>
      <c r="L2186" s="95">
        <f>+VLOOKUP(E2186,MARGEN!A:B,2,FALSE)</f>
        <v>0.1</v>
      </c>
      <c r="M2186" s="112">
        <f t="shared" si="137"/>
        <v>5889.5387185802956</v>
      </c>
      <c r="N2186" s="113">
        <f t="shared" si="138"/>
        <v>235.58154874321181</v>
      </c>
      <c r="O2186" s="113">
        <f t="shared" si="139"/>
        <v>52770.266918479443</v>
      </c>
    </row>
    <row r="2187" spans="1:15" x14ac:dyDescent="0.25">
      <c r="A2187" s="13">
        <v>44447</v>
      </c>
      <c r="B2187" s="97">
        <v>2231</v>
      </c>
      <c r="C2187" t="s">
        <v>157</v>
      </c>
      <c r="D2187" s="94" t="s">
        <v>435</v>
      </c>
      <c r="E2187" t="s">
        <v>17</v>
      </c>
      <c r="F2187" t="s">
        <v>558</v>
      </c>
      <c r="G2187" s="50" t="s">
        <v>559</v>
      </c>
      <c r="H2187" s="50">
        <v>2</v>
      </c>
      <c r="I2187" s="100">
        <v>6.7391919697301583</v>
      </c>
      <c r="J2187" s="52">
        <v>3834.68</v>
      </c>
      <c r="K2187" s="67">
        <f t="shared" si="140"/>
        <v>57654.940242003679</v>
      </c>
      <c r="L2187" s="95">
        <f>+VLOOKUP(E2187,MARGEN!A:B,2,FALSE)</f>
        <v>0.1</v>
      </c>
      <c r="M2187" s="112">
        <f t="shared" si="137"/>
        <v>5765.4940242003686</v>
      </c>
      <c r="N2187" s="113">
        <f t="shared" si="138"/>
        <v>230.6197609680147</v>
      </c>
      <c r="O2187" s="113">
        <f t="shared" si="139"/>
        <v>51658.826456835297</v>
      </c>
    </row>
    <row r="2188" spans="1:15" x14ac:dyDescent="0.25">
      <c r="A2188" s="13">
        <v>44447</v>
      </c>
      <c r="B2188" s="97">
        <v>2231</v>
      </c>
      <c r="C2188" t="s">
        <v>126</v>
      </c>
      <c r="D2188" s="94" t="s">
        <v>438</v>
      </c>
      <c r="E2188" t="s">
        <v>17</v>
      </c>
      <c r="F2188" t="s">
        <v>558</v>
      </c>
      <c r="G2188" s="50" t="s">
        <v>559</v>
      </c>
      <c r="H2188" s="50">
        <v>2</v>
      </c>
      <c r="I2188" s="100">
        <v>6.7391919697301583</v>
      </c>
      <c r="J2188" s="52">
        <v>3834.68</v>
      </c>
      <c r="K2188" s="67">
        <f t="shared" si="140"/>
        <v>57654.940242003679</v>
      </c>
      <c r="L2188" s="95">
        <f>+VLOOKUP(E2188,MARGEN!A:B,2,FALSE)</f>
        <v>0.1</v>
      </c>
      <c r="M2188" s="112">
        <f t="shared" si="137"/>
        <v>5765.4940242003686</v>
      </c>
      <c r="N2188" s="113">
        <f t="shared" si="138"/>
        <v>230.6197609680147</v>
      </c>
      <c r="O2188" s="113">
        <f t="shared" si="139"/>
        <v>51658.826456835297</v>
      </c>
    </row>
    <row r="2189" spans="1:15" x14ac:dyDescent="0.25">
      <c r="A2189" s="13">
        <v>44447</v>
      </c>
      <c r="B2189" s="97">
        <v>2135</v>
      </c>
      <c r="C2189" t="s">
        <v>312</v>
      </c>
      <c r="D2189" s="94" t="s">
        <v>542</v>
      </c>
      <c r="E2189" t="s">
        <v>17</v>
      </c>
      <c r="F2189" t="s">
        <v>558</v>
      </c>
      <c r="G2189" s="50" t="s">
        <v>559</v>
      </c>
      <c r="H2189" s="50">
        <v>2</v>
      </c>
      <c r="I2189" s="100">
        <v>6.7391919697301583</v>
      </c>
      <c r="J2189" s="52">
        <v>3834.68</v>
      </c>
      <c r="K2189" s="67">
        <f t="shared" si="140"/>
        <v>55174.046354405145</v>
      </c>
      <c r="L2189" s="95">
        <f>+VLOOKUP(E2189,MARGEN!A:B,2,FALSE)</f>
        <v>0.1</v>
      </c>
      <c r="M2189" s="112">
        <f t="shared" si="137"/>
        <v>5517.4046354405145</v>
      </c>
      <c r="N2189" s="113">
        <f t="shared" si="138"/>
        <v>220.69618541762057</v>
      </c>
      <c r="O2189" s="113">
        <f t="shared" si="139"/>
        <v>49435.945533547012</v>
      </c>
    </row>
    <row r="2190" spans="1:15" x14ac:dyDescent="0.25">
      <c r="A2190" s="13">
        <v>44447</v>
      </c>
      <c r="B2190" s="97">
        <v>2015</v>
      </c>
      <c r="C2190" t="s">
        <v>123</v>
      </c>
      <c r="D2190" s="94" t="s">
        <v>396</v>
      </c>
      <c r="E2190" t="s">
        <v>17</v>
      </c>
      <c r="F2190" t="s">
        <v>558</v>
      </c>
      <c r="G2190" s="50" t="s">
        <v>559</v>
      </c>
      <c r="H2190" s="50">
        <v>2</v>
      </c>
      <c r="I2190" s="100">
        <v>6.7391919697301583</v>
      </c>
      <c r="J2190" s="52">
        <v>3834.68</v>
      </c>
      <c r="K2190" s="67">
        <f t="shared" si="140"/>
        <v>52072.928994906957</v>
      </c>
      <c r="L2190" s="95">
        <f>+VLOOKUP(E2190,MARGEN!A:B,2,FALSE)</f>
        <v>0.1</v>
      </c>
      <c r="M2190" s="112">
        <f t="shared" si="137"/>
        <v>5207.2928994906961</v>
      </c>
      <c r="N2190" s="113">
        <f t="shared" si="138"/>
        <v>208.29171597962784</v>
      </c>
      <c r="O2190" s="113">
        <f t="shared" si="139"/>
        <v>46657.344379436632</v>
      </c>
    </row>
    <row r="2191" spans="1:15" x14ac:dyDescent="0.25">
      <c r="A2191" s="13">
        <v>44447</v>
      </c>
      <c r="B2191" s="97">
        <v>1991</v>
      </c>
      <c r="C2191" t="s">
        <v>295</v>
      </c>
      <c r="D2191" s="94" t="s">
        <v>532</v>
      </c>
      <c r="E2191" t="s">
        <v>17</v>
      </c>
      <c r="F2191" t="s">
        <v>558</v>
      </c>
      <c r="G2191" s="50" t="s">
        <v>559</v>
      </c>
      <c r="H2191" s="50">
        <v>2</v>
      </c>
      <c r="I2191" s="100">
        <v>6.7391919697301583</v>
      </c>
      <c r="J2191" s="52">
        <v>3834.68</v>
      </c>
      <c r="K2191" s="67">
        <f t="shared" si="140"/>
        <v>51452.705523007324</v>
      </c>
      <c r="L2191" s="95">
        <f>+VLOOKUP(E2191,MARGEN!A:B,2,FALSE)</f>
        <v>0.1</v>
      </c>
      <c r="M2191" s="112">
        <f t="shared" si="137"/>
        <v>5145.2705523007326</v>
      </c>
      <c r="N2191" s="113">
        <f t="shared" si="138"/>
        <v>205.8108220920293</v>
      </c>
      <c r="O2191" s="113">
        <f t="shared" si="139"/>
        <v>46101.624148614566</v>
      </c>
    </row>
    <row r="2192" spans="1:15" x14ac:dyDescent="0.25">
      <c r="A2192" s="13">
        <v>44447</v>
      </c>
      <c r="B2192" s="97">
        <v>1871</v>
      </c>
      <c r="C2192" t="s">
        <v>125</v>
      </c>
      <c r="D2192" s="94" t="s">
        <v>341</v>
      </c>
      <c r="E2192" t="s">
        <v>17</v>
      </c>
      <c r="F2192" t="s">
        <v>558</v>
      </c>
      <c r="G2192" s="50" t="s">
        <v>559</v>
      </c>
      <c r="H2192" s="50">
        <v>2</v>
      </c>
      <c r="I2192" s="100">
        <v>6.7391919697301583</v>
      </c>
      <c r="J2192" s="52">
        <v>3834.68</v>
      </c>
      <c r="K2192" s="67">
        <f t="shared" si="140"/>
        <v>48351.588163509143</v>
      </c>
      <c r="L2192" s="95">
        <f>+VLOOKUP(E2192,MARGEN!A:B,2,FALSE)</f>
        <v>0.1</v>
      </c>
      <c r="M2192" s="112">
        <f t="shared" si="137"/>
        <v>4835.1588163509141</v>
      </c>
      <c r="N2192" s="113">
        <f t="shared" si="138"/>
        <v>193.40635265403657</v>
      </c>
      <c r="O2192" s="113">
        <f t="shared" si="139"/>
        <v>43323.022994504194</v>
      </c>
    </row>
    <row r="2193" spans="1:15" x14ac:dyDescent="0.25">
      <c r="A2193" s="13">
        <v>44447</v>
      </c>
      <c r="B2193" s="97">
        <v>1799</v>
      </c>
      <c r="C2193" t="s">
        <v>172</v>
      </c>
      <c r="D2193" s="94" t="s">
        <v>371</v>
      </c>
      <c r="E2193" t="s">
        <v>17</v>
      </c>
      <c r="F2193" t="s">
        <v>558</v>
      </c>
      <c r="G2193" s="50" t="s">
        <v>559</v>
      </c>
      <c r="H2193" s="50">
        <v>2</v>
      </c>
      <c r="I2193" s="100">
        <v>6.7391919697301583</v>
      </c>
      <c r="J2193" s="52">
        <v>3834.68</v>
      </c>
      <c r="K2193" s="67">
        <f t="shared" si="140"/>
        <v>46490.917747810228</v>
      </c>
      <c r="L2193" s="95">
        <f>+VLOOKUP(E2193,MARGEN!A:B,2,FALSE)</f>
        <v>0.1</v>
      </c>
      <c r="M2193" s="112">
        <f t="shared" si="137"/>
        <v>4649.0917747810227</v>
      </c>
      <c r="N2193" s="113">
        <f t="shared" si="138"/>
        <v>185.96367099124092</v>
      </c>
      <c r="O2193" s="113">
        <f t="shared" si="139"/>
        <v>41655.862302037967</v>
      </c>
    </row>
    <row r="2194" spans="1:15" x14ac:dyDescent="0.25">
      <c r="A2194" s="13">
        <v>44447</v>
      </c>
      <c r="B2194" s="97">
        <v>1775</v>
      </c>
      <c r="C2194" t="s">
        <v>311</v>
      </c>
      <c r="D2194" s="94" t="s">
        <v>541</v>
      </c>
      <c r="E2194" t="s">
        <v>17</v>
      </c>
      <c r="F2194" t="s">
        <v>558</v>
      </c>
      <c r="G2194" s="50" t="s">
        <v>559</v>
      </c>
      <c r="H2194" s="50">
        <v>2</v>
      </c>
      <c r="I2194" s="100">
        <v>6.7391919697301583</v>
      </c>
      <c r="J2194" s="52">
        <v>3834.68</v>
      </c>
      <c r="K2194" s="67">
        <f t="shared" si="140"/>
        <v>45870.694275910595</v>
      </c>
      <c r="L2194" s="95">
        <f>+VLOOKUP(E2194,MARGEN!A:B,2,FALSE)</f>
        <v>0.1</v>
      </c>
      <c r="M2194" s="112">
        <f t="shared" si="137"/>
        <v>4587.06942759106</v>
      </c>
      <c r="N2194" s="113">
        <f t="shared" si="138"/>
        <v>183.48277710364238</v>
      </c>
      <c r="O2194" s="113">
        <f t="shared" si="139"/>
        <v>41100.142071215894</v>
      </c>
    </row>
    <row r="2195" spans="1:15" x14ac:dyDescent="0.25">
      <c r="A2195" s="13">
        <v>44447</v>
      </c>
      <c r="B2195" s="97">
        <v>1751</v>
      </c>
      <c r="C2195" t="s">
        <v>154</v>
      </c>
      <c r="D2195" s="94" t="s">
        <v>419</v>
      </c>
      <c r="E2195" t="s">
        <v>17</v>
      </c>
      <c r="F2195" t="s">
        <v>558</v>
      </c>
      <c r="G2195" s="50" t="s">
        <v>559</v>
      </c>
      <c r="H2195" s="50">
        <v>2</v>
      </c>
      <c r="I2195" s="100">
        <v>6.7391919697301583</v>
      </c>
      <c r="J2195" s="52">
        <v>3834.68</v>
      </c>
      <c r="K2195" s="67">
        <f t="shared" si="140"/>
        <v>45250.470804010954</v>
      </c>
      <c r="L2195" s="95">
        <f>+VLOOKUP(E2195,MARGEN!A:B,2,FALSE)</f>
        <v>0.1</v>
      </c>
      <c r="M2195" s="112">
        <f t="shared" si="137"/>
        <v>4525.0470804010956</v>
      </c>
      <c r="N2195" s="113">
        <f t="shared" si="138"/>
        <v>181.00188321604381</v>
      </c>
      <c r="O2195" s="113">
        <f t="shared" si="139"/>
        <v>40544.421840393814</v>
      </c>
    </row>
    <row r="2196" spans="1:15" x14ac:dyDescent="0.25">
      <c r="A2196" s="13">
        <v>44447</v>
      </c>
      <c r="B2196" s="97">
        <v>1727</v>
      </c>
      <c r="C2196" t="s">
        <v>170</v>
      </c>
      <c r="D2196" s="94" t="s">
        <v>437</v>
      </c>
      <c r="E2196" t="s">
        <v>17</v>
      </c>
      <c r="F2196" t="s">
        <v>558</v>
      </c>
      <c r="G2196" s="50" t="s">
        <v>559</v>
      </c>
      <c r="H2196" s="50">
        <v>2</v>
      </c>
      <c r="I2196" s="100">
        <v>6.7391919697301583</v>
      </c>
      <c r="J2196" s="52">
        <v>3834.68</v>
      </c>
      <c r="K2196" s="67">
        <f t="shared" si="140"/>
        <v>44630.247332111321</v>
      </c>
      <c r="L2196" s="95">
        <f>+VLOOKUP(E2196,MARGEN!A:B,2,FALSE)</f>
        <v>0.1</v>
      </c>
      <c r="M2196" s="112">
        <f t="shared" si="137"/>
        <v>4463.0247332111321</v>
      </c>
      <c r="N2196" s="113">
        <f t="shared" si="138"/>
        <v>178.5209893284453</v>
      </c>
      <c r="O2196" s="113">
        <f t="shared" si="139"/>
        <v>39988.701609571741</v>
      </c>
    </row>
    <row r="2197" spans="1:15" x14ac:dyDescent="0.25">
      <c r="A2197" s="13">
        <v>44447</v>
      </c>
      <c r="B2197" s="97">
        <v>1727</v>
      </c>
      <c r="C2197" t="s">
        <v>174</v>
      </c>
      <c r="D2197" s="94" t="s">
        <v>395</v>
      </c>
      <c r="E2197" t="s">
        <v>17</v>
      </c>
      <c r="F2197" t="s">
        <v>558</v>
      </c>
      <c r="G2197" s="50" t="s">
        <v>559</v>
      </c>
      <c r="H2197" s="50">
        <v>2</v>
      </c>
      <c r="I2197" s="100">
        <v>6.7391919697301583</v>
      </c>
      <c r="J2197" s="52">
        <v>3834.68</v>
      </c>
      <c r="K2197" s="67">
        <f t="shared" si="140"/>
        <v>44630.247332111321</v>
      </c>
      <c r="L2197" s="95">
        <f>+VLOOKUP(E2197,MARGEN!A:B,2,FALSE)</f>
        <v>0.1</v>
      </c>
      <c r="M2197" s="112">
        <f t="shared" si="137"/>
        <v>4463.0247332111321</v>
      </c>
      <c r="N2197" s="113">
        <f t="shared" si="138"/>
        <v>178.5209893284453</v>
      </c>
      <c r="O2197" s="113">
        <f t="shared" si="139"/>
        <v>39988.701609571741</v>
      </c>
    </row>
    <row r="2198" spans="1:15" x14ac:dyDescent="0.25">
      <c r="A2198" s="13">
        <v>44447</v>
      </c>
      <c r="B2198" s="97">
        <v>1703</v>
      </c>
      <c r="C2198" t="s">
        <v>296</v>
      </c>
      <c r="D2198" s="94" t="s">
        <v>498</v>
      </c>
      <c r="E2198" t="s">
        <v>17</v>
      </c>
      <c r="F2198" t="s">
        <v>558</v>
      </c>
      <c r="G2198" s="50" t="s">
        <v>559</v>
      </c>
      <c r="H2198" s="50">
        <v>2</v>
      </c>
      <c r="I2198" s="100">
        <v>6.7391919697301583</v>
      </c>
      <c r="J2198" s="52">
        <v>3834.68</v>
      </c>
      <c r="K2198" s="67">
        <f t="shared" si="140"/>
        <v>44010.023860211688</v>
      </c>
      <c r="L2198" s="95">
        <f>+VLOOKUP(E2198,MARGEN!A:B,2,FALSE)</f>
        <v>0.1</v>
      </c>
      <c r="M2198" s="112">
        <f t="shared" si="137"/>
        <v>4401.0023860211686</v>
      </c>
      <c r="N2198" s="113">
        <f t="shared" si="138"/>
        <v>176.04009544084676</v>
      </c>
      <c r="O2198" s="113">
        <f t="shared" si="139"/>
        <v>39432.981378749675</v>
      </c>
    </row>
    <row r="2199" spans="1:15" x14ac:dyDescent="0.25">
      <c r="A2199" s="13">
        <v>44447</v>
      </c>
      <c r="B2199" s="51">
        <v>1679</v>
      </c>
      <c r="C2199" s="66" t="s">
        <v>121</v>
      </c>
      <c r="D2199" s="66" t="s">
        <v>381</v>
      </c>
      <c r="E2199" t="s">
        <v>17</v>
      </c>
      <c r="F2199" s="50" t="s">
        <v>558</v>
      </c>
      <c r="G2199" s="50" t="s">
        <v>559</v>
      </c>
      <c r="H2199" s="50">
        <v>2</v>
      </c>
      <c r="I2199" s="100">
        <v>6.7391919697301583</v>
      </c>
      <c r="J2199" s="52">
        <v>3834.68</v>
      </c>
      <c r="K2199" s="67">
        <f t="shared" si="140"/>
        <v>43389.800388312047</v>
      </c>
      <c r="L2199" s="95">
        <f>+VLOOKUP(E2199,MARGEN!A:B,2,FALSE)</f>
        <v>0.1</v>
      </c>
      <c r="M2199" s="112">
        <f t="shared" si="137"/>
        <v>4338.9800388312051</v>
      </c>
      <c r="N2199" s="113">
        <f t="shared" si="138"/>
        <v>173.55920155324819</v>
      </c>
      <c r="O2199" s="113">
        <f t="shared" si="139"/>
        <v>38877.261147927595</v>
      </c>
    </row>
    <row r="2200" spans="1:15" x14ac:dyDescent="0.25">
      <c r="A2200" s="13">
        <v>44447</v>
      </c>
      <c r="B2200" s="97">
        <v>1679</v>
      </c>
      <c r="C2200" t="s">
        <v>194</v>
      </c>
      <c r="D2200" s="94" t="s">
        <v>417</v>
      </c>
      <c r="E2200" t="s">
        <v>17</v>
      </c>
      <c r="F2200" t="s">
        <v>558</v>
      </c>
      <c r="G2200" s="50" t="s">
        <v>559</v>
      </c>
      <c r="H2200" s="50">
        <v>2</v>
      </c>
      <c r="I2200" s="100">
        <v>6.7391919697301583</v>
      </c>
      <c r="J2200" s="52">
        <v>3834.68</v>
      </c>
      <c r="K2200" s="67">
        <f t="shared" si="140"/>
        <v>43389.800388312047</v>
      </c>
      <c r="L2200" s="95">
        <f>+VLOOKUP(E2200,MARGEN!A:B,2,FALSE)</f>
        <v>0.1</v>
      </c>
      <c r="M2200" s="112">
        <f t="shared" si="137"/>
        <v>4338.9800388312051</v>
      </c>
      <c r="N2200" s="113">
        <f t="shared" si="138"/>
        <v>173.55920155324819</v>
      </c>
      <c r="O2200" s="113">
        <f t="shared" si="139"/>
        <v>38877.261147927595</v>
      </c>
    </row>
    <row r="2201" spans="1:15" x14ac:dyDescent="0.25">
      <c r="A2201" s="13">
        <v>44447</v>
      </c>
      <c r="B2201" s="97">
        <v>1631</v>
      </c>
      <c r="C2201" t="s">
        <v>209</v>
      </c>
      <c r="D2201" s="94" t="s">
        <v>441</v>
      </c>
      <c r="E2201" t="s">
        <v>17</v>
      </c>
      <c r="F2201" t="s">
        <v>558</v>
      </c>
      <c r="G2201" s="50" t="s">
        <v>559</v>
      </c>
      <c r="H2201" s="50">
        <v>2</v>
      </c>
      <c r="I2201" s="100">
        <v>6.7391919697301583</v>
      </c>
      <c r="J2201" s="52">
        <v>3834.68</v>
      </c>
      <c r="K2201" s="67">
        <f t="shared" si="140"/>
        <v>42149.353444512773</v>
      </c>
      <c r="L2201" s="95">
        <f>+VLOOKUP(E2201,MARGEN!A:B,2,FALSE)</f>
        <v>0.1</v>
      </c>
      <c r="M2201" s="112">
        <f t="shared" si="137"/>
        <v>4214.9353444512772</v>
      </c>
      <c r="N2201" s="113">
        <f t="shared" si="138"/>
        <v>168.59741377805111</v>
      </c>
      <c r="O2201" s="113">
        <f t="shared" si="139"/>
        <v>37765.820686283449</v>
      </c>
    </row>
    <row r="2202" spans="1:15" x14ac:dyDescent="0.25">
      <c r="A2202" s="13">
        <v>44447</v>
      </c>
      <c r="B2202" s="97">
        <v>1631</v>
      </c>
      <c r="C2202" s="88" t="s">
        <v>196</v>
      </c>
      <c r="D2202" t="s">
        <v>413</v>
      </c>
      <c r="E2202" t="s">
        <v>17</v>
      </c>
      <c r="F2202" t="s">
        <v>562</v>
      </c>
      <c r="G2202" s="50" t="s">
        <v>559</v>
      </c>
      <c r="H2202" s="50">
        <v>2</v>
      </c>
      <c r="I2202" s="100">
        <v>6.7391919697301583</v>
      </c>
      <c r="J2202" s="52">
        <v>3834.68</v>
      </c>
      <c r="K2202" s="67">
        <f t="shared" si="140"/>
        <v>42149.353444512773</v>
      </c>
      <c r="L2202" s="95">
        <f>+VLOOKUP(E2202,MARGEN!A:B,2,FALSE)</f>
        <v>0.1</v>
      </c>
      <c r="M2202" s="112">
        <f t="shared" si="137"/>
        <v>4214.9353444512772</v>
      </c>
      <c r="N2202" s="113">
        <f t="shared" si="138"/>
        <v>168.59741377805111</v>
      </c>
      <c r="O2202" s="113">
        <f t="shared" si="139"/>
        <v>37765.820686283449</v>
      </c>
    </row>
    <row r="2203" spans="1:15" x14ac:dyDescent="0.25">
      <c r="A2203" s="13">
        <v>44447</v>
      </c>
      <c r="B2203" s="97">
        <v>1607</v>
      </c>
      <c r="C2203" t="s">
        <v>180</v>
      </c>
      <c r="D2203" s="94" t="s">
        <v>447</v>
      </c>
      <c r="E2203" t="s">
        <v>17</v>
      </c>
      <c r="F2203" t="s">
        <v>558</v>
      </c>
      <c r="G2203" s="50" t="s">
        <v>559</v>
      </c>
      <c r="H2203" s="50">
        <v>2</v>
      </c>
      <c r="I2203" s="100">
        <v>6.7391919697301583</v>
      </c>
      <c r="J2203" s="52">
        <v>3834.68</v>
      </c>
      <c r="K2203" s="67">
        <f t="shared" si="140"/>
        <v>41529.12997261314</v>
      </c>
      <c r="L2203" s="95">
        <f>+VLOOKUP(E2203,MARGEN!A:B,2,FALSE)</f>
        <v>0.1</v>
      </c>
      <c r="M2203" s="112">
        <f t="shared" si="137"/>
        <v>4152.9129972613146</v>
      </c>
      <c r="N2203" s="113">
        <f t="shared" si="138"/>
        <v>166.11651989045257</v>
      </c>
      <c r="O2203" s="113">
        <f t="shared" si="139"/>
        <v>37210.100455461376</v>
      </c>
    </row>
    <row r="2204" spans="1:15" x14ac:dyDescent="0.25">
      <c r="A2204" s="13">
        <v>44447</v>
      </c>
      <c r="B2204" s="97">
        <v>1559</v>
      </c>
      <c r="C2204" t="s">
        <v>176</v>
      </c>
      <c r="D2204" s="94" t="s">
        <v>430</v>
      </c>
      <c r="E2204" t="s">
        <v>17</v>
      </c>
      <c r="F2204" t="s">
        <v>558</v>
      </c>
      <c r="G2204" s="50" t="s">
        <v>559</v>
      </c>
      <c r="H2204" s="50">
        <v>2</v>
      </c>
      <c r="I2204" s="100">
        <v>6.7391919697301583</v>
      </c>
      <c r="J2204" s="52">
        <v>3834.68</v>
      </c>
      <c r="K2204" s="67">
        <f t="shared" si="140"/>
        <v>40288.683028813866</v>
      </c>
      <c r="L2204" s="95">
        <f>+VLOOKUP(E2204,MARGEN!A:B,2,FALSE)</f>
        <v>0.1</v>
      </c>
      <c r="M2204" s="112">
        <f t="shared" si="137"/>
        <v>4028.8683028813866</v>
      </c>
      <c r="N2204" s="113">
        <f t="shared" si="138"/>
        <v>161.15473211525546</v>
      </c>
      <c r="O2204" s="113">
        <f t="shared" si="139"/>
        <v>36098.659993817222</v>
      </c>
    </row>
    <row r="2205" spans="1:15" x14ac:dyDescent="0.25">
      <c r="A2205" s="13">
        <v>44447</v>
      </c>
      <c r="B2205" s="97">
        <v>1559</v>
      </c>
      <c r="C2205" t="s">
        <v>552</v>
      </c>
      <c r="D2205" s="94" t="s">
        <v>563</v>
      </c>
      <c r="E2205" t="s">
        <v>17</v>
      </c>
      <c r="F2205" t="s">
        <v>558</v>
      </c>
      <c r="G2205" s="50" t="s">
        <v>559</v>
      </c>
      <c r="H2205" s="50">
        <v>2</v>
      </c>
      <c r="I2205" s="100">
        <v>6.7391919697301583</v>
      </c>
      <c r="J2205" s="52">
        <v>3834.68</v>
      </c>
      <c r="K2205" s="67">
        <f t="shared" si="140"/>
        <v>40288.683028813866</v>
      </c>
      <c r="L2205" s="95">
        <f>+VLOOKUP(E2205,MARGEN!A:B,2,FALSE)</f>
        <v>0.1</v>
      </c>
      <c r="M2205" s="112">
        <f t="shared" si="137"/>
        <v>4028.8683028813866</v>
      </c>
      <c r="N2205" s="113">
        <f t="shared" si="138"/>
        <v>161.15473211525546</v>
      </c>
      <c r="O2205" s="113">
        <f t="shared" si="139"/>
        <v>36098.659993817222</v>
      </c>
    </row>
    <row r="2206" spans="1:15" x14ac:dyDescent="0.25">
      <c r="A2206" s="13">
        <v>44447</v>
      </c>
      <c r="B2206" s="97">
        <v>1535</v>
      </c>
      <c r="C2206" t="s">
        <v>137</v>
      </c>
      <c r="D2206" t="s">
        <v>418</v>
      </c>
      <c r="E2206" t="s">
        <v>17</v>
      </c>
      <c r="F2206" t="s">
        <v>558</v>
      </c>
      <c r="G2206" s="50" t="s">
        <v>559</v>
      </c>
      <c r="H2206" s="50">
        <v>2</v>
      </c>
      <c r="I2206" s="100">
        <v>6.7391919697301583</v>
      </c>
      <c r="J2206" s="52">
        <v>3834.68</v>
      </c>
      <c r="K2206" s="67">
        <f t="shared" si="140"/>
        <v>39668.459556914233</v>
      </c>
      <c r="L2206" s="95">
        <f>+VLOOKUP(E2206,MARGEN!A:B,2,FALSE)</f>
        <v>0.1</v>
      </c>
      <c r="M2206" s="112">
        <f t="shared" si="137"/>
        <v>3966.8459556914236</v>
      </c>
      <c r="N2206" s="113">
        <f t="shared" si="138"/>
        <v>158.67383822765694</v>
      </c>
      <c r="O2206" s="113">
        <f t="shared" si="139"/>
        <v>35542.939762995149</v>
      </c>
    </row>
    <row r="2207" spans="1:15" x14ac:dyDescent="0.25">
      <c r="A2207" s="13">
        <v>44447</v>
      </c>
      <c r="B2207" s="97">
        <v>1511</v>
      </c>
      <c r="C2207" t="s">
        <v>119</v>
      </c>
      <c r="D2207" s="94" t="s">
        <v>377</v>
      </c>
      <c r="E2207" t="s">
        <v>17</v>
      </c>
      <c r="F2207" t="s">
        <v>558</v>
      </c>
      <c r="G2207" s="50" t="s">
        <v>559</v>
      </c>
      <c r="H2207" s="50">
        <v>2</v>
      </c>
      <c r="I2207" s="100">
        <v>6.7391919697301583</v>
      </c>
      <c r="J2207" s="52">
        <v>3834.68</v>
      </c>
      <c r="K2207" s="67">
        <f t="shared" si="140"/>
        <v>39048.2360850146</v>
      </c>
      <c r="L2207" s="95">
        <f>+VLOOKUP(E2207,MARGEN!A:B,2,FALSE)</f>
        <v>0.1</v>
      </c>
      <c r="M2207" s="112">
        <f t="shared" si="137"/>
        <v>3904.8236085014601</v>
      </c>
      <c r="N2207" s="113">
        <f t="shared" si="138"/>
        <v>156.1929443400584</v>
      </c>
      <c r="O2207" s="113">
        <f t="shared" si="139"/>
        <v>34987.219532173083</v>
      </c>
    </row>
    <row r="2208" spans="1:15" x14ac:dyDescent="0.25">
      <c r="A2208" s="13">
        <v>44447</v>
      </c>
      <c r="B2208" s="97">
        <v>1511</v>
      </c>
      <c r="C2208" t="s">
        <v>291</v>
      </c>
      <c r="D2208" s="94" t="s">
        <v>492</v>
      </c>
      <c r="E2208" t="s">
        <v>17</v>
      </c>
      <c r="F2208" t="s">
        <v>562</v>
      </c>
      <c r="G2208" s="50" t="s">
        <v>559</v>
      </c>
      <c r="H2208" s="50">
        <v>2</v>
      </c>
      <c r="I2208" s="100">
        <v>6.7391919697301583</v>
      </c>
      <c r="J2208" s="52">
        <v>3834.68</v>
      </c>
      <c r="K2208" s="67">
        <f t="shared" si="140"/>
        <v>39048.2360850146</v>
      </c>
      <c r="L2208" s="95">
        <f>+VLOOKUP(E2208,MARGEN!A:B,2,FALSE)</f>
        <v>0.1</v>
      </c>
      <c r="M2208" s="112">
        <f t="shared" si="137"/>
        <v>3904.8236085014601</v>
      </c>
      <c r="N2208" s="113">
        <f t="shared" si="138"/>
        <v>156.1929443400584</v>
      </c>
      <c r="O2208" s="113">
        <f t="shared" si="139"/>
        <v>34987.219532173083</v>
      </c>
    </row>
    <row r="2209" spans="1:15" x14ac:dyDescent="0.25">
      <c r="A2209" s="13">
        <v>44447</v>
      </c>
      <c r="B2209" s="97">
        <v>1487</v>
      </c>
      <c r="C2209" t="s">
        <v>169</v>
      </c>
      <c r="D2209" s="94" t="s">
        <v>351</v>
      </c>
      <c r="E2209" t="s">
        <v>17</v>
      </c>
      <c r="F2209" t="s">
        <v>558</v>
      </c>
      <c r="G2209" s="50" t="s">
        <v>559</v>
      </c>
      <c r="H2209" s="50">
        <v>2</v>
      </c>
      <c r="I2209" s="100">
        <v>6.7391919697301583</v>
      </c>
      <c r="J2209" s="52">
        <v>3834.68</v>
      </c>
      <c r="K2209" s="67">
        <f t="shared" si="140"/>
        <v>38428.012613114959</v>
      </c>
      <c r="L2209" s="95">
        <f>+VLOOKUP(E2209,MARGEN!A:B,2,FALSE)</f>
        <v>0.1</v>
      </c>
      <c r="M2209" s="112">
        <f t="shared" si="137"/>
        <v>3842.8012613114961</v>
      </c>
      <c r="N2209" s="113">
        <f t="shared" si="138"/>
        <v>153.71205045245983</v>
      </c>
      <c r="O2209" s="113">
        <f t="shared" si="139"/>
        <v>34431.499301351003</v>
      </c>
    </row>
    <row r="2210" spans="1:15" x14ac:dyDescent="0.25">
      <c r="A2210" s="13">
        <v>44447</v>
      </c>
      <c r="B2210" s="97">
        <v>1463</v>
      </c>
      <c r="C2210" t="s">
        <v>297</v>
      </c>
      <c r="D2210" s="94" t="s">
        <v>526</v>
      </c>
      <c r="E2210" t="s">
        <v>17</v>
      </c>
      <c r="F2210" t="s">
        <v>558</v>
      </c>
      <c r="G2210" s="50" t="s">
        <v>559</v>
      </c>
      <c r="H2210" s="50">
        <v>2</v>
      </c>
      <c r="I2210" s="100">
        <v>6.7391919697301583</v>
      </c>
      <c r="J2210" s="52">
        <v>3834.68</v>
      </c>
      <c r="K2210" s="67">
        <f t="shared" si="140"/>
        <v>37807.789141215326</v>
      </c>
      <c r="L2210" s="95">
        <f>+VLOOKUP(E2210,MARGEN!A:B,2,FALSE)</f>
        <v>0.1</v>
      </c>
      <c r="M2210" s="112">
        <f t="shared" si="137"/>
        <v>3780.7789141215326</v>
      </c>
      <c r="N2210" s="113">
        <f t="shared" si="138"/>
        <v>151.23115656486129</v>
      </c>
      <c r="O2210" s="113">
        <f t="shared" si="139"/>
        <v>33875.77907052893</v>
      </c>
    </row>
    <row r="2211" spans="1:15" x14ac:dyDescent="0.25">
      <c r="A2211" s="13">
        <v>44447</v>
      </c>
      <c r="B2211" s="97">
        <v>1439</v>
      </c>
      <c r="C2211" t="s">
        <v>210</v>
      </c>
      <c r="D2211" s="94" t="s">
        <v>402</v>
      </c>
      <c r="E2211" t="s">
        <v>17</v>
      </c>
      <c r="F2211" t="s">
        <v>558</v>
      </c>
      <c r="G2211" s="50" t="s">
        <v>559</v>
      </c>
      <c r="H2211" s="50">
        <v>2</v>
      </c>
      <c r="I2211" s="100">
        <v>6.7391919697301583</v>
      </c>
      <c r="J2211" s="52">
        <v>3834.68</v>
      </c>
      <c r="K2211" s="67">
        <f t="shared" si="140"/>
        <v>37187.565669315685</v>
      </c>
      <c r="L2211" s="95">
        <f>+VLOOKUP(E2211,MARGEN!A:B,2,FALSE)</f>
        <v>0.1</v>
      </c>
      <c r="M2211" s="112">
        <f t="shared" si="137"/>
        <v>3718.7565669315686</v>
      </c>
      <c r="N2211" s="113">
        <f t="shared" si="138"/>
        <v>148.75026267726275</v>
      </c>
      <c r="O2211" s="113">
        <f t="shared" si="139"/>
        <v>33320.058839706857</v>
      </c>
    </row>
    <row r="2212" spans="1:15" x14ac:dyDescent="0.25">
      <c r="A2212" s="13">
        <v>44447</v>
      </c>
      <c r="B2212" s="51">
        <v>1439</v>
      </c>
      <c r="C2212" s="66" t="s">
        <v>168</v>
      </c>
      <c r="D2212" s="66" t="s">
        <v>352</v>
      </c>
      <c r="E2212" t="s">
        <v>17</v>
      </c>
      <c r="F2212" s="50" t="s">
        <v>558</v>
      </c>
      <c r="G2212" s="50" t="s">
        <v>559</v>
      </c>
      <c r="H2212" s="50">
        <v>2</v>
      </c>
      <c r="I2212" s="100">
        <v>6.7391919697301583</v>
      </c>
      <c r="J2212" s="52">
        <v>3834.68</v>
      </c>
      <c r="K2212" s="67">
        <f t="shared" si="140"/>
        <v>37187.565669315685</v>
      </c>
      <c r="L2212" s="95">
        <f>+VLOOKUP(E2212,MARGEN!A:B,2,FALSE)</f>
        <v>0.1</v>
      </c>
      <c r="M2212" s="112">
        <f t="shared" si="137"/>
        <v>3718.7565669315686</v>
      </c>
      <c r="N2212" s="113">
        <f t="shared" si="138"/>
        <v>148.75026267726275</v>
      </c>
      <c r="O2212" s="113">
        <f t="shared" si="139"/>
        <v>33320.058839706857</v>
      </c>
    </row>
    <row r="2213" spans="1:15" x14ac:dyDescent="0.25">
      <c r="A2213" s="13">
        <v>44447</v>
      </c>
      <c r="B2213" s="97">
        <v>1367</v>
      </c>
      <c r="C2213" t="s">
        <v>173</v>
      </c>
      <c r="D2213" s="94" t="s">
        <v>451</v>
      </c>
      <c r="E2213" t="s">
        <v>17</v>
      </c>
      <c r="F2213" t="s">
        <v>558</v>
      </c>
      <c r="G2213" s="50" t="s">
        <v>559</v>
      </c>
      <c r="H2213" s="50">
        <v>2</v>
      </c>
      <c r="I2213" s="100">
        <v>6.7391919697301583</v>
      </c>
      <c r="J2213" s="52">
        <v>3834.68</v>
      </c>
      <c r="K2213" s="67">
        <f t="shared" si="140"/>
        <v>35326.895253616778</v>
      </c>
      <c r="L2213" s="95">
        <f>+VLOOKUP(E2213,MARGEN!A:B,2,FALSE)</f>
        <v>0.1</v>
      </c>
      <c r="M2213" s="112">
        <f t="shared" si="137"/>
        <v>3532.6895253616781</v>
      </c>
      <c r="N2213" s="113">
        <f t="shared" si="138"/>
        <v>141.3075810144671</v>
      </c>
      <c r="O2213" s="113">
        <f t="shared" si="139"/>
        <v>31652.898147240634</v>
      </c>
    </row>
    <row r="2214" spans="1:15" x14ac:dyDescent="0.25">
      <c r="A2214" s="13">
        <v>44447</v>
      </c>
      <c r="B2214" s="97">
        <v>1343</v>
      </c>
      <c r="C2214" t="s">
        <v>292</v>
      </c>
      <c r="D2214" s="94" t="s">
        <v>535</v>
      </c>
      <c r="E2214" t="s">
        <v>17</v>
      </c>
      <c r="F2214" t="s">
        <v>558</v>
      </c>
      <c r="G2214" s="50" t="s">
        <v>559</v>
      </c>
      <c r="H2214" s="50">
        <v>2</v>
      </c>
      <c r="I2214" s="100">
        <v>6.7391919697301583</v>
      </c>
      <c r="J2214" s="52">
        <v>3834.68</v>
      </c>
      <c r="K2214" s="67">
        <f t="shared" si="140"/>
        <v>34706.671781717145</v>
      </c>
      <c r="L2214" s="95">
        <f>+VLOOKUP(E2214,MARGEN!A:B,2,FALSE)</f>
        <v>0.1</v>
      </c>
      <c r="M2214" s="112">
        <f t="shared" si="137"/>
        <v>3470.6671781717146</v>
      </c>
      <c r="N2214" s="113">
        <f t="shared" si="138"/>
        <v>138.82668712686859</v>
      </c>
      <c r="O2214" s="113">
        <f t="shared" si="139"/>
        <v>31097.177916418561</v>
      </c>
    </row>
    <row r="2215" spans="1:15" x14ac:dyDescent="0.25">
      <c r="A2215" s="13">
        <v>44447</v>
      </c>
      <c r="B2215" s="97">
        <v>1295</v>
      </c>
      <c r="C2215" t="s">
        <v>151</v>
      </c>
      <c r="D2215" s="94" t="s">
        <v>394</v>
      </c>
      <c r="E2215" t="s">
        <v>17</v>
      </c>
      <c r="F2215" t="s">
        <v>558</v>
      </c>
      <c r="G2215" s="50" t="s">
        <v>559</v>
      </c>
      <c r="H2215" s="50">
        <v>2</v>
      </c>
      <c r="I2215" s="100">
        <v>6.7391919697301583</v>
      </c>
      <c r="J2215" s="52">
        <v>3834.68</v>
      </c>
      <c r="K2215" s="67">
        <f t="shared" si="140"/>
        <v>33466.224837917871</v>
      </c>
      <c r="L2215" s="95">
        <f>+VLOOKUP(E2215,MARGEN!A:B,2,FALSE)</f>
        <v>0.1</v>
      </c>
      <c r="M2215" s="112">
        <f t="shared" si="137"/>
        <v>3346.6224837917871</v>
      </c>
      <c r="N2215" s="113">
        <f t="shared" si="138"/>
        <v>133.86489935167148</v>
      </c>
      <c r="O2215" s="113">
        <f t="shared" si="139"/>
        <v>29985.737454774411</v>
      </c>
    </row>
    <row r="2216" spans="1:15" x14ac:dyDescent="0.25">
      <c r="A2216" s="13">
        <v>44447</v>
      </c>
      <c r="B2216" s="97">
        <v>1295</v>
      </c>
      <c r="C2216" t="s">
        <v>183</v>
      </c>
      <c r="D2216" t="s">
        <v>390</v>
      </c>
      <c r="E2216" t="s">
        <v>17</v>
      </c>
      <c r="F2216" t="s">
        <v>558</v>
      </c>
      <c r="G2216" s="50" t="s">
        <v>559</v>
      </c>
      <c r="H2216" s="50">
        <v>2</v>
      </c>
      <c r="I2216" s="100">
        <v>6.7391919697301583</v>
      </c>
      <c r="J2216" s="52">
        <v>3834.68</v>
      </c>
      <c r="K2216" s="67">
        <f t="shared" si="140"/>
        <v>33466.224837917871</v>
      </c>
      <c r="L2216" s="95">
        <f>+VLOOKUP(E2216,MARGEN!A:B,2,FALSE)</f>
        <v>0.1</v>
      </c>
      <c r="M2216" s="112">
        <f t="shared" si="137"/>
        <v>3346.6224837917871</v>
      </c>
      <c r="N2216" s="113">
        <f t="shared" si="138"/>
        <v>133.86489935167148</v>
      </c>
      <c r="O2216" s="113">
        <f t="shared" si="139"/>
        <v>29985.737454774411</v>
      </c>
    </row>
    <row r="2217" spans="1:15" x14ac:dyDescent="0.25">
      <c r="A2217" s="13">
        <v>44447</v>
      </c>
      <c r="B2217" s="97">
        <v>1295</v>
      </c>
      <c r="C2217" t="s">
        <v>302</v>
      </c>
      <c r="D2217" s="94" t="s">
        <v>538</v>
      </c>
      <c r="E2217" t="s">
        <v>17</v>
      </c>
      <c r="F2217" t="s">
        <v>558</v>
      </c>
      <c r="G2217" s="50" t="s">
        <v>559</v>
      </c>
      <c r="H2217" s="50">
        <v>2</v>
      </c>
      <c r="I2217" s="100">
        <v>6.7391919697301583</v>
      </c>
      <c r="J2217" s="52">
        <v>3834.68</v>
      </c>
      <c r="K2217" s="67">
        <f t="shared" si="140"/>
        <v>33466.224837917871</v>
      </c>
      <c r="L2217" s="95">
        <f>+VLOOKUP(E2217,MARGEN!A:B,2,FALSE)</f>
        <v>0.1</v>
      </c>
      <c r="M2217" s="112">
        <f t="shared" si="137"/>
        <v>3346.6224837917871</v>
      </c>
      <c r="N2217" s="113">
        <f t="shared" si="138"/>
        <v>133.86489935167148</v>
      </c>
      <c r="O2217" s="113">
        <f t="shared" si="139"/>
        <v>29985.737454774411</v>
      </c>
    </row>
    <row r="2218" spans="1:15" x14ac:dyDescent="0.25">
      <c r="A2218" s="13">
        <v>44447</v>
      </c>
      <c r="B2218" s="97">
        <v>1295</v>
      </c>
      <c r="C2218" t="s">
        <v>298</v>
      </c>
      <c r="D2218" s="94" t="s">
        <v>536</v>
      </c>
      <c r="E2218" t="s">
        <v>17</v>
      </c>
      <c r="F2218" t="s">
        <v>558</v>
      </c>
      <c r="G2218" s="50" t="s">
        <v>559</v>
      </c>
      <c r="H2218" s="50">
        <v>2</v>
      </c>
      <c r="I2218" s="100">
        <v>6.7391919697301583</v>
      </c>
      <c r="J2218" s="52">
        <v>3834.68</v>
      </c>
      <c r="K2218" s="67">
        <f t="shared" si="140"/>
        <v>33466.224837917871</v>
      </c>
      <c r="L2218" s="95">
        <f>+VLOOKUP(E2218,MARGEN!A:B,2,FALSE)</f>
        <v>0.1</v>
      </c>
      <c r="M2218" s="112">
        <f t="shared" si="137"/>
        <v>3346.6224837917871</v>
      </c>
      <c r="N2218" s="113">
        <f t="shared" si="138"/>
        <v>133.86489935167148</v>
      </c>
      <c r="O2218" s="113">
        <f t="shared" si="139"/>
        <v>29985.737454774411</v>
      </c>
    </row>
    <row r="2219" spans="1:15" x14ac:dyDescent="0.25">
      <c r="A2219" s="13">
        <v>44447</v>
      </c>
      <c r="B2219" s="97">
        <v>1223</v>
      </c>
      <c r="C2219" t="s">
        <v>199</v>
      </c>
      <c r="D2219" s="94" t="s">
        <v>414</v>
      </c>
      <c r="E2219" t="s">
        <v>17</v>
      </c>
      <c r="F2219" t="s">
        <v>558</v>
      </c>
      <c r="G2219" s="50" t="s">
        <v>559</v>
      </c>
      <c r="H2219" s="50">
        <v>2</v>
      </c>
      <c r="I2219" s="100">
        <v>6.7391919697301583</v>
      </c>
      <c r="J2219" s="52">
        <v>3834.68</v>
      </c>
      <c r="K2219" s="67">
        <f t="shared" si="140"/>
        <v>31605.55442221896</v>
      </c>
      <c r="L2219" s="95">
        <f>+VLOOKUP(E2219,MARGEN!A:B,2,FALSE)</f>
        <v>0.1</v>
      </c>
      <c r="M2219" s="112">
        <f t="shared" si="137"/>
        <v>3160.5554422218961</v>
      </c>
      <c r="N2219" s="113">
        <f t="shared" si="138"/>
        <v>126.42221768887585</v>
      </c>
      <c r="O2219" s="113">
        <f t="shared" si="139"/>
        <v>28318.576762308188</v>
      </c>
    </row>
    <row r="2220" spans="1:15" x14ac:dyDescent="0.25">
      <c r="A2220" s="13">
        <v>44447</v>
      </c>
      <c r="B2220" s="97">
        <v>1151</v>
      </c>
      <c r="C2220" t="s">
        <v>184</v>
      </c>
      <c r="D2220" s="94" t="s">
        <v>443</v>
      </c>
      <c r="E2220" t="s">
        <v>17</v>
      </c>
      <c r="F2220" t="s">
        <v>558</v>
      </c>
      <c r="G2220" s="50" t="s">
        <v>559</v>
      </c>
      <c r="H2220" s="50">
        <v>2</v>
      </c>
      <c r="I2220" s="100">
        <v>6.7391919697301583</v>
      </c>
      <c r="J2220" s="52">
        <v>3834.68</v>
      </c>
      <c r="K2220" s="67">
        <f t="shared" si="140"/>
        <v>29744.884006520053</v>
      </c>
      <c r="L2220" s="95">
        <f>+VLOOKUP(E2220,MARGEN!A:B,2,FALSE)</f>
        <v>0.1</v>
      </c>
      <c r="M2220" s="112">
        <f t="shared" si="137"/>
        <v>2974.4884006520056</v>
      </c>
      <c r="N2220" s="113">
        <f t="shared" si="138"/>
        <v>118.97953602608021</v>
      </c>
      <c r="O2220" s="113">
        <f t="shared" si="139"/>
        <v>26651.416069841969</v>
      </c>
    </row>
    <row r="2221" spans="1:15" x14ac:dyDescent="0.25">
      <c r="A2221" s="13">
        <v>44447</v>
      </c>
      <c r="B2221" s="97">
        <v>767</v>
      </c>
      <c r="C2221" t="s">
        <v>181</v>
      </c>
      <c r="D2221" s="94" t="s">
        <v>415</v>
      </c>
      <c r="E2221" t="s">
        <v>17</v>
      </c>
      <c r="F2221" t="s">
        <v>558</v>
      </c>
      <c r="G2221" s="50" t="s">
        <v>559</v>
      </c>
      <c r="H2221" s="50">
        <v>2</v>
      </c>
      <c r="I2221" s="100">
        <v>6.7391919697301583</v>
      </c>
      <c r="J2221" s="52">
        <v>3834.68</v>
      </c>
      <c r="K2221" s="67">
        <f t="shared" si="140"/>
        <v>19821.308456125873</v>
      </c>
      <c r="L2221" s="95">
        <f>+VLOOKUP(E2221,MARGEN!A:B,2,FALSE)</f>
        <v>0.1</v>
      </c>
      <c r="M2221" s="112">
        <f t="shared" si="137"/>
        <v>1982.1308456125873</v>
      </c>
      <c r="N2221" s="113">
        <f t="shared" si="138"/>
        <v>79.285233824503493</v>
      </c>
      <c r="O2221" s="113">
        <f t="shared" si="139"/>
        <v>17759.892376688782</v>
      </c>
    </row>
    <row r="2222" spans="1:15" x14ac:dyDescent="0.25">
      <c r="A2222" s="13">
        <v>44448</v>
      </c>
      <c r="B2222" s="97">
        <v>6766</v>
      </c>
      <c r="C2222" t="s">
        <v>150</v>
      </c>
      <c r="D2222" s="94" t="s">
        <v>357</v>
      </c>
      <c r="E2222" t="s">
        <v>17</v>
      </c>
      <c r="F2222" t="s">
        <v>566</v>
      </c>
      <c r="G2222" s="50" t="s">
        <v>559</v>
      </c>
      <c r="H2222" s="50">
        <v>2</v>
      </c>
      <c r="I2222" s="100">
        <v>6.7391919697301583</v>
      </c>
      <c r="J2222" s="52">
        <v>3834.68</v>
      </c>
      <c r="K2222" s="67">
        <f t="shared" si="140"/>
        <v>174851.33378637244</v>
      </c>
      <c r="L2222" s="95">
        <f>+VLOOKUP(E2222,MARGEN!A:B,2,FALSE)</f>
        <v>0.1</v>
      </c>
      <c r="M2222" s="112">
        <f t="shared" si="137"/>
        <v>17485.133378637245</v>
      </c>
      <c r="N2222" s="113">
        <f t="shared" si="138"/>
        <v>699.40533514548974</v>
      </c>
      <c r="O2222" s="113">
        <f t="shared" si="139"/>
        <v>156666.79507258971</v>
      </c>
    </row>
    <row r="2223" spans="1:15" x14ac:dyDescent="0.25">
      <c r="A2223" s="13">
        <v>44448</v>
      </c>
      <c r="B2223" s="97">
        <v>5974</v>
      </c>
      <c r="C2223" t="s">
        <v>279</v>
      </c>
      <c r="D2223" s="94" t="s">
        <v>493</v>
      </c>
      <c r="E2223" t="s">
        <v>17</v>
      </c>
      <c r="F2223" t="s">
        <v>562</v>
      </c>
      <c r="G2223" s="50" t="s">
        <v>559</v>
      </c>
      <c r="H2223" s="50">
        <v>2</v>
      </c>
      <c r="I2223" s="100">
        <v>6.7391919697301583</v>
      </c>
      <c r="J2223" s="52">
        <v>3834.68</v>
      </c>
      <c r="K2223" s="67">
        <f t="shared" si="140"/>
        <v>154383.95921368443</v>
      </c>
      <c r="L2223" s="95">
        <f>+VLOOKUP(E2223,MARGEN!A:B,2,FALSE)</f>
        <v>0.1</v>
      </c>
      <c r="M2223" s="112">
        <f t="shared" si="137"/>
        <v>15438.395921368443</v>
      </c>
      <c r="N2223" s="113">
        <f t="shared" si="138"/>
        <v>617.53583685473768</v>
      </c>
      <c r="O2223" s="113">
        <f t="shared" si="139"/>
        <v>138328.02745546124</v>
      </c>
    </row>
    <row r="2224" spans="1:15" x14ac:dyDescent="0.25">
      <c r="A2224" s="13">
        <v>44448</v>
      </c>
      <c r="B2224" s="97">
        <v>4271</v>
      </c>
      <c r="C2224" t="s">
        <v>193</v>
      </c>
      <c r="D2224" s="94" t="s">
        <v>380</v>
      </c>
      <c r="E2224" t="s">
        <v>17</v>
      </c>
      <c r="F2224" t="s">
        <v>566</v>
      </c>
      <c r="G2224" s="50" t="s">
        <v>559</v>
      </c>
      <c r="H2224" s="50">
        <v>2</v>
      </c>
      <c r="I2224" s="100">
        <v>6.7391919697301583</v>
      </c>
      <c r="J2224" s="52">
        <v>3834.68</v>
      </c>
      <c r="K2224" s="67">
        <f t="shared" si="140"/>
        <v>110373.93535347277</v>
      </c>
      <c r="L2224" s="95">
        <f>+VLOOKUP(E2224,MARGEN!A:B,2,FALSE)</f>
        <v>0.1</v>
      </c>
      <c r="M2224" s="112">
        <f t="shared" si="137"/>
        <v>11037.393535347277</v>
      </c>
      <c r="N2224" s="113">
        <f t="shared" si="138"/>
        <v>441.4957414138911</v>
      </c>
      <c r="O2224" s="113">
        <f t="shared" si="139"/>
        <v>98895.046076711602</v>
      </c>
    </row>
    <row r="2225" spans="1:15" x14ac:dyDescent="0.25">
      <c r="A2225" s="13">
        <v>44448</v>
      </c>
      <c r="B2225" s="97">
        <v>3623</v>
      </c>
      <c r="C2225" t="s">
        <v>149</v>
      </c>
      <c r="D2225" s="94" t="s">
        <v>325</v>
      </c>
      <c r="E2225" t="s">
        <v>17</v>
      </c>
      <c r="F2225" t="s">
        <v>566</v>
      </c>
      <c r="G2225" s="50" t="s">
        <v>559</v>
      </c>
      <c r="H2225" s="50">
        <v>2</v>
      </c>
      <c r="I2225" s="100">
        <v>6.7391919697301583</v>
      </c>
      <c r="J2225" s="52">
        <v>3834.68</v>
      </c>
      <c r="K2225" s="67">
        <f t="shared" si="140"/>
        <v>93627.901612182584</v>
      </c>
      <c r="L2225" s="95">
        <f>+VLOOKUP(E2225,MARGEN!A:B,2,FALSE)</f>
        <v>0.1</v>
      </c>
      <c r="M2225" s="112">
        <f t="shared" si="137"/>
        <v>9362.7901612182595</v>
      </c>
      <c r="N2225" s="113">
        <f t="shared" si="138"/>
        <v>374.51160644873033</v>
      </c>
      <c r="O2225" s="113">
        <f t="shared" si="139"/>
        <v>83890.599844515586</v>
      </c>
    </row>
    <row r="2226" spans="1:15" x14ac:dyDescent="0.25">
      <c r="A2226" s="13">
        <v>44448</v>
      </c>
      <c r="B2226" s="97">
        <v>3599</v>
      </c>
      <c r="C2226" t="s">
        <v>192</v>
      </c>
      <c r="D2226" s="94" t="s">
        <v>347</v>
      </c>
      <c r="E2226" t="s">
        <v>17</v>
      </c>
      <c r="F2226" t="s">
        <v>566</v>
      </c>
      <c r="G2226" s="50" t="s">
        <v>559</v>
      </c>
      <c r="H2226" s="50">
        <v>2</v>
      </c>
      <c r="I2226" s="100">
        <v>6.7391919697301583</v>
      </c>
      <c r="J2226" s="52">
        <v>3834.68</v>
      </c>
      <c r="K2226" s="67">
        <f t="shared" si="140"/>
        <v>93007.678140282951</v>
      </c>
      <c r="L2226" s="95">
        <f>+VLOOKUP(E2226,MARGEN!A:B,2,FALSE)</f>
        <v>0.1</v>
      </c>
      <c r="M2226" s="112">
        <f t="shared" si="137"/>
        <v>9300.7678140282951</v>
      </c>
      <c r="N2226" s="113">
        <f t="shared" si="138"/>
        <v>372.03071256113179</v>
      </c>
      <c r="O2226" s="113">
        <f t="shared" si="139"/>
        <v>83334.879613693527</v>
      </c>
    </row>
    <row r="2227" spans="1:15" x14ac:dyDescent="0.25">
      <c r="A2227" s="13">
        <v>44448</v>
      </c>
      <c r="B2227" s="51">
        <v>3479</v>
      </c>
      <c r="C2227" s="66" t="s">
        <v>165</v>
      </c>
      <c r="D2227" s="66" t="s">
        <v>375</v>
      </c>
      <c r="E2227" t="s">
        <v>17</v>
      </c>
      <c r="F2227" s="50" t="s">
        <v>558</v>
      </c>
      <c r="G2227" s="50" t="s">
        <v>559</v>
      </c>
      <c r="H2227" s="50">
        <v>2</v>
      </c>
      <c r="I2227" s="100">
        <v>6.7391919697301583</v>
      </c>
      <c r="J2227" s="52">
        <v>3834.68</v>
      </c>
      <c r="K2227" s="67">
        <f t="shared" si="140"/>
        <v>89906.56078078477</v>
      </c>
      <c r="L2227" s="95">
        <f>+VLOOKUP(E2227,MARGEN!A:B,2,FALSE)</f>
        <v>0.1</v>
      </c>
      <c r="M2227" s="112">
        <f t="shared" si="137"/>
        <v>8990.6560780784766</v>
      </c>
      <c r="N2227" s="113">
        <f t="shared" si="138"/>
        <v>359.62624312313909</v>
      </c>
      <c r="O2227" s="113">
        <f t="shared" si="139"/>
        <v>80556.278459583147</v>
      </c>
    </row>
    <row r="2228" spans="1:15" x14ac:dyDescent="0.25">
      <c r="A2228" s="13">
        <v>44448</v>
      </c>
      <c r="B2228" s="97">
        <v>3359</v>
      </c>
      <c r="C2228" t="s">
        <v>309</v>
      </c>
      <c r="D2228" s="94" t="s">
        <v>544</v>
      </c>
      <c r="E2228" t="s">
        <v>17</v>
      </c>
      <c r="F2228" t="s">
        <v>558</v>
      </c>
      <c r="G2228" s="50" t="s">
        <v>559</v>
      </c>
      <c r="H2228" s="50">
        <v>2</v>
      </c>
      <c r="I2228" s="100">
        <v>6.7391919697301583</v>
      </c>
      <c r="J2228" s="52">
        <v>3834.68</v>
      </c>
      <c r="K2228" s="67">
        <f t="shared" si="140"/>
        <v>86805.443421286589</v>
      </c>
      <c r="L2228" s="95">
        <f>+VLOOKUP(E2228,MARGEN!A:B,2,FALSE)</f>
        <v>0.1</v>
      </c>
      <c r="M2228" s="112">
        <f t="shared" si="137"/>
        <v>8680.54434212866</v>
      </c>
      <c r="N2228" s="113">
        <f t="shared" si="138"/>
        <v>347.22177368514633</v>
      </c>
      <c r="O2228" s="113">
        <f t="shared" si="139"/>
        <v>77777.677305472782</v>
      </c>
    </row>
    <row r="2229" spans="1:15" x14ac:dyDescent="0.25">
      <c r="A2229" s="13">
        <v>44448</v>
      </c>
      <c r="B2229" s="97">
        <v>2903</v>
      </c>
      <c r="C2229" t="s">
        <v>134</v>
      </c>
      <c r="D2229" s="94" t="s">
        <v>362</v>
      </c>
      <c r="E2229" t="s">
        <v>17</v>
      </c>
      <c r="F2229" t="s">
        <v>558</v>
      </c>
      <c r="G2229" s="50" t="s">
        <v>559</v>
      </c>
      <c r="H2229" s="50">
        <v>2</v>
      </c>
      <c r="I2229" s="100">
        <v>6.7391919697301583</v>
      </c>
      <c r="J2229" s="52">
        <v>3834.68</v>
      </c>
      <c r="K2229" s="67">
        <f t="shared" si="140"/>
        <v>75021.197455193484</v>
      </c>
      <c r="L2229" s="95">
        <f>+VLOOKUP(E2229,MARGEN!A:B,2,FALSE)</f>
        <v>0.1</v>
      </c>
      <c r="M2229" s="112">
        <f t="shared" si="137"/>
        <v>7502.1197455193487</v>
      </c>
      <c r="N2229" s="113">
        <f t="shared" si="138"/>
        <v>300.08478982077395</v>
      </c>
      <c r="O2229" s="113">
        <f t="shared" si="139"/>
        <v>67218.992919853365</v>
      </c>
    </row>
    <row r="2230" spans="1:15" x14ac:dyDescent="0.25">
      <c r="A2230" s="13">
        <v>44448</v>
      </c>
      <c r="B2230" s="97">
        <v>2783</v>
      </c>
      <c r="C2230" t="s">
        <v>131</v>
      </c>
      <c r="D2230" s="94" t="s">
        <v>344</v>
      </c>
      <c r="E2230" t="s">
        <v>17</v>
      </c>
      <c r="F2230" t="s">
        <v>566</v>
      </c>
      <c r="G2230" s="50" t="s">
        <v>559</v>
      </c>
      <c r="H2230" s="50">
        <v>2</v>
      </c>
      <c r="I2230" s="100">
        <v>6.7391919697301583</v>
      </c>
      <c r="J2230" s="52">
        <v>3834.68</v>
      </c>
      <c r="K2230" s="67">
        <f t="shared" si="140"/>
        <v>71920.080095695317</v>
      </c>
      <c r="L2230" s="95">
        <f>+VLOOKUP(E2230,MARGEN!A:B,2,FALSE)</f>
        <v>0.1</v>
      </c>
      <c r="M2230" s="112">
        <f t="shared" si="137"/>
        <v>7192.0080095695321</v>
      </c>
      <c r="N2230" s="113">
        <f t="shared" si="138"/>
        <v>287.68032038278125</v>
      </c>
      <c r="O2230" s="113">
        <f t="shared" si="139"/>
        <v>64440.391765743007</v>
      </c>
    </row>
    <row r="2231" spans="1:15" x14ac:dyDescent="0.25">
      <c r="A2231" s="13">
        <v>44448</v>
      </c>
      <c r="B2231" s="51">
        <v>2711</v>
      </c>
      <c r="C2231" s="66" t="s">
        <v>132</v>
      </c>
      <c r="D2231" s="66" t="s">
        <v>376</v>
      </c>
      <c r="E2231" t="s">
        <v>17</v>
      </c>
      <c r="F2231" s="50" t="s">
        <v>566</v>
      </c>
      <c r="G2231" s="50" t="s">
        <v>559</v>
      </c>
      <c r="H2231" s="50">
        <v>2</v>
      </c>
      <c r="I2231" s="100">
        <v>6.7391919697301583</v>
      </c>
      <c r="J2231" s="52">
        <v>3834.68</v>
      </c>
      <c r="K2231" s="67">
        <f t="shared" si="140"/>
        <v>70059.409679996417</v>
      </c>
      <c r="L2231" s="95">
        <f>+VLOOKUP(E2231,MARGEN!A:B,2,FALSE)</f>
        <v>0.1</v>
      </c>
      <c r="M2231" s="112">
        <f t="shared" si="137"/>
        <v>7005.9409679996425</v>
      </c>
      <c r="N2231" s="113">
        <f t="shared" si="138"/>
        <v>280.23763871998568</v>
      </c>
      <c r="O2231" s="113">
        <f t="shared" si="139"/>
        <v>62773.231073276787</v>
      </c>
    </row>
    <row r="2232" spans="1:15" x14ac:dyDescent="0.25">
      <c r="A2232" s="13">
        <v>44448</v>
      </c>
      <c r="B2232" s="97">
        <v>2663</v>
      </c>
      <c r="C2232" t="s">
        <v>186</v>
      </c>
      <c r="D2232" s="94" t="s">
        <v>440</v>
      </c>
      <c r="E2232" t="s">
        <v>17</v>
      </c>
      <c r="F2232" t="s">
        <v>558</v>
      </c>
      <c r="G2232" s="50" t="s">
        <v>559</v>
      </c>
      <c r="H2232" s="50">
        <v>2</v>
      </c>
      <c r="I2232" s="100">
        <v>6.7391919697301583</v>
      </c>
      <c r="J2232" s="52">
        <v>3834.68</v>
      </c>
      <c r="K2232" s="67">
        <f t="shared" si="140"/>
        <v>68818.962736197136</v>
      </c>
      <c r="L2232" s="95">
        <f>+VLOOKUP(E2232,MARGEN!A:B,2,FALSE)</f>
        <v>0.1</v>
      </c>
      <c r="M2232" s="112">
        <f t="shared" si="137"/>
        <v>6881.8962736197136</v>
      </c>
      <c r="N2232" s="113">
        <f t="shared" si="138"/>
        <v>275.27585094478854</v>
      </c>
      <c r="O2232" s="113">
        <f t="shared" si="139"/>
        <v>61661.790611632634</v>
      </c>
    </row>
    <row r="2233" spans="1:15" x14ac:dyDescent="0.25">
      <c r="A2233" s="13">
        <v>44448</v>
      </c>
      <c r="B2233" s="97">
        <v>2567</v>
      </c>
      <c r="C2233" t="s">
        <v>310</v>
      </c>
      <c r="D2233" s="94" t="s">
        <v>540</v>
      </c>
      <c r="E2233" t="s">
        <v>17</v>
      </c>
      <c r="F2233" t="s">
        <v>558</v>
      </c>
      <c r="G2233" s="50" t="s">
        <v>559</v>
      </c>
      <c r="H2233" s="50">
        <v>2</v>
      </c>
      <c r="I2233" s="100">
        <v>6.7391919697301583</v>
      </c>
      <c r="J2233" s="52">
        <v>3834.68</v>
      </c>
      <c r="K2233" s="67">
        <f t="shared" si="140"/>
        <v>66338.068848598588</v>
      </c>
      <c r="L2233" s="95">
        <f>+VLOOKUP(E2233,MARGEN!A:B,2,FALSE)</f>
        <v>0.1</v>
      </c>
      <c r="M2233" s="112">
        <f t="shared" si="137"/>
        <v>6633.8068848598596</v>
      </c>
      <c r="N2233" s="113">
        <f t="shared" si="138"/>
        <v>265.35227539439433</v>
      </c>
      <c r="O2233" s="113">
        <f t="shared" si="139"/>
        <v>59438.909688344334</v>
      </c>
    </row>
    <row r="2234" spans="1:15" x14ac:dyDescent="0.25">
      <c r="A2234" s="13">
        <v>44448</v>
      </c>
      <c r="B2234" s="97">
        <v>2567</v>
      </c>
      <c r="C2234" t="s">
        <v>146</v>
      </c>
      <c r="D2234" s="94" t="s">
        <v>348</v>
      </c>
      <c r="E2234" t="s">
        <v>17</v>
      </c>
      <c r="F2234" t="s">
        <v>558</v>
      </c>
      <c r="G2234" s="50" t="s">
        <v>559</v>
      </c>
      <c r="H2234" s="50">
        <v>2</v>
      </c>
      <c r="I2234" s="100">
        <v>6.7391919697301583</v>
      </c>
      <c r="J2234" s="52">
        <v>3834.68</v>
      </c>
      <c r="K2234" s="67">
        <f t="shared" si="140"/>
        <v>66338.068848598588</v>
      </c>
      <c r="L2234" s="95">
        <f>+VLOOKUP(E2234,MARGEN!A:B,2,FALSE)</f>
        <v>0.1</v>
      </c>
      <c r="M2234" s="112">
        <f t="shared" si="137"/>
        <v>6633.8068848598596</v>
      </c>
      <c r="N2234" s="113">
        <f t="shared" si="138"/>
        <v>265.35227539439433</v>
      </c>
      <c r="O2234" s="113">
        <f t="shared" si="139"/>
        <v>59438.909688344334</v>
      </c>
    </row>
    <row r="2235" spans="1:15" x14ac:dyDescent="0.25">
      <c r="A2235" s="13">
        <v>44448</v>
      </c>
      <c r="B2235" s="97">
        <v>2543</v>
      </c>
      <c r="C2235" t="s">
        <v>163</v>
      </c>
      <c r="D2235" s="94" t="s">
        <v>398</v>
      </c>
      <c r="E2235" t="s">
        <v>17</v>
      </c>
      <c r="F2235" t="s">
        <v>558</v>
      </c>
      <c r="G2235" s="50" t="s">
        <v>559</v>
      </c>
      <c r="H2235" s="50">
        <v>2</v>
      </c>
      <c r="I2235" s="100">
        <v>6.7391919697301583</v>
      </c>
      <c r="J2235" s="52">
        <v>3834.68</v>
      </c>
      <c r="K2235" s="67">
        <f t="shared" si="140"/>
        <v>65717.84537669897</v>
      </c>
      <c r="L2235" s="95">
        <f>+VLOOKUP(E2235,MARGEN!A:B,2,FALSE)</f>
        <v>0.1</v>
      </c>
      <c r="M2235" s="112">
        <f t="shared" si="137"/>
        <v>6571.784537669897</v>
      </c>
      <c r="N2235" s="113">
        <f t="shared" si="138"/>
        <v>262.8713815067959</v>
      </c>
      <c r="O2235" s="113">
        <f t="shared" si="139"/>
        <v>58883.189457522276</v>
      </c>
    </row>
    <row r="2236" spans="1:15" x14ac:dyDescent="0.25">
      <c r="A2236" s="13">
        <v>44448</v>
      </c>
      <c r="B2236" s="97">
        <v>2519</v>
      </c>
      <c r="C2236" t="s">
        <v>127</v>
      </c>
      <c r="D2236" s="94" t="s">
        <v>411</v>
      </c>
      <c r="E2236" t="s">
        <v>17</v>
      </c>
      <c r="F2236" t="s">
        <v>558</v>
      </c>
      <c r="G2236" s="50" t="s">
        <v>559</v>
      </c>
      <c r="H2236" s="50">
        <v>2</v>
      </c>
      <c r="I2236" s="100">
        <v>6.7391919697301583</v>
      </c>
      <c r="J2236" s="52">
        <v>3834.68</v>
      </c>
      <c r="K2236" s="67">
        <f t="shared" si="140"/>
        <v>65097.621904799322</v>
      </c>
      <c r="L2236" s="95">
        <f>+VLOOKUP(E2236,MARGEN!A:B,2,FALSE)</f>
        <v>0.1</v>
      </c>
      <c r="M2236" s="112">
        <f t="shared" si="137"/>
        <v>6509.7621904799325</v>
      </c>
      <c r="N2236" s="113">
        <f t="shared" si="138"/>
        <v>260.3904876191973</v>
      </c>
      <c r="O2236" s="113">
        <f t="shared" si="139"/>
        <v>58327.469226700196</v>
      </c>
    </row>
    <row r="2237" spans="1:15" x14ac:dyDescent="0.25">
      <c r="A2237" s="13">
        <v>44448</v>
      </c>
      <c r="B2237" s="97">
        <v>2423</v>
      </c>
      <c r="C2237" t="s">
        <v>281</v>
      </c>
      <c r="D2237" s="94" t="s">
        <v>495</v>
      </c>
      <c r="E2237" t="s">
        <v>17</v>
      </c>
      <c r="F2237" t="s">
        <v>558</v>
      </c>
      <c r="G2237" s="50" t="s">
        <v>559</v>
      </c>
      <c r="H2237" s="50">
        <v>2</v>
      </c>
      <c r="I2237" s="100">
        <v>6.7391919697301583</v>
      </c>
      <c r="J2237" s="52">
        <v>3834.68</v>
      </c>
      <c r="K2237" s="67">
        <f t="shared" si="140"/>
        <v>62616.728017200774</v>
      </c>
      <c r="L2237" s="95">
        <f>+VLOOKUP(E2237,MARGEN!A:B,2,FALSE)</f>
        <v>0.1</v>
      </c>
      <c r="M2237" s="112">
        <f t="shared" si="137"/>
        <v>6261.6728017200776</v>
      </c>
      <c r="N2237" s="113">
        <f t="shared" si="138"/>
        <v>250.46691206880308</v>
      </c>
      <c r="O2237" s="113">
        <f t="shared" si="139"/>
        <v>56104.588303411889</v>
      </c>
    </row>
    <row r="2238" spans="1:15" x14ac:dyDescent="0.25">
      <c r="A2238" s="13">
        <v>44448</v>
      </c>
      <c r="B2238" s="97">
        <v>2303</v>
      </c>
      <c r="C2238" t="s">
        <v>128</v>
      </c>
      <c r="D2238" s="94" t="s">
        <v>416</v>
      </c>
      <c r="E2238" t="s">
        <v>17</v>
      </c>
      <c r="F2238" t="s">
        <v>558</v>
      </c>
      <c r="G2238" s="50" t="s">
        <v>559</v>
      </c>
      <c r="H2238" s="50">
        <v>2</v>
      </c>
      <c r="I2238" s="100">
        <v>6.7391919697301583</v>
      </c>
      <c r="J2238" s="52">
        <v>3834.68</v>
      </c>
      <c r="K2238" s="67">
        <f t="shared" si="140"/>
        <v>59515.610657702593</v>
      </c>
      <c r="L2238" s="95">
        <f>+VLOOKUP(E2238,MARGEN!A:B,2,FALSE)</f>
        <v>0.1</v>
      </c>
      <c r="M2238" s="112">
        <f t="shared" si="137"/>
        <v>5951.56106577026</v>
      </c>
      <c r="N2238" s="113">
        <f t="shared" si="138"/>
        <v>238.06244263081038</v>
      </c>
      <c r="O2238" s="113">
        <f t="shared" si="139"/>
        <v>53325.987149301516</v>
      </c>
    </row>
    <row r="2239" spans="1:15" x14ac:dyDescent="0.25">
      <c r="A2239" s="13">
        <v>44448</v>
      </c>
      <c r="B2239" s="97">
        <v>2255</v>
      </c>
      <c r="C2239" t="s">
        <v>122</v>
      </c>
      <c r="D2239" s="94" t="s">
        <v>446</v>
      </c>
      <c r="E2239" t="s">
        <v>17</v>
      </c>
      <c r="F2239" t="s">
        <v>558</v>
      </c>
      <c r="G2239" s="50" t="s">
        <v>559</v>
      </c>
      <c r="H2239" s="50">
        <v>2</v>
      </c>
      <c r="I2239" s="100">
        <v>6.7391919697301583</v>
      </c>
      <c r="J2239" s="52">
        <v>3834.68</v>
      </c>
      <c r="K2239" s="67">
        <f t="shared" si="140"/>
        <v>58275.163713903326</v>
      </c>
      <c r="L2239" s="95">
        <f>+VLOOKUP(E2239,MARGEN!A:B,2,FALSE)</f>
        <v>0.1</v>
      </c>
      <c r="M2239" s="112">
        <f t="shared" si="137"/>
        <v>5827.516371390333</v>
      </c>
      <c r="N2239" s="113">
        <f t="shared" si="138"/>
        <v>233.1006548556133</v>
      </c>
      <c r="O2239" s="113">
        <f t="shared" si="139"/>
        <v>52214.546687657385</v>
      </c>
    </row>
    <row r="2240" spans="1:15" x14ac:dyDescent="0.25">
      <c r="A2240" s="13">
        <v>44448</v>
      </c>
      <c r="B2240" s="97">
        <v>2231</v>
      </c>
      <c r="C2240" t="s">
        <v>126</v>
      </c>
      <c r="D2240" s="94" t="s">
        <v>438</v>
      </c>
      <c r="E2240" t="s">
        <v>17</v>
      </c>
      <c r="F2240" t="s">
        <v>558</v>
      </c>
      <c r="G2240" s="50" t="s">
        <v>559</v>
      </c>
      <c r="H2240" s="50">
        <v>2</v>
      </c>
      <c r="I2240" s="100">
        <v>6.7391919697301583</v>
      </c>
      <c r="J2240" s="52">
        <v>3834.68</v>
      </c>
      <c r="K2240" s="67">
        <f t="shared" si="140"/>
        <v>57654.940242003679</v>
      </c>
      <c r="L2240" s="95">
        <f>+VLOOKUP(E2240,MARGEN!A:B,2,FALSE)</f>
        <v>0.1</v>
      </c>
      <c r="M2240" s="112">
        <f t="shared" si="137"/>
        <v>5765.4940242003686</v>
      </c>
      <c r="N2240" s="113">
        <f t="shared" si="138"/>
        <v>230.6197609680147</v>
      </c>
      <c r="O2240" s="113">
        <f t="shared" si="139"/>
        <v>51658.826456835297</v>
      </c>
    </row>
    <row r="2241" spans="1:15" x14ac:dyDescent="0.25">
      <c r="A2241" s="13">
        <v>44448</v>
      </c>
      <c r="B2241" s="97">
        <v>2231</v>
      </c>
      <c r="C2241" t="s">
        <v>157</v>
      </c>
      <c r="D2241" s="94" t="s">
        <v>435</v>
      </c>
      <c r="E2241" t="s">
        <v>17</v>
      </c>
      <c r="F2241" t="s">
        <v>558</v>
      </c>
      <c r="G2241" s="50" t="s">
        <v>559</v>
      </c>
      <c r="H2241" s="50">
        <v>2</v>
      </c>
      <c r="I2241" s="100">
        <v>6.7391919697301583</v>
      </c>
      <c r="J2241" s="52">
        <v>3834.68</v>
      </c>
      <c r="K2241" s="67">
        <f t="shared" si="140"/>
        <v>57654.940242003679</v>
      </c>
      <c r="L2241" s="95">
        <f>+VLOOKUP(E2241,MARGEN!A:B,2,FALSE)</f>
        <v>0.1</v>
      </c>
      <c r="M2241" s="112">
        <f t="shared" si="137"/>
        <v>5765.4940242003686</v>
      </c>
      <c r="N2241" s="113">
        <f t="shared" si="138"/>
        <v>230.6197609680147</v>
      </c>
      <c r="O2241" s="113">
        <f t="shared" si="139"/>
        <v>51658.826456835297</v>
      </c>
    </row>
    <row r="2242" spans="1:15" x14ac:dyDescent="0.25">
      <c r="A2242" s="13">
        <v>44448</v>
      </c>
      <c r="B2242" s="97">
        <v>2135</v>
      </c>
      <c r="C2242" t="s">
        <v>312</v>
      </c>
      <c r="D2242" s="94" t="s">
        <v>542</v>
      </c>
      <c r="E2242" t="s">
        <v>17</v>
      </c>
      <c r="F2242" t="s">
        <v>558</v>
      </c>
      <c r="G2242" s="50" t="s">
        <v>559</v>
      </c>
      <c r="H2242" s="50">
        <v>2</v>
      </c>
      <c r="I2242" s="100">
        <v>6.7391919697301583</v>
      </c>
      <c r="J2242" s="52">
        <v>3834.68</v>
      </c>
      <c r="K2242" s="67">
        <f t="shared" si="140"/>
        <v>55174.046354405145</v>
      </c>
      <c r="L2242" s="95">
        <f>+VLOOKUP(E2242,MARGEN!A:B,2,FALSE)</f>
        <v>0.1</v>
      </c>
      <c r="M2242" s="112">
        <f t="shared" si="137"/>
        <v>5517.4046354405145</v>
      </c>
      <c r="N2242" s="113">
        <f t="shared" si="138"/>
        <v>220.69618541762057</v>
      </c>
      <c r="O2242" s="113">
        <f t="shared" si="139"/>
        <v>49435.945533547012</v>
      </c>
    </row>
    <row r="2243" spans="1:15" x14ac:dyDescent="0.25">
      <c r="A2243" s="13">
        <v>44448</v>
      </c>
      <c r="B2243" s="97">
        <v>2015</v>
      </c>
      <c r="C2243" t="s">
        <v>123</v>
      </c>
      <c r="D2243" s="94" t="s">
        <v>396</v>
      </c>
      <c r="E2243" t="s">
        <v>17</v>
      </c>
      <c r="F2243" t="s">
        <v>558</v>
      </c>
      <c r="G2243" s="50" t="s">
        <v>559</v>
      </c>
      <c r="H2243" s="50">
        <v>2</v>
      </c>
      <c r="I2243" s="100">
        <v>6.7391919697301583</v>
      </c>
      <c r="J2243" s="52">
        <v>3834.68</v>
      </c>
      <c r="K2243" s="67">
        <f t="shared" si="140"/>
        <v>52072.928994906957</v>
      </c>
      <c r="L2243" s="95">
        <f>+VLOOKUP(E2243,MARGEN!A:B,2,FALSE)</f>
        <v>0.1</v>
      </c>
      <c r="M2243" s="112">
        <f t="shared" ref="M2243:M2306" si="141">+K2243*L2243</f>
        <v>5207.2928994906961</v>
      </c>
      <c r="N2243" s="113">
        <f t="shared" ref="N2243:N2306" si="142">+K2243*4/1000</f>
        <v>208.29171597962784</v>
      </c>
      <c r="O2243" s="113">
        <f t="shared" ref="O2243:O2306" si="143">+K2243-M2243-N2243</f>
        <v>46657.344379436632</v>
      </c>
    </row>
    <row r="2244" spans="1:15" x14ac:dyDescent="0.25">
      <c r="A2244" s="13">
        <v>44448</v>
      </c>
      <c r="B2244" s="97">
        <v>1991</v>
      </c>
      <c r="C2244" t="s">
        <v>295</v>
      </c>
      <c r="D2244" s="94" t="s">
        <v>532</v>
      </c>
      <c r="E2244" t="s">
        <v>17</v>
      </c>
      <c r="F2244" t="s">
        <v>558</v>
      </c>
      <c r="G2244" s="50" t="s">
        <v>559</v>
      </c>
      <c r="H2244" s="50">
        <v>2</v>
      </c>
      <c r="I2244" s="100">
        <v>6.7391919697301583</v>
      </c>
      <c r="J2244" s="52">
        <v>3834.68</v>
      </c>
      <c r="K2244" s="67">
        <f t="shared" si="140"/>
        <v>51452.705523007324</v>
      </c>
      <c r="L2244" s="95">
        <f>+VLOOKUP(E2244,MARGEN!A:B,2,FALSE)</f>
        <v>0.1</v>
      </c>
      <c r="M2244" s="112">
        <f t="shared" si="141"/>
        <v>5145.2705523007326</v>
      </c>
      <c r="N2244" s="113">
        <f t="shared" si="142"/>
        <v>205.8108220920293</v>
      </c>
      <c r="O2244" s="113">
        <f t="shared" si="143"/>
        <v>46101.624148614566</v>
      </c>
    </row>
    <row r="2245" spans="1:15" x14ac:dyDescent="0.25">
      <c r="A2245" s="13">
        <v>44448</v>
      </c>
      <c r="B2245" s="97">
        <v>1847</v>
      </c>
      <c r="C2245" t="s">
        <v>125</v>
      </c>
      <c r="D2245" s="94" t="s">
        <v>341</v>
      </c>
      <c r="E2245" t="s">
        <v>17</v>
      </c>
      <c r="F2245" t="s">
        <v>558</v>
      </c>
      <c r="G2245" s="50" t="s">
        <v>559</v>
      </c>
      <c r="H2245" s="50">
        <v>2</v>
      </c>
      <c r="I2245" s="100">
        <v>6.7391919697301583</v>
      </c>
      <c r="J2245" s="52">
        <v>3834.68</v>
      </c>
      <c r="K2245" s="67">
        <f t="shared" si="140"/>
        <v>47731.364691609502</v>
      </c>
      <c r="L2245" s="95">
        <f>+VLOOKUP(E2245,MARGEN!A:B,2,FALSE)</f>
        <v>0.1</v>
      </c>
      <c r="M2245" s="112">
        <f t="shared" si="141"/>
        <v>4773.1364691609506</v>
      </c>
      <c r="N2245" s="113">
        <f t="shared" si="142"/>
        <v>190.925458766438</v>
      </c>
      <c r="O2245" s="113">
        <f t="shared" si="143"/>
        <v>42767.302763682113</v>
      </c>
    </row>
    <row r="2246" spans="1:15" x14ac:dyDescent="0.25">
      <c r="A2246" s="13">
        <v>44448</v>
      </c>
      <c r="B2246" s="97">
        <v>1775</v>
      </c>
      <c r="C2246" t="s">
        <v>311</v>
      </c>
      <c r="D2246" s="94" t="s">
        <v>541</v>
      </c>
      <c r="E2246" t="s">
        <v>17</v>
      </c>
      <c r="F2246" t="s">
        <v>558</v>
      </c>
      <c r="G2246" s="50" t="s">
        <v>559</v>
      </c>
      <c r="H2246" s="50">
        <v>2</v>
      </c>
      <c r="I2246" s="100">
        <v>6.7391919697301583</v>
      </c>
      <c r="J2246" s="52">
        <v>3834.68</v>
      </c>
      <c r="K2246" s="67">
        <f t="shared" si="140"/>
        <v>45870.694275910595</v>
      </c>
      <c r="L2246" s="95">
        <f>+VLOOKUP(E2246,MARGEN!A:B,2,FALSE)</f>
        <v>0.1</v>
      </c>
      <c r="M2246" s="112">
        <f t="shared" si="141"/>
        <v>4587.06942759106</v>
      </c>
      <c r="N2246" s="113">
        <f t="shared" si="142"/>
        <v>183.48277710364238</v>
      </c>
      <c r="O2246" s="113">
        <f t="shared" si="143"/>
        <v>41100.142071215894</v>
      </c>
    </row>
    <row r="2247" spans="1:15" x14ac:dyDescent="0.25">
      <c r="A2247" s="13">
        <v>44448</v>
      </c>
      <c r="B2247" s="51">
        <v>1751</v>
      </c>
      <c r="C2247" s="66" t="s">
        <v>154</v>
      </c>
      <c r="D2247" s="66" t="s">
        <v>419</v>
      </c>
      <c r="E2247" t="s">
        <v>17</v>
      </c>
      <c r="F2247" s="50" t="s">
        <v>558</v>
      </c>
      <c r="G2247" s="50" t="s">
        <v>559</v>
      </c>
      <c r="H2247" s="50">
        <v>2</v>
      </c>
      <c r="I2247" s="100">
        <v>6.7391919697301583</v>
      </c>
      <c r="J2247" s="52">
        <v>3834.68</v>
      </c>
      <c r="K2247" s="67">
        <f t="shared" si="140"/>
        <v>45250.470804010954</v>
      </c>
      <c r="L2247" s="95">
        <f>+VLOOKUP(E2247,MARGEN!A:B,2,FALSE)</f>
        <v>0.1</v>
      </c>
      <c r="M2247" s="112">
        <f t="shared" si="141"/>
        <v>4525.0470804010956</v>
      </c>
      <c r="N2247" s="113">
        <f t="shared" si="142"/>
        <v>181.00188321604381</v>
      </c>
      <c r="O2247" s="113">
        <f t="shared" si="143"/>
        <v>40544.421840393814</v>
      </c>
    </row>
    <row r="2248" spans="1:15" x14ac:dyDescent="0.25">
      <c r="A2248" s="13">
        <v>44448</v>
      </c>
      <c r="B2248" s="97">
        <v>1727</v>
      </c>
      <c r="C2248" t="s">
        <v>188</v>
      </c>
      <c r="D2248" s="94" t="s">
        <v>397</v>
      </c>
      <c r="E2248" t="s">
        <v>17</v>
      </c>
      <c r="F2248" t="s">
        <v>566</v>
      </c>
      <c r="G2248" s="50" t="s">
        <v>559</v>
      </c>
      <c r="H2248" s="50">
        <v>2</v>
      </c>
      <c r="I2248" s="100">
        <v>6.7391919697301583</v>
      </c>
      <c r="J2248" s="52">
        <v>3834.68</v>
      </c>
      <c r="K2248" s="67">
        <f t="shared" si="140"/>
        <v>44630.247332111321</v>
      </c>
      <c r="L2248" s="95">
        <f>+VLOOKUP(E2248,MARGEN!A:B,2,FALSE)</f>
        <v>0.1</v>
      </c>
      <c r="M2248" s="112">
        <f t="shared" si="141"/>
        <v>4463.0247332111321</v>
      </c>
      <c r="N2248" s="113">
        <f t="shared" si="142"/>
        <v>178.5209893284453</v>
      </c>
      <c r="O2248" s="113">
        <f t="shared" si="143"/>
        <v>39988.701609571741</v>
      </c>
    </row>
    <row r="2249" spans="1:15" x14ac:dyDescent="0.25">
      <c r="A2249" s="13">
        <v>44448</v>
      </c>
      <c r="B2249" s="97">
        <v>1727</v>
      </c>
      <c r="C2249" t="s">
        <v>174</v>
      </c>
      <c r="D2249" s="94" t="s">
        <v>395</v>
      </c>
      <c r="E2249" t="s">
        <v>17</v>
      </c>
      <c r="F2249" t="s">
        <v>558</v>
      </c>
      <c r="G2249" s="50" t="s">
        <v>559</v>
      </c>
      <c r="H2249" s="50">
        <v>2</v>
      </c>
      <c r="I2249" s="100">
        <v>6.7391919697301583</v>
      </c>
      <c r="J2249" s="52">
        <v>3834.68</v>
      </c>
      <c r="K2249" s="67">
        <f t="shared" ref="K2249:K2312" si="144">+B2249*I2249*J2249/1000</f>
        <v>44630.247332111321</v>
      </c>
      <c r="L2249" s="95">
        <f>+VLOOKUP(E2249,MARGEN!A:B,2,FALSE)</f>
        <v>0.1</v>
      </c>
      <c r="M2249" s="112">
        <f t="shared" si="141"/>
        <v>4463.0247332111321</v>
      </c>
      <c r="N2249" s="113">
        <f t="shared" si="142"/>
        <v>178.5209893284453</v>
      </c>
      <c r="O2249" s="113">
        <f t="shared" si="143"/>
        <v>39988.701609571741</v>
      </c>
    </row>
    <row r="2250" spans="1:15" x14ac:dyDescent="0.25">
      <c r="A2250" s="13">
        <v>44448</v>
      </c>
      <c r="B2250" s="97">
        <v>1727</v>
      </c>
      <c r="C2250" t="s">
        <v>170</v>
      </c>
      <c r="D2250" s="94" t="s">
        <v>437</v>
      </c>
      <c r="E2250" t="s">
        <v>17</v>
      </c>
      <c r="F2250" t="s">
        <v>558</v>
      </c>
      <c r="G2250" s="50" t="s">
        <v>559</v>
      </c>
      <c r="H2250" s="50">
        <v>2</v>
      </c>
      <c r="I2250" s="100">
        <v>6.7391919697301583</v>
      </c>
      <c r="J2250" s="52">
        <v>3834.68</v>
      </c>
      <c r="K2250" s="67">
        <f t="shared" si="144"/>
        <v>44630.247332111321</v>
      </c>
      <c r="L2250" s="95">
        <f>+VLOOKUP(E2250,MARGEN!A:B,2,FALSE)</f>
        <v>0.1</v>
      </c>
      <c r="M2250" s="112">
        <f t="shared" si="141"/>
        <v>4463.0247332111321</v>
      </c>
      <c r="N2250" s="113">
        <f t="shared" si="142"/>
        <v>178.5209893284453</v>
      </c>
      <c r="O2250" s="113">
        <f t="shared" si="143"/>
        <v>39988.701609571741</v>
      </c>
    </row>
    <row r="2251" spans="1:15" x14ac:dyDescent="0.25">
      <c r="A2251" s="13">
        <v>44448</v>
      </c>
      <c r="B2251" s="97">
        <v>1703</v>
      </c>
      <c r="C2251" t="s">
        <v>296</v>
      </c>
      <c r="D2251" s="94" t="s">
        <v>498</v>
      </c>
      <c r="E2251" t="s">
        <v>17</v>
      </c>
      <c r="F2251" t="s">
        <v>558</v>
      </c>
      <c r="G2251" s="50" t="s">
        <v>559</v>
      </c>
      <c r="H2251" s="50">
        <v>2</v>
      </c>
      <c r="I2251" s="100">
        <v>6.7391919697301583</v>
      </c>
      <c r="J2251" s="52">
        <v>3834.68</v>
      </c>
      <c r="K2251" s="67">
        <f t="shared" si="144"/>
        <v>44010.023860211688</v>
      </c>
      <c r="L2251" s="95">
        <f>+VLOOKUP(E2251,MARGEN!A:B,2,FALSE)</f>
        <v>0.1</v>
      </c>
      <c r="M2251" s="112">
        <f t="shared" si="141"/>
        <v>4401.0023860211686</v>
      </c>
      <c r="N2251" s="113">
        <f t="shared" si="142"/>
        <v>176.04009544084676</v>
      </c>
      <c r="O2251" s="113">
        <f t="shared" si="143"/>
        <v>39432.981378749675</v>
      </c>
    </row>
    <row r="2252" spans="1:15" x14ac:dyDescent="0.25">
      <c r="A2252" s="13">
        <v>44448</v>
      </c>
      <c r="B2252" s="97">
        <v>1703</v>
      </c>
      <c r="C2252" t="s">
        <v>172</v>
      </c>
      <c r="D2252" s="94" t="s">
        <v>371</v>
      </c>
      <c r="E2252" t="s">
        <v>17</v>
      </c>
      <c r="F2252" t="s">
        <v>558</v>
      </c>
      <c r="G2252" s="50" t="s">
        <v>559</v>
      </c>
      <c r="H2252" s="50">
        <v>2</v>
      </c>
      <c r="I2252" s="100">
        <v>6.7391919697301583</v>
      </c>
      <c r="J2252" s="52">
        <v>3834.68</v>
      </c>
      <c r="K2252" s="67">
        <f t="shared" si="144"/>
        <v>44010.023860211688</v>
      </c>
      <c r="L2252" s="95">
        <f>+VLOOKUP(E2252,MARGEN!A:B,2,FALSE)</f>
        <v>0.1</v>
      </c>
      <c r="M2252" s="112">
        <f t="shared" si="141"/>
        <v>4401.0023860211686</v>
      </c>
      <c r="N2252" s="113">
        <f t="shared" si="142"/>
        <v>176.04009544084676</v>
      </c>
      <c r="O2252" s="113">
        <f t="shared" si="143"/>
        <v>39432.981378749675</v>
      </c>
    </row>
    <row r="2253" spans="1:15" x14ac:dyDescent="0.25">
      <c r="A2253" s="13">
        <v>44448</v>
      </c>
      <c r="B2253" s="97">
        <v>1679</v>
      </c>
      <c r="C2253" t="s">
        <v>121</v>
      </c>
      <c r="D2253" s="94" t="s">
        <v>381</v>
      </c>
      <c r="E2253" t="s">
        <v>17</v>
      </c>
      <c r="F2253" t="s">
        <v>558</v>
      </c>
      <c r="G2253" s="50" t="s">
        <v>559</v>
      </c>
      <c r="H2253" s="50">
        <v>2</v>
      </c>
      <c r="I2253" s="100">
        <v>6.7391919697301583</v>
      </c>
      <c r="J2253" s="52">
        <v>3834.68</v>
      </c>
      <c r="K2253" s="67">
        <f t="shared" si="144"/>
        <v>43389.800388312047</v>
      </c>
      <c r="L2253" s="95">
        <f>+VLOOKUP(E2253,MARGEN!A:B,2,FALSE)</f>
        <v>0.1</v>
      </c>
      <c r="M2253" s="112">
        <f t="shared" si="141"/>
        <v>4338.9800388312051</v>
      </c>
      <c r="N2253" s="113">
        <f t="shared" si="142"/>
        <v>173.55920155324819</v>
      </c>
      <c r="O2253" s="113">
        <f t="shared" si="143"/>
        <v>38877.261147927595</v>
      </c>
    </row>
    <row r="2254" spans="1:15" x14ac:dyDescent="0.25">
      <c r="A2254" s="13">
        <v>44448</v>
      </c>
      <c r="B2254" s="97">
        <v>1679</v>
      </c>
      <c r="C2254" t="s">
        <v>194</v>
      </c>
      <c r="D2254" s="94" t="s">
        <v>417</v>
      </c>
      <c r="E2254" t="s">
        <v>17</v>
      </c>
      <c r="F2254" t="s">
        <v>558</v>
      </c>
      <c r="G2254" s="50" t="s">
        <v>559</v>
      </c>
      <c r="H2254" s="50">
        <v>2</v>
      </c>
      <c r="I2254" s="100">
        <v>6.7391919697301583</v>
      </c>
      <c r="J2254" s="52">
        <v>3834.68</v>
      </c>
      <c r="K2254" s="67">
        <f t="shared" si="144"/>
        <v>43389.800388312047</v>
      </c>
      <c r="L2254" s="95">
        <f>+VLOOKUP(E2254,MARGEN!A:B,2,FALSE)</f>
        <v>0.1</v>
      </c>
      <c r="M2254" s="112">
        <f t="shared" si="141"/>
        <v>4338.9800388312051</v>
      </c>
      <c r="N2254" s="113">
        <f t="shared" si="142"/>
        <v>173.55920155324819</v>
      </c>
      <c r="O2254" s="113">
        <f t="shared" si="143"/>
        <v>38877.261147927595</v>
      </c>
    </row>
    <row r="2255" spans="1:15" x14ac:dyDescent="0.25">
      <c r="A2255" s="13">
        <v>44448</v>
      </c>
      <c r="B2255" s="97">
        <v>1631</v>
      </c>
      <c r="C2255" t="s">
        <v>209</v>
      </c>
      <c r="D2255" s="94" t="s">
        <v>441</v>
      </c>
      <c r="E2255" t="s">
        <v>17</v>
      </c>
      <c r="F2255" t="s">
        <v>558</v>
      </c>
      <c r="G2255" s="50" t="s">
        <v>559</v>
      </c>
      <c r="H2255" s="50">
        <v>2</v>
      </c>
      <c r="I2255" s="100">
        <v>6.7391919697301583</v>
      </c>
      <c r="J2255" s="52">
        <v>3834.68</v>
      </c>
      <c r="K2255" s="67">
        <f t="shared" si="144"/>
        <v>42149.353444512773</v>
      </c>
      <c r="L2255" s="95">
        <f>+VLOOKUP(E2255,MARGEN!A:B,2,FALSE)</f>
        <v>0.1</v>
      </c>
      <c r="M2255" s="112">
        <f t="shared" si="141"/>
        <v>4214.9353444512772</v>
      </c>
      <c r="N2255" s="113">
        <f t="shared" si="142"/>
        <v>168.59741377805111</v>
      </c>
      <c r="O2255" s="113">
        <f t="shared" si="143"/>
        <v>37765.820686283449</v>
      </c>
    </row>
    <row r="2256" spans="1:15" x14ac:dyDescent="0.25">
      <c r="A2256" s="13">
        <v>44448</v>
      </c>
      <c r="B2256" s="97">
        <v>1631</v>
      </c>
      <c r="C2256" t="s">
        <v>196</v>
      </c>
      <c r="D2256" s="94" t="s">
        <v>413</v>
      </c>
      <c r="E2256" t="s">
        <v>17</v>
      </c>
      <c r="F2256" t="s">
        <v>566</v>
      </c>
      <c r="G2256" s="50" t="s">
        <v>559</v>
      </c>
      <c r="H2256" s="50">
        <v>2</v>
      </c>
      <c r="I2256" s="100">
        <v>6.7391919697301583</v>
      </c>
      <c r="J2256" s="52">
        <v>3834.68</v>
      </c>
      <c r="K2256" s="67">
        <f t="shared" si="144"/>
        <v>42149.353444512773</v>
      </c>
      <c r="L2256" s="95">
        <f>+VLOOKUP(E2256,MARGEN!A:B,2,FALSE)</f>
        <v>0.1</v>
      </c>
      <c r="M2256" s="112">
        <f t="shared" si="141"/>
        <v>4214.9353444512772</v>
      </c>
      <c r="N2256" s="113">
        <f t="shared" si="142"/>
        <v>168.59741377805111</v>
      </c>
      <c r="O2256" s="113">
        <f t="shared" si="143"/>
        <v>37765.820686283449</v>
      </c>
    </row>
    <row r="2257" spans="1:15" x14ac:dyDescent="0.25">
      <c r="A2257" s="13">
        <v>44448</v>
      </c>
      <c r="B2257" s="97">
        <v>1607</v>
      </c>
      <c r="C2257" t="s">
        <v>180</v>
      </c>
      <c r="D2257" s="94" t="s">
        <v>447</v>
      </c>
      <c r="E2257" t="s">
        <v>17</v>
      </c>
      <c r="F2257" t="s">
        <v>558</v>
      </c>
      <c r="G2257" s="50" t="s">
        <v>559</v>
      </c>
      <c r="H2257" s="50">
        <v>2</v>
      </c>
      <c r="I2257" s="100">
        <v>6.7391919697301583</v>
      </c>
      <c r="J2257" s="52">
        <v>3834.68</v>
      </c>
      <c r="K2257" s="67">
        <f t="shared" si="144"/>
        <v>41529.12997261314</v>
      </c>
      <c r="L2257" s="95">
        <f>+VLOOKUP(E2257,MARGEN!A:B,2,FALSE)</f>
        <v>0.1</v>
      </c>
      <c r="M2257" s="112">
        <f t="shared" si="141"/>
        <v>4152.9129972613146</v>
      </c>
      <c r="N2257" s="113">
        <f t="shared" si="142"/>
        <v>166.11651989045257</v>
      </c>
      <c r="O2257" s="113">
        <f t="shared" si="143"/>
        <v>37210.100455461376</v>
      </c>
    </row>
    <row r="2258" spans="1:15" x14ac:dyDescent="0.25">
      <c r="A2258" s="13">
        <v>44448</v>
      </c>
      <c r="B2258" s="97">
        <v>1559</v>
      </c>
      <c r="C2258" t="s">
        <v>119</v>
      </c>
      <c r="D2258" s="94" t="s">
        <v>377</v>
      </c>
      <c r="E2258" t="s">
        <v>17</v>
      </c>
      <c r="F2258" t="s">
        <v>558</v>
      </c>
      <c r="G2258" s="50" t="s">
        <v>559</v>
      </c>
      <c r="H2258" s="50">
        <v>2</v>
      </c>
      <c r="I2258" s="100">
        <v>6.7391919697301583</v>
      </c>
      <c r="J2258" s="52">
        <v>3834.68</v>
      </c>
      <c r="K2258" s="67">
        <f t="shared" si="144"/>
        <v>40288.683028813866</v>
      </c>
      <c r="L2258" s="95">
        <f>+VLOOKUP(E2258,MARGEN!A:B,2,FALSE)</f>
        <v>0.1</v>
      </c>
      <c r="M2258" s="112">
        <f t="shared" si="141"/>
        <v>4028.8683028813866</v>
      </c>
      <c r="N2258" s="113">
        <f t="shared" si="142"/>
        <v>161.15473211525546</v>
      </c>
      <c r="O2258" s="113">
        <f t="shared" si="143"/>
        <v>36098.659993817222</v>
      </c>
    </row>
    <row r="2259" spans="1:15" x14ac:dyDescent="0.25">
      <c r="A2259" s="13">
        <v>44448</v>
      </c>
      <c r="B2259" s="97">
        <v>1559</v>
      </c>
      <c r="C2259" t="s">
        <v>552</v>
      </c>
      <c r="D2259" s="94" t="s">
        <v>563</v>
      </c>
      <c r="E2259" t="s">
        <v>17</v>
      </c>
      <c r="F2259" t="s">
        <v>558</v>
      </c>
      <c r="G2259" s="50" t="s">
        <v>559</v>
      </c>
      <c r="H2259" s="50">
        <v>2</v>
      </c>
      <c r="I2259" s="100">
        <v>6.7391919697301583</v>
      </c>
      <c r="J2259" s="52">
        <v>3834.68</v>
      </c>
      <c r="K2259" s="67">
        <f t="shared" si="144"/>
        <v>40288.683028813866</v>
      </c>
      <c r="L2259" s="95">
        <f>+VLOOKUP(E2259,MARGEN!A:B,2,FALSE)</f>
        <v>0.1</v>
      </c>
      <c r="M2259" s="112">
        <f t="shared" si="141"/>
        <v>4028.8683028813866</v>
      </c>
      <c r="N2259" s="113">
        <f t="shared" si="142"/>
        <v>161.15473211525546</v>
      </c>
      <c r="O2259" s="113">
        <f t="shared" si="143"/>
        <v>36098.659993817222</v>
      </c>
    </row>
    <row r="2260" spans="1:15" x14ac:dyDescent="0.25">
      <c r="A2260" s="13">
        <v>44448</v>
      </c>
      <c r="B2260" s="97">
        <v>1559</v>
      </c>
      <c r="C2260" t="s">
        <v>176</v>
      </c>
      <c r="D2260" s="94" t="s">
        <v>430</v>
      </c>
      <c r="E2260" t="s">
        <v>17</v>
      </c>
      <c r="F2260" t="s">
        <v>558</v>
      </c>
      <c r="G2260" s="50" t="s">
        <v>559</v>
      </c>
      <c r="H2260" s="50">
        <v>2</v>
      </c>
      <c r="I2260" s="100">
        <v>6.7391919697301583</v>
      </c>
      <c r="J2260" s="52">
        <v>3834.68</v>
      </c>
      <c r="K2260" s="67">
        <f t="shared" si="144"/>
        <v>40288.683028813866</v>
      </c>
      <c r="L2260" s="95">
        <f>+VLOOKUP(E2260,MARGEN!A:B,2,FALSE)</f>
        <v>0.1</v>
      </c>
      <c r="M2260" s="112">
        <f t="shared" si="141"/>
        <v>4028.8683028813866</v>
      </c>
      <c r="N2260" s="113">
        <f t="shared" si="142"/>
        <v>161.15473211525546</v>
      </c>
      <c r="O2260" s="113">
        <f t="shared" si="143"/>
        <v>36098.659993817222</v>
      </c>
    </row>
    <row r="2261" spans="1:15" x14ac:dyDescent="0.25">
      <c r="A2261" s="13">
        <v>44448</v>
      </c>
      <c r="B2261" s="97">
        <v>1535</v>
      </c>
      <c r="C2261" t="s">
        <v>137</v>
      </c>
      <c r="D2261" s="94" t="s">
        <v>418</v>
      </c>
      <c r="E2261" t="s">
        <v>17</v>
      </c>
      <c r="F2261" t="s">
        <v>558</v>
      </c>
      <c r="G2261" s="50" t="s">
        <v>559</v>
      </c>
      <c r="H2261" s="50">
        <v>2</v>
      </c>
      <c r="I2261" s="100">
        <v>6.7391919697301583</v>
      </c>
      <c r="J2261" s="52">
        <v>3834.68</v>
      </c>
      <c r="K2261" s="67">
        <f t="shared" si="144"/>
        <v>39668.459556914233</v>
      </c>
      <c r="L2261" s="95">
        <f>+VLOOKUP(E2261,MARGEN!A:B,2,FALSE)</f>
        <v>0.1</v>
      </c>
      <c r="M2261" s="112">
        <f t="shared" si="141"/>
        <v>3966.8459556914236</v>
      </c>
      <c r="N2261" s="113">
        <f t="shared" si="142"/>
        <v>158.67383822765694</v>
      </c>
      <c r="O2261" s="113">
        <f t="shared" si="143"/>
        <v>35542.939762995149</v>
      </c>
    </row>
    <row r="2262" spans="1:15" x14ac:dyDescent="0.25">
      <c r="A2262" s="13">
        <v>44448</v>
      </c>
      <c r="B2262" s="97">
        <v>1487</v>
      </c>
      <c r="C2262" t="s">
        <v>169</v>
      </c>
      <c r="D2262" s="94" t="s">
        <v>351</v>
      </c>
      <c r="E2262" t="s">
        <v>17</v>
      </c>
      <c r="F2262" t="s">
        <v>558</v>
      </c>
      <c r="G2262" s="50" t="s">
        <v>559</v>
      </c>
      <c r="H2262" s="50">
        <v>2</v>
      </c>
      <c r="I2262" s="100">
        <v>6.7391919697301583</v>
      </c>
      <c r="J2262" s="52">
        <v>3834.68</v>
      </c>
      <c r="K2262" s="67">
        <f t="shared" si="144"/>
        <v>38428.012613114959</v>
      </c>
      <c r="L2262" s="95">
        <f>+VLOOKUP(E2262,MARGEN!A:B,2,FALSE)</f>
        <v>0.1</v>
      </c>
      <c r="M2262" s="112">
        <f t="shared" si="141"/>
        <v>3842.8012613114961</v>
      </c>
      <c r="N2262" s="113">
        <f t="shared" si="142"/>
        <v>153.71205045245983</v>
      </c>
      <c r="O2262" s="113">
        <f t="shared" si="143"/>
        <v>34431.499301351003</v>
      </c>
    </row>
    <row r="2263" spans="1:15" x14ac:dyDescent="0.25">
      <c r="A2263" s="13">
        <v>44448</v>
      </c>
      <c r="B2263" s="51">
        <v>1463</v>
      </c>
      <c r="C2263" s="66" t="s">
        <v>297</v>
      </c>
      <c r="D2263" s="66" t="s">
        <v>526</v>
      </c>
      <c r="E2263" t="s">
        <v>17</v>
      </c>
      <c r="F2263" s="50" t="s">
        <v>558</v>
      </c>
      <c r="G2263" s="50" t="s">
        <v>559</v>
      </c>
      <c r="H2263" s="50">
        <v>2</v>
      </c>
      <c r="I2263" s="100">
        <v>6.7391919697301583</v>
      </c>
      <c r="J2263" s="52">
        <v>3834.68</v>
      </c>
      <c r="K2263" s="67">
        <f t="shared" si="144"/>
        <v>37807.789141215326</v>
      </c>
      <c r="L2263" s="95">
        <f>+VLOOKUP(E2263,MARGEN!A:B,2,FALSE)</f>
        <v>0.1</v>
      </c>
      <c r="M2263" s="112">
        <f t="shared" si="141"/>
        <v>3780.7789141215326</v>
      </c>
      <c r="N2263" s="113">
        <f t="shared" si="142"/>
        <v>151.23115656486129</v>
      </c>
      <c r="O2263" s="113">
        <f t="shared" si="143"/>
        <v>33875.77907052893</v>
      </c>
    </row>
    <row r="2264" spans="1:15" x14ac:dyDescent="0.25">
      <c r="A2264" s="13">
        <v>44448</v>
      </c>
      <c r="B2264" s="97">
        <v>1439</v>
      </c>
      <c r="C2264" t="s">
        <v>210</v>
      </c>
      <c r="D2264" s="94" t="s">
        <v>402</v>
      </c>
      <c r="E2264" t="s">
        <v>17</v>
      </c>
      <c r="F2264" t="s">
        <v>558</v>
      </c>
      <c r="G2264" s="50" t="s">
        <v>559</v>
      </c>
      <c r="H2264" s="50">
        <v>2</v>
      </c>
      <c r="I2264" s="100">
        <v>6.7391919697301583</v>
      </c>
      <c r="J2264" s="52">
        <v>3834.68</v>
      </c>
      <c r="K2264" s="67">
        <f t="shared" si="144"/>
        <v>37187.565669315685</v>
      </c>
      <c r="L2264" s="95">
        <f>+VLOOKUP(E2264,MARGEN!A:B,2,FALSE)</f>
        <v>0.1</v>
      </c>
      <c r="M2264" s="112">
        <f t="shared" si="141"/>
        <v>3718.7565669315686</v>
      </c>
      <c r="N2264" s="113">
        <f t="shared" si="142"/>
        <v>148.75026267726275</v>
      </c>
      <c r="O2264" s="113">
        <f t="shared" si="143"/>
        <v>33320.058839706857</v>
      </c>
    </row>
    <row r="2265" spans="1:15" x14ac:dyDescent="0.25">
      <c r="A2265" s="13">
        <v>44448</v>
      </c>
      <c r="B2265" s="97">
        <v>1439</v>
      </c>
      <c r="C2265" t="s">
        <v>168</v>
      </c>
      <c r="D2265" s="94" t="s">
        <v>352</v>
      </c>
      <c r="E2265" t="s">
        <v>17</v>
      </c>
      <c r="F2265" t="s">
        <v>558</v>
      </c>
      <c r="G2265" s="50" t="s">
        <v>559</v>
      </c>
      <c r="H2265" s="50">
        <v>2</v>
      </c>
      <c r="I2265" s="100">
        <v>6.7391919697301583</v>
      </c>
      <c r="J2265" s="52">
        <v>3834.68</v>
      </c>
      <c r="K2265" s="67">
        <f t="shared" si="144"/>
        <v>37187.565669315685</v>
      </c>
      <c r="L2265" s="95">
        <f>+VLOOKUP(E2265,MARGEN!A:B,2,FALSE)</f>
        <v>0.1</v>
      </c>
      <c r="M2265" s="112">
        <f t="shared" si="141"/>
        <v>3718.7565669315686</v>
      </c>
      <c r="N2265" s="113">
        <f t="shared" si="142"/>
        <v>148.75026267726275</v>
      </c>
      <c r="O2265" s="113">
        <f t="shared" si="143"/>
        <v>33320.058839706857</v>
      </c>
    </row>
    <row r="2266" spans="1:15" x14ac:dyDescent="0.25">
      <c r="A2266" s="13">
        <v>44448</v>
      </c>
      <c r="B2266" s="97">
        <v>1367</v>
      </c>
      <c r="C2266" t="s">
        <v>173</v>
      </c>
      <c r="D2266" s="94" t="s">
        <v>451</v>
      </c>
      <c r="E2266" t="s">
        <v>17</v>
      </c>
      <c r="F2266" t="s">
        <v>558</v>
      </c>
      <c r="G2266" s="50" t="s">
        <v>559</v>
      </c>
      <c r="H2266" s="50">
        <v>2</v>
      </c>
      <c r="I2266" s="100">
        <v>6.7391919697301583</v>
      </c>
      <c r="J2266" s="52">
        <v>3834.68</v>
      </c>
      <c r="K2266" s="67">
        <f t="shared" si="144"/>
        <v>35326.895253616778</v>
      </c>
      <c r="L2266" s="95">
        <f>+VLOOKUP(E2266,MARGEN!A:B,2,FALSE)</f>
        <v>0.1</v>
      </c>
      <c r="M2266" s="112">
        <f t="shared" si="141"/>
        <v>3532.6895253616781</v>
      </c>
      <c r="N2266" s="113">
        <f t="shared" si="142"/>
        <v>141.3075810144671</v>
      </c>
      <c r="O2266" s="113">
        <f t="shared" si="143"/>
        <v>31652.898147240634</v>
      </c>
    </row>
    <row r="2267" spans="1:15" x14ac:dyDescent="0.25">
      <c r="A2267" s="13">
        <v>44448</v>
      </c>
      <c r="B2267" s="51">
        <v>1343</v>
      </c>
      <c r="C2267" s="66" t="s">
        <v>292</v>
      </c>
      <c r="D2267" s="66" t="s">
        <v>535</v>
      </c>
      <c r="E2267" t="s">
        <v>17</v>
      </c>
      <c r="F2267" s="50" t="s">
        <v>558</v>
      </c>
      <c r="G2267" s="50" t="s">
        <v>559</v>
      </c>
      <c r="H2267" s="50">
        <v>2</v>
      </c>
      <c r="I2267" s="100">
        <v>6.7391919697301583</v>
      </c>
      <c r="J2267" s="52">
        <v>3834.68</v>
      </c>
      <c r="K2267" s="67">
        <f t="shared" si="144"/>
        <v>34706.671781717145</v>
      </c>
      <c r="L2267" s="95">
        <f>+VLOOKUP(E2267,MARGEN!A:B,2,FALSE)</f>
        <v>0.1</v>
      </c>
      <c r="M2267" s="112">
        <f t="shared" si="141"/>
        <v>3470.6671781717146</v>
      </c>
      <c r="N2267" s="113">
        <f t="shared" si="142"/>
        <v>138.82668712686859</v>
      </c>
      <c r="O2267" s="113">
        <f t="shared" si="143"/>
        <v>31097.177916418561</v>
      </c>
    </row>
    <row r="2268" spans="1:15" x14ac:dyDescent="0.25">
      <c r="A2268" s="13">
        <v>44448</v>
      </c>
      <c r="B2268" s="97">
        <v>1319</v>
      </c>
      <c r="C2268" t="s">
        <v>118</v>
      </c>
      <c r="D2268" s="94" t="s">
        <v>329</v>
      </c>
      <c r="E2268" t="s">
        <v>17</v>
      </c>
      <c r="F2268" t="s">
        <v>562</v>
      </c>
      <c r="G2268" s="50" t="s">
        <v>559</v>
      </c>
      <c r="H2268" s="50">
        <v>2</v>
      </c>
      <c r="I2268" s="100">
        <v>6.7391919697301583</v>
      </c>
      <c r="J2268" s="52">
        <v>3834.68</v>
      </c>
      <c r="K2268" s="67">
        <f t="shared" si="144"/>
        <v>34086.448309817511</v>
      </c>
      <c r="L2268" s="95">
        <f>+VLOOKUP(E2268,MARGEN!A:B,2,FALSE)</f>
        <v>0.1</v>
      </c>
      <c r="M2268" s="112">
        <f t="shared" si="141"/>
        <v>3408.6448309817515</v>
      </c>
      <c r="N2268" s="113">
        <f t="shared" si="142"/>
        <v>136.34579323927005</v>
      </c>
      <c r="O2268" s="113">
        <f t="shared" si="143"/>
        <v>30541.457685596492</v>
      </c>
    </row>
    <row r="2269" spans="1:15" x14ac:dyDescent="0.25">
      <c r="A2269" s="13">
        <v>44448</v>
      </c>
      <c r="B2269" s="97">
        <v>1295</v>
      </c>
      <c r="C2269" t="s">
        <v>302</v>
      </c>
      <c r="D2269" s="94" t="s">
        <v>538</v>
      </c>
      <c r="E2269" t="s">
        <v>17</v>
      </c>
      <c r="F2269" t="s">
        <v>558</v>
      </c>
      <c r="G2269" s="50" t="s">
        <v>559</v>
      </c>
      <c r="H2269" s="50">
        <v>2</v>
      </c>
      <c r="I2269" s="100">
        <v>6.7391919697301583</v>
      </c>
      <c r="J2269" s="52">
        <v>3834.68</v>
      </c>
      <c r="K2269" s="67">
        <f t="shared" si="144"/>
        <v>33466.224837917871</v>
      </c>
      <c r="L2269" s="95">
        <f>+VLOOKUP(E2269,MARGEN!A:B,2,FALSE)</f>
        <v>0.1</v>
      </c>
      <c r="M2269" s="112">
        <f t="shared" si="141"/>
        <v>3346.6224837917871</v>
      </c>
      <c r="N2269" s="113">
        <f t="shared" si="142"/>
        <v>133.86489935167148</v>
      </c>
      <c r="O2269" s="113">
        <f t="shared" si="143"/>
        <v>29985.737454774411</v>
      </c>
    </row>
    <row r="2270" spans="1:15" x14ac:dyDescent="0.25">
      <c r="A2270" s="13">
        <v>44448</v>
      </c>
      <c r="B2270" s="97">
        <v>1295</v>
      </c>
      <c r="C2270" t="s">
        <v>151</v>
      </c>
      <c r="D2270" s="94" t="s">
        <v>394</v>
      </c>
      <c r="E2270" t="s">
        <v>17</v>
      </c>
      <c r="F2270" t="s">
        <v>558</v>
      </c>
      <c r="G2270" s="50" t="s">
        <v>559</v>
      </c>
      <c r="H2270" s="50">
        <v>2</v>
      </c>
      <c r="I2270" s="100">
        <v>6.7391919697301583</v>
      </c>
      <c r="J2270" s="52">
        <v>3834.68</v>
      </c>
      <c r="K2270" s="67">
        <f t="shared" si="144"/>
        <v>33466.224837917871</v>
      </c>
      <c r="L2270" s="95">
        <f>+VLOOKUP(E2270,MARGEN!A:B,2,FALSE)</f>
        <v>0.1</v>
      </c>
      <c r="M2270" s="112">
        <f t="shared" si="141"/>
        <v>3346.6224837917871</v>
      </c>
      <c r="N2270" s="113">
        <f t="shared" si="142"/>
        <v>133.86489935167148</v>
      </c>
      <c r="O2270" s="113">
        <f t="shared" si="143"/>
        <v>29985.737454774411</v>
      </c>
    </row>
    <row r="2271" spans="1:15" x14ac:dyDescent="0.25">
      <c r="A2271" s="13">
        <v>44448</v>
      </c>
      <c r="B2271" s="97">
        <v>1271</v>
      </c>
      <c r="C2271" t="s">
        <v>183</v>
      </c>
      <c r="D2271" s="94" t="s">
        <v>390</v>
      </c>
      <c r="E2271" t="s">
        <v>17</v>
      </c>
      <c r="F2271" t="s">
        <v>558</v>
      </c>
      <c r="G2271" s="50" t="s">
        <v>559</v>
      </c>
      <c r="H2271" s="50">
        <v>2</v>
      </c>
      <c r="I2271" s="100">
        <v>6.7391919697301583</v>
      </c>
      <c r="J2271" s="52">
        <v>3834.68</v>
      </c>
      <c r="K2271" s="67">
        <f t="shared" si="144"/>
        <v>32846.00136601823</v>
      </c>
      <c r="L2271" s="95">
        <f>+VLOOKUP(E2271,MARGEN!A:B,2,FALSE)</f>
        <v>0.1</v>
      </c>
      <c r="M2271" s="112">
        <f t="shared" si="141"/>
        <v>3284.6001366018231</v>
      </c>
      <c r="N2271" s="113">
        <f t="shared" si="142"/>
        <v>131.38400546407291</v>
      </c>
      <c r="O2271" s="113">
        <f t="shared" si="143"/>
        <v>29430.017223952334</v>
      </c>
    </row>
    <row r="2272" spans="1:15" x14ac:dyDescent="0.25">
      <c r="A2272" s="13">
        <v>44448</v>
      </c>
      <c r="B2272" s="51">
        <v>1247</v>
      </c>
      <c r="C2272" s="66" t="s">
        <v>298</v>
      </c>
      <c r="D2272" s="66" t="s">
        <v>536</v>
      </c>
      <c r="E2272" t="s">
        <v>17</v>
      </c>
      <c r="F2272" s="50" t="s">
        <v>558</v>
      </c>
      <c r="G2272" s="50" t="s">
        <v>559</v>
      </c>
      <c r="H2272" s="50">
        <v>2</v>
      </c>
      <c r="I2272" s="100">
        <v>6.7391919697301583</v>
      </c>
      <c r="J2272" s="52">
        <v>3834.68</v>
      </c>
      <c r="K2272" s="67">
        <f t="shared" si="144"/>
        <v>32225.777894118601</v>
      </c>
      <c r="L2272" s="95">
        <f>+VLOOKUP(E2272,MARGEN!A:B,2,FALSE)</f>
        <v>0.1</v>
      </c>
      <c r="M2272" s="112">
        <f t="shared" si="141"/>
        <v>3222.5777894118601</v>
      </c>
      <c r="N2272" s="113">
        <f t="shared" si="142"/>
        <v>128.9031115764744</v>
      </c>
      <c r="O2272" s="113">
        <f t="shared" si="143"/>
        <v>28874.296993130265</v>
      </c>
    </row>
    <row r="2273" spans="1:15" x14ac:dyDescent="0.25">
      <c r="A2273" s="13">
        <v>44448</v>
      </c>
      <c r="B2273" s="97">
        <v>1223</v>
      </c>
      <c r="C2273" t="s">
        <v>199</v>
      </c>
      <c r="D2273" s="94" t="s">
        <v>414</v>
      </c>
      <c r="E2273" t="s">
        <v>17</v>
      </c>
      <c r="F2273" t="s">
        <v>558</v>
      </c>
      <c r="G2273" s="50" t="s">
        <v>559</v>
      </c>
      <c r="H2273" s="50">
        <v>2</v>
      </c>
      <c r="I2273" s="100">
        <v>6.7391919697301583</v>
      </c>
      <c r="J2273" s="52">
        <v>3834.68</v>
      </c>
      <c r="K2273" s="67">
        <f t="shared" si="144"/>
        <v>31605.55442221896</v>
      </c>
      <c r="L2273" s="95">
        <f>+VLOOKUP(E2273,MARGEN!A:B,2,FALSE)</f>
        <v>0.1</v>
      </c>
      <c r="M2273" s="112">
        <f t="shared" si="141"/>
        <v>3160.5554422218961</v>
      </c>
      <c r="N2273" s="113">
        <f t="shared" si="142"/>
        <v>126.42221768887585</v>
      </c>
      <c r="O2273" s="113">
        <f t="shared" si="143"/>
        <v>28318.576762308188</v>
      </c>
    </row>
    <row r="2274" spans="1:15" x14ac:dyDescent="0.25">
      <c r="A2274" s="13">
        <v>44448</v>
      </c>
      <c r="B2274" s="97">
        <v>1151</v>
      </c>
      <c r="C2274" t="s">
        <v>184</v>
      </c>
      <c r="D2274" s="94" t="s">
        <v>443</v>
      </c>
      <c r="E2274" t="s">
        <v>17</v>
      </c>
      <c r="F2274" t="s">
        <v>558</v>
      </c>
      <c r="G2274" s="50" t="s">
        <v>559</v>
      </c>
      <c r="H2274" s="50">
        <v>2</v>
      </c>
      <c r="I2274" s="100">
        <v>6.7391919697301583</v>
      </c>
      <c r="J2274" s="52">
        <v>3834.68</v>
      </c>
      <c r="K2274" s="67">
        <f t="shared" si="144"/>
        <v>29744.884006520053</v>
      </c>
      <c r="L2274" s="95">
        <f>+VLOOKUP(E2274,MARGEN!A:B,2,FALSE)</f>
        <v>0.1</v>
      </c>
      <c r="M2274" s="112">
        <f t="shared" si="141"/>
        <v>2974.4884006520056</v>
      </c>
      <c r="N2274" s="113">
        <f t="shared" si="142"/>
        <v>118.97953602608021</v>
      </c>
      <c r="O2274" s="113">
        <f t="shared" si="143"/>
        <v>26651.416069841969</v>
      </c>
    </row>
    <row r="2275" spans="1:15" x14ac:dyDescent="0.25">
      <c r="A2275" s="13">
        <v>44448</v>
      </c>
      <c r="B2275" s="97">
        <v>743</v>
      </c>
      <c r="C2275" t="s">
        <v>181</v>
      </c>
      <c r="D2275" s="94" t="s">
        <v>415</v>
      </c>
      <c r="E2275" t="s">
        <v>17</v>
      </c>
      <c r="F2275" t="s">
        <v>558</v>
      </c>
      <c r="G2275" s="50" t="s">
        <v>559</v>
      </c>
      <c r="H2275" s="50">
        <v>2</v>
      </c>
      <c r="I2275" s="100">
        <v>6.7391919697301583</v>
      </c>
      <c r="J2275" s="52">
        <v>3834.68</v>
      </c>
      <c r="K2275" s="67">
        <f t="shared" si="144"/>
        <v>19201.08498422624</v>
      </c>
      <c r="L2275" s="95">
        <f>+VLOOKUP(E2275,MARGEN!A:B,2,FALSE)</f>
        <v>0.1</v>
      </c>
      <c r="M2275" s="112">
        <f t="shared" si="141"/>
        <v>1920.1084984226241</v>
      </c>
      <c r="N2275" s="113">
        <f t="shared" si="142"/>
        <v>76.804339936904952</v>
      </c>
      <c r="O2275" s="113">
        <f t="shared" si="143"/>
        <v>17204.172145866709</v>
      </c>
    </row>
    <row r="2276" spans="1:15" x14ac:dyDescent="0.25">
      <c r="A2276" s="13">
        <v>44449</v>
      </c>
      <c r="B2276" s="97">
        <v>6766</v>
      </c>
      <c r="C2276" t="s">
        <v>150</v>
      </c>
      <c r="D2276" s="94" t="s">
        <v>357</v>
      </c>
      <c r="E2276" t="s">
        <v>17</v>
      </c>
      <c r="F2276" t="s">
        <v>566</v>
      </c>
      <c r="G2276" s="50" t="s">
        <v>559</v>
      </c>
      <c r="H2276" s="50">
        <v>2</v>
      </c>
      <c r="I2276" s="100">
        <v>6.7391919697301583</v>
      </c>
      <c r="J2276" s="52">
        <v>3834.68</v>
      </c>
      <c r="K2276" s="67">
        <f t="shared" si="144"/>
        <v>174851.33378637244</v>
      </c>
      <c r="L2276" s="95">
        <f>+VLOOKUP(E2276,MARGEN!A:B,2,FALSE)</f>
        <v>0.1</v>
      </c>
      <c r="M2276" s="112">
        <f t="shared" si="141"/>
        <v>17485.133378637245</v>
      </c>
      <c r="N2276" s="113">
        <f t="shared" si="142"/>
        <v>699.40533514548974</v>
      </c>
      <c r="O2276" s="113">
        <f t="shared" si="143"/>
        <v>156666.79507258971</v>
      </c>
    </row>
    <row r="2277" spans="1:15" x14ac:dyDescent="0.25">
      <c r="A2277" s="13">
        <v>44449</v>
      </c>
      <c r="B2277" s="97">
        <v>5974</v>
      </c>
      <c r="C2277" t="s">
        <v>279</v>
      </c>
      <c r="D2277" s="94" t="s">
        <v>493</v>
      </c>
      <c r="E2277" t="s">
        <v>17</v>
      </c>
      <c r="F2277" t="s">
        <v>562</v>
      </c>
      <c r="G2277" s="50" t="s">
        <v>559</v>
      </c>
      <c r="H2277" s="50">
        <v>2</v>
      </c>
      <c r="I2277" s="100">
        <v>6.7391919697301583</v>
      </c>
      <c r="J2277" s="52">
        <v>3834.68</v>
      </c>
      <c r="K2277" s="67">
        <f t="shared" si="144"/>
        <v>154383.95921368443</v>
      </c>
      <c r="L2277" s="95">
        <f>+VLOOKUP(E2277,MARGEN!A:B,2,FALSE)</f>
        <v>0.1</v>
      </c>
      <c r="M2277" s="112">
        <f t="shared" si="141"/>
        <v>15438.395921368443</v>
      </c>
      <c r="N2277" s="113">
        <f t="shared" si="142"/>
        <v>617.53583685473768</v>
      </c>
      <c r="O2277" s="113">
        <f t="shared" si="143"/>
        <v>138328.02745546124</v>
      </c>
    </row>
    <row r="2278" spans="1:15" x14ac:dyDescent="0.25">
      <c r="A2278" s="13">
        <v>44449</v>
      </c>
      <c r="B2278" s="97">
        <v>5327</v>
      </c>
      <c r="C2278" t="s">
        <v>278</v>
      </c>
      <c r="D2278" s="94" t="s">
        <v>453</v>
      </c>
      <c r="E2278" t="s">
        <v>17</v>
      </c>
      <c r="F2278" t="s">
        <v>566</v>
      </c>
      <c r="G2278" s="50" t="s">
        <v>559</v>
      </c>
      <c r="H2278" s="50">
        <v>2</v>
      </c>
      <c r="I2278" s="100">
        <v>6.7391919697301583</v>
      </c>
      <c r="J2278" s="52">
        <v>3834.68</v>
      </c>
      <c r="K2278" s="67">
        <f t="shared" si="144"/>
        <v>137663.76811705675</v>
      </c>
      <c r="L2278" s="95">
        <f>+VLOOKUP(E2278,MARGEN!A:B,2,FALSE)</f>
        <v>0.1</v>
      </c>
      <c r="M2278" s="112">
        <f t="shared" si="141"/>
        <v>13766.376811705675</v>
      </c>
      <c r="N2278" s="113">
        <f t="shared" si="142"/>
        <v>550.65507246822699</v>
      </c>
      <c r="O2278" s="113">
        <f t="shared" si="143"/>
        <v>123346.73623288285</v>
      </c>
    </row>
    <row r="2279" spans="1:15" x14ac:dyDescent="0.25">
      <c r="A2279" s="13">
        <v>44449</v>
      </c>
      <c r="B2279" s="97">
        <v>4271</v>
      </c>
      <c r="C2279" t="s">
        <v>193</v>
      </c>
      <c r="D2279" s="94" t="s">
        <v>380</v>
      </c>
      <c r="E2279" t="s">
        <v>17</v>
      </c>
      <c r="F2279" t="s">
        <v>566</v>
      </c>
      <c r="G2279" s="50" t="s">
        <v>559</v>
      </c>
      <c r="H2279" s="50">
        <v>2</v>
      </c>
      <c r="I2279" s="100">
        <v>6.7391919697301583</v>
      </c>
      <c r="J2279" s="52">
        <v>3834.68</v>
      </c>
      <c r="K2279" s="67">
        <f t="shared" si="144"/>
        <v>110373.93535347277</v>
      </c>
      <c r="L2279" s="95">
        <f>+VLOOKUP(E2279,MARGEN!A:B,2,FALSE)</f>
        <v>0.1</v>
      </c>
      <c r="M2279" s="112">
        <f t="shared" si="141"/>
        <v>11037.393535347277</v>
      </c>
      <c r="N2279" s="113">
        <f t="shared" si="142"/>
        <v>441.4957414138911</v>
      </c>
      <c r="O2279" s="113">
        <f t="shared" si="143"/>
        <v>98895.046076711602</v>
      </c>
    </row>
    <row r="2280" spans="1:15" x14ac:dyDescent="0.25">
      <c r="A2280" s="13">
        <v>44449</v>
      </c>
      <c r="B2280" s="97">
        <v>3599</v>
      </c>
      <c r="C2280" t="s">
        <v>192</v>
      </c>
      <c r="D2280" t="s">
        <v>347</v>
      </c>
      <c r="E2280" t="s">
        <v>17</v>
      </c>
      <c r="F2280" t="s">
        <v>566</v>
      </c>
      <c r="G2280" s="50" t="s">
        <v>559</v>
      </c>
      <c r="H2280" s="50">
        <v>2</v>
      </c>
      <c r="I2280" s="100">
        <v>6.7391919697301583</v>
      </c>
      <c r="J2280" s="52">
        <v>3834.68</v>
      </c>
      <c r="K2280" s="67">
        <f t="shared" si="144"/>
        <v>93007.678140282951</v>
      </c>
      <c r="L2280" s="95">
        <f>+VLOOKUP(E2280,MARGEN!A:B,2,FALSE)</f>
        <v>0.1</v>
      </c>
      <c r="M2280" s="112">
        <f t="shared" si="141"/>
        <v>9300.7678140282951</v>
      </c>
      <c r="N2280" s="113">
        <f t="shared" si="142"/>
        <v>372.03071256113179</v>
      </c>
      <c r="O2280" s="113">
        <f t="shared" si="143"/>
        <v>83334.879613693527</v>
      </c>
    </row>
    <row r="2281" spans="1:15" x14ac:dyDescent="0.25">
      <c r="A2281" s="13">
        <v>44449</v>
      </c>
      <c r="B2281" s="97">
        <v>3551</v>
      </c>
      <c r="C2281" t="s">
        <v>149</v>
      </c>
      <c r="D2281" s="94" t="s">
        <v>325</v>
      </c>
      <c r="E2281" t="s">
        <v>17</v>
      </c>
      <c r="F2281" t="s">
        <v>566</v>
      </c>
      <c r="G2281" s="50" t="s">
        <v>559</v>
      </c>
      <c r="H2281" s="50">
        <v>2</v>
      </c>
      <c r="I2281" s="100">
        <v>6.7391919697301583</v>
      </c>
      <c r="J2281" s="52">
        <v>3834.68</v>
      </c>
      <c r="K2281" s="67">
        <f t="shared" si="144"/>
        <v>91767.23119648367</v>
      </c>
      <c r="L2281" s="95">
        <f>+VLOOKUP(E2281,MARGEN!A:B,2,FALSE)</f>
        <v>0.1</v>
      </c>
      <c r="M2281" s="112">
        <f t="shared" si="141"/>
        <v>9176.7231196483681</v>
      </c>
      <c r="N2281" s="113">
        <f t="shared" si="142"/>
        <v>367.06892478593466</v>
      </c>
      <c r="O2281" s="113">
        <f t="shared" si="143"/>
        <v>82223.439152049366</v>
      </c>
    </row>
    <row r="2282" spans="1:15" x14ac:dyDescent="0.25">
      <c r="A2282" s="13">
        <v>44449</v>
      </c>
      <c r="B2282" s="97">
        <v>3479</v>
      </c>
      <c r="C2282" t="s">
        <v>165</v>
      </c>
      <c r="D2282" s="94" t="s">
        <v>375</v>
      </c>
      <c r="E2282" t="s">
        <v>17</v>
      </c>
      <c r="F2282" t="s">
        <v>558</v>
      </c>
      <c r="G2282" s="50" t="s">
        <v>559</v>
      </c>
      <c r="H2282" s="50">
        <v>2</v>
      </c>
      <c r="I2282" s="100">
        <v>6.7391919697301583</v>
      </c>
      <c r="J2282" s="52">
        <v>3834.68</v>
      </c>
      <c r="K2282" s="67">
        <f t="shared" si="144"/>
        <v>89906.56078078477</v>
      </c>
      <c r="L2282" s="95">
        <f>+VLOOKUP(E2282,MARGEN!A:B,2,FALSE)</f>
        <v>0.1</v>
      </c>
      <c r="M2282" s="112">
        <f t="shared" si="141"/>
        <v>8990.6560780784766</v>
      </c>
      <c r="N2282" s="113">
        <f t="shared" si="142"/>
        <v>359.62624312313909</v>
      </c>
      <c r="O2282" s="113">
        <f t="shared" si="143"/>
        <v>80556.278459583147</v>
      </c>
    </row>
    <row r="2283" spans="1:15" x14ac:dyDescent="0.25">
      <c r="A2283" s="13">
        <v>44449</v>
      </c>
      <c r="B2283" s="97">
        <v>3359</v>
      </c>
      <c r="C2283" t="s">
        <v>309</v>
      </c>
      <c r="D2283" s="94" t="s">
        <v>544</v>
      </c>
      <c r="E2283" t="s">
        <v>17</v>
      </c>
      <c r="F2283" t="s">
        <v>558</v>
      </c>
      <c r="G2283" s="50" t="s">
        <v>559</v>
      </c>
      <c r="H2283" s="50">
        <v>2</v>
      </c>
      <c r="I2283" s="100">
        <v>6.7391919697301583</v>
      </c>
      <c r="J2283" s="52">
        <v>3834.68</v>
      </c>
      <c r="K2283" s="67">
        <f t="shared" si="144"/>
        <v>86805.443421286589</v>
      </c>
      <c r="L2283" s="95">
        <f>+VLOOKUP(E2283,MARGEN!A:B,2,FALSE)</f>
        <v>0.1</v>
      </c>
      <c r="M2283" s="112">
        <f t="shared" si="141"/>
        <v>8680.54434212866</v>
      </c>
      <c r="N2283" s="113">
        <f t="shared" si="142"/>
        <v>347.22177368514633</v>
      </c>
      <c r="O2283" s="113">
        <f t="shared" si="143"/>
        <v>77777.677305472782</v>
      </c>
    </row>
    <row r="2284" spans="1:15" x14ac:dyDescent="0.25">
      <c r="A2284" s="13">
        <v>44449</v>
      </c>
      <c r="B2284" s="97">
        <v>2903</v>
      </c>
      <c r="C2284" t="s">
        <v>134</v>
      </c>
      <c r="D2284" s="94" t="s">
        <v>362</v>
      </c>
      <c r="E2284" t="s">
        <v>17</v>
      </c>
      <c r="F2284" t="s">
        <v>558</v>
      </c>
      <c r="G2284" s="50" t="s">
        <v>559</v>
      </c>
      <c r="H2284" s="50">
        <v>2</v>
      </c>
      <c r="I2284" s="100">
        <v>6.7391919697301583</v>
      </c>
      <c r="J2284" s="52">
        <v>3834.68</v>
      </c>
      <c r="K2284" s="67">
        <f t="shared" si="144"/>
        <v>75021.197455193484</v>
      </c>
      <c r="L2284" s="95">
        <f>+VLOOKUP(E2284,MARGEN!A:B,2,FALSE)</f>
        <v>0.1</v>
      </c>
      <c r="M2284" s="112">
        <f t="shared" si="141"/>
        <v>7502.1197455193487</v>
      </c>
      <c r="N2284" s="113">
        <f t="shared" si="142"/>
        <v>300.08478982077395</v>
      </c>
      <c r="O2284" s="113">
        <f t="shared" si="143"/>
        <v>67218.992919853365</v>
      </c>
    </row>
    <row r="2285" spans="1:15" x14ac:dyDescent="0.25">
      <c r="A2285" s="13">
        <v>44449</v>
      </c>
      <c r="B2285" s="97">
        <v>2783</v>
      </c>
      <c r="C2285" t="s">
        <v>131</v>
      </c>
      <c r="D2285" s="94" t="s">
        <v>344</v>
      </c>
      <c r="E2285" t="s">
        <v>17</v>
      </c>
      <c r="F2285" t="s">
        <v>566</v>
      </c>
      <c r="G2285" s="50" t="s">
        <v>559</v>
      </c>
      <c r="H2285" s="50">
        <v>2</v>
      </c>
      <c r="I2285" s="100">
        <v>6.7391919697301583</v>
      </c>
      <c r="J2285" s="52">
        <v>3834.68</v>
      </c>
      <c r="K2285" s="67">
        <f t="shared" si="144"/>
        <v>71920.080095695317</v>
      </c>
      <c r="L2285" s="95">
        <f>+VLOOKUP(E2285,MARGEN!A:B,2,FALSE)</f>
        <v>0.1</v>
      </c>
      <c r="M2285" s="112">
        <f t="shared" si="141"/>
        <v>7192.0080095695321</v>
      </c>
      <c r="N2285" s="113">
        <f t="shared" si="142"/>
        <v>287.68032038278125</v>
      </c>
      <c r="O2285" s="113">
        <f t="shared" si="143"/>
        <v>64440.391765743007</v>
      </c>
    </row>
    <row r="2286" spans="1:15" x14ac:dyDescent="0.25">
      <c r="A2286" s="13">
        <v>44449</v>
      </c>
      <c r="B2286" s="97">
        <v>2711</v>
      </c>
      <c r="C2286" t="s">
        <v>132</v>
      </c>
      <c r="D2286" s="94" t="s">
        <v>376</v>
      </c>
      <c r="E2286" t="s">
        <v>17</v>
      </c>
      <c r="F2286" t="s">
        <v>566</v>
      </c>
      <c r="G2286" s="50" t="s">
        <v>559</v>
      </c>
      <c r="H2286" s="50">
        <v>2</v>
      </c>
      <c r="I2286" s="100">
        <v>6.7391919697301583</v>
      </c>
      <c r="J2286" s="52">
        <v>3834.68</v>
      </c>
      <c r="K2286" s="67">
        <f t="shared" si="144"/>
        <v>70059.409679996417</v>
      </c>
      <c r="L2286" s="95">
        <f>+VLOOKUP(E2286,MARGEN!A:B,2,FALSE)</f>
        <v>0.1</v>
      </c>
      <c r="M2286" s="112">
        <f t="shared" si="141"/>
        <v>7005.9409679996425</v>
      </c>
      <c r="N2286" s="113">
        <f t="shared" si="142"/>
        <v>280.23763871998568</v>
      </c>
      <c r="O2286" s="113">
        <f t="shared" si="143"/>
        <v>62773.231073276787</v>
      </c>
    </row>
    <row r="2287" spans="1:15" x14ac:dyDescent="0.25">
      <c r="A2287" s="13">
        <v>44449</v>
      </c>
      <c r="B2287" s="97">
        <v>2663</v>
      </c>
      <c r="C2287" t="s">
        <v>186</v>
      </c>
      <c r="D2287" s="94" t="s">
        <v>440</v>
      </c>
      <c r="E2287" t="s">
        <v>17</v>
      </c>
      <c r="F2287" t="s">
        <v>558</v>
      </c>
      <c r="G2287" s="50" t="s">
        <v>559</v>
      </c>
      <c r="H2287" s="50">
        <v>2</v>
      </c>
      <c r="I2287" s="100">
        <v>6.7391919697301583</v>
      </c>
      <c r="J2287" s="52">
        <v>3834.68</v>
      </c>
      <c r="K2287" s="67">
        <f t="shared" si="144"/>
        <v>68818.962736197136</v>
      </c>
      <c r="L2287" s="95">
        <f>+VLOOKUP(E2287,MARGEN!A:B,2,FALSE)</f>
        <v>0.1</v>
      </c>
      <c r="M2287" s="112">
        <f t="shared" si="141"/>
        <v>6881.8962736197136</v>
      </c>
      <c r="N2287" s="113">
        <f t="shared" si="142"/>
        <v>275.27585094478854</v>
      </c>
      <c r="O2287" s="113">
        <f t="shared" si="143"/>
        <v>61661.790611632634</v>
      </c>
    </row>
    <row r="2288" spans="1:15" x14ac:dyDescent="0.25">
      <c r="A2288" s="13">
        <v>44449</v>
      </c>
      <c r="B2288" s="97">
        <v>2615</v>
      </c>
      <c r="C2288" t="s">
        <v>146</v>
      </c>
      <c r="D2288" s="94" t="s">
        <v>348</v>
      </c>
      <c r="E2288" t="s">
        <v>17</v>
      </c>
      <c r="F2288" t="s">
        <v>558</v>
      </c>
      <c r="G2288" s="50" t="s">
        <v>559</v>
      </c>
      <c r="H2288" s="50">
        <v>2</v>
      </c>
      <c r="I2288" s="100">
        <v>6.7391919697301583</v>
      </c>
      <c r="J2288" s="52">
        <v>3834.68</v>
      </c>
      <c r="K2288" s="67">
        <f t="shared" si="144"/>
        <v>67578.51579239787</v>
      </c>
      <c r="L2288" s="95">
        <f>+VLOOKUP(E2288,MARGEN!A:B,2,FALSE)</f>
        <v>0.1</v>
      </c>
      <c r="M2288" s="112">
        <f t="shared" si="141"/>
        <v>6757.8515792397875</v>
      </c>
      <c r="N2288" s="113">
        <f t="shared" si="142"/>
        <v>270.31406316959146</v>
      </c>
      <c r="O2288" s="113">
        <f t="shared" si="143"/>
        <v>60550.350149988488</v>
      </c>
    </row>
    <row r="2289" spans="1:15" x14ac:dyDescent="0.25">
      <c r="A2289" s="13">
        <v>44449</v>
      </c>
      <c r="B2289" s="97">
        <v>2567</v>
      </c>
      <c r="C2289" t="s">
        <v>310</v>
      </c>
      <c r="D2289" s="94" t="s">
        <v>540</v>
      </c>
      <c r="E2289" t="s">
        <v>17</v>
      </c>
      <c r="F2289" t="s">
        <v>558</v>
      </c>
      <c r="G2289" s="50" t="s">
        <v>559</v>
      </c>
      <c r="H2289" s="50">
        <v>2</v>
      </c>
      <c r="I2289" s="100">
        <v>6.7391919697301583</v>
      </c>
      <c r="J2289" s="52">
        <v>3834.68</v>
      </c>
      <c r="K2289" s="67">
        <f t="shared" si="144"/>
        <v>66338.068848598588</v>
      </c>
      <c r="L2289" s="95">
        <f>+VLOOKUP(E2289,MARGEN!A:B,2,FALSE)</f>
        <v>0.1</v>
      </c>
      <c r="M2289" s="112">
        <f t="shared" si="141"/>
        <v>6633.8068848598596</v>
      </c>
      <c r="N2289" s="113">
        <f t="shared" si="142"/>
        <v>265.35227539439433</v>
      </c>
      <c r="O2289" s="113">
        <f t="shared" si="143"/>
        <v>59438.909688344334</v>
      </c>
    </row>
    <row r="2290" spans="1:15" x14ac:dyDescent="0.25">
      <c r="A2290" s="13">
        <v>44449</v>
      </c>
      <c r="B2290" s="97">
        <v>2519</v>
      </c>
      <c r="C2290" t="s">
        <v>127</v>
      </c>
      <c r="D2290" s="94" t="s">
        <v>411</v>
      </c>
      <c r="E2290" t="s">
        <v>17</v>
      </c>
      <c r="F2290" t="s">
        <v>558</v>
      </c>
      <c r="G2290" s="50" t="s">
        <v>559</v>
      </c>
      <c r="H2290" s="50">
        <v>2</v>
      </c>
      <c r="I2290" s="100">
        <v>6.7391919697301583</v>
      </c>
      <c r="J2290" s="52">
        <v>3834.68</v>
      </c>
      <c r="K2290" s="67">
        <f t="shared" si="144"/>
        <v>65097.621904799322</v>
      </c>
      <c r="L2290" s="95">
        <f>+VLOOKUP(E2290,MARGEN!A:B,2,FALSE)</f>
        <v>0.1</v>
      </c>
      <c r="M2290" s="112">
        <f t="shared" si="141"/>
        <v>6509.7621904799325</v>
      </c>
      <c r="N2290" s="113">
        <f t="shared" si="142"/>
        <v>260.3904876191973</v>
      </c>
      <c r="O2290" s="113">
        <f t="shared" si="143"/>
        <v>58327.469226700196</v>
      </c>
    </row>
    <row r="2291" spans="1:15" x14ac:dyDescent="0.25">
      <c r="A2291" s="13">
        <v>44449</v>
      </c>
      <c r="B2291" s="97">
        <v>2519</v>
      </c>
      <c r="C2291" t="s">
        <v>163</v>
      </c>
      <c r="D2291" s="94" t="s">
        <v>398</v>
      </c>
      <c r="E2291" t="s">
        <v>17</v>
      </c>
      <c r="F2291" t="s">
        <v>558</v>
      </c>
      <c r="G2291" s="50" t="s">
        <v>559</v>
      </c>
      <c r="H2291" s="50">
        <v>2</v>
      </c>
      <c r="I2291" s="100">
        <v>6.7391919697301583</v>
      </c>
      <c r="J2291" s="52">
        <v>3834.68</v>
      </c>
      <c r="K2291" s="67">
        <f t="shared" si="144"/>
        <v>65097.621904799322</v>
      </c>
      <c r="L2291" s="95">
        <f>+VLOOKUP(E2291,MARGEN!A:B,2,FALSE)</f>
        <v>0.1</v>
      </c>
      <c r="M2291" s="112">
        <f t="shared" si="141"/>
        <v>6509.7621904799325</v>
      </c>
      <c r="N2291" s="113">
        <f t="shared" si="142"/>
        <v>260.3904876191973</v>
      </c>
      <c r="O2291" s="113">
        <f t="shared" si="143"/>
        <v>58327.469226700196</v>
      </c>
    </row>
    <row r="2292" spans="1:15" x14ac:dyDescent="0.25">
      <c r="A2292" s="13">
        <v>44449</v>
      </c>
      <c r="B2292" s="97">
        <v>2423</v>
      </c>
      <c r="C2292" t="s">
        <v>281</v>
      </c>
      <c r="D2292" s="94" t="s">
        <v>495</v>
      </c>
      <c r="E2292" t="s">
        <v>17</v>
      </c>
      <c r="F2292" t="s">
        <v>558</v>
      </c>
      <c r="G2292" s="50" t="s">
        <v>559</v>
      </c>
      <c r="H2292" s="50">
        <v>2</v>
      </c>
      <c r="I2292" s="100">
        <v>6.7391919697301583</v>
      </c>
      <c r="J2292" s="52">
        <v>3834.68</v>
      </c>
      <c r="K2292" s="67">
        <f t="shared" si="144"/>
        <v>62616.728017200774</v>
      </c>
      <c r="L2292" s="95">
        <f>+VLOOKUP(E2292,MARGEN!A:B,2,FALSE)</f>
        <v>0.1</v>
      </c>
      <c r="M2292" s="112">
        <f t="shared" si="141"/>
        <v>6261.6728017200776</v>
      </c>
      <c r="N2292" s="113">
        <f t="shared" si="142"/>
        <v>250.46691206880308</v>
      </c>
      <c r="O2292" s="113">
        <f t="shared" si="143"/>
        <v>56104.588303411889</v>
      </c>
    </row>
    <row r="2293" spans="1:15" x14ac:dyDescent="0.25">
      <c r="A2293" s="13">
        <v>44449</v>
      </c>
      <c r="B2293" s="97">
        <v>2303</v>
      </c>
      <c r="C2293" t="s">
        <v>128</v>
      </c>
      <c r="D2293" s="94" t="s">
        <v>416</v>
      </c>
      <c r="E2293" t="s">
        <v>17</v>
      </c>
      <c r="F2293" t="s">
        <v>558</v>
      </c>
      <c r="G2293" s="50" t="s">
        <v>559</v>
      </c>
      <c r="H2293" s="50">
        <v>2</v>
      </c>
      <c r="I2293" s="100">
        <v>6.7391919697301583</v>
      </c>
      <c r="J2293" s="52">
        <v>3834.68</v>
      </c>
      <c r="K2293" s="67">
        <f t="shared" si="144"/>
        <v>59515.610657702593</v>
      </c>
      <c r="L2293" s="95">
        <f>+VLOOKUP(E2293,MARGEN!A:B,2,FALSE)</f>
        <v>0.1</v>
      </c>
      <c r="M2293" s="112">
        <f t="shared" si="141"/>
        <v>5951.56106577026</v>
      </c>
      <c r="N2293" s="113">
        <f t="shared" si="142"/>
        <v>238.06244263081038</v>
      </c>
      <c r="O2293" s="113">
        <f t="shared" si="143"/>
        <v>53325.987149301516</v>
      </c>
    </row>
    <row r="2294" spans="1:15" x14ac:dyDescent="0.25">
      <c r="A2294" s="13">
        <v>44449</v>
      </c>
      <c r="B2294" s="97">
        <v>2279</v>
      </c>
      <c r="C2294" t="s">
        <v>122</v>
      </c>
      <c r="D2294" s="94" t="s">
        <v>446</v>
      </c>
      <c r="E2294" t="s">
        <v>17</v>
      </c>
      <c r="F2294" t="s">
        <v>558</v>
      </c>
      <c r="G2294" s="50" t="s">
        <v>559</v>
      </c>
      <c r="H2294" s="50">
        <v>2</v>
      </c>
      <c r="I2294" s="100">
        <v>6.7391919697301583</v>
      </c>
      <c r="J2294" s="52">
        <v>3834.68</v>
      </c>
      <c r="K2294" s="67">
        <f t="shared" si="144"/>
        <v>58895.387185802952</v>
      </c>
      <c r="L2294" s="95">
        <f>+VLOOKUP(E2294,MARGEN!A:B,2,FALSE)</f>
        <v>0.1</v>
      </c>
      <c r="M2294" s="112">
        <f t="shared" si="141"/>
        <v>5889.5387185802956</v>
      </c>
      <c r="N2294" s="113">
        <f t="shared" si="142"/>
        <v>235.58154874321181</v>
      </c>
      <c r="O2294" s="113">
        <f t="shared" si="143"/>
        <v>52770.266918479443</v>
      </c>
    </row>
    <row r="2295" spans="1:15" x14ac:dyDescent="0.25">
      <c r="A2295" s="13">
        <v>44449</v>
      </c>
      <c r="B2295" s="97">
        <v>2231</v>
      </c>
      <c r="C2295" t="s">
        <v>126</v>
      </c>
      <c r="D2295" s="94" t="s">
        <v>438</v>
      </c>
      <c r="E2295" t="s">
        <v>17</v>
      </c>
      <c r="F2295" t="s">
        <v>558</v>
      </c>
      <c r="G2295" s="50" t="s">
        <v>559</v>
      </c>
      <c r="H2295" s="50">
        <v>2</v>
      </c>
      <c r="I2295" s="100">
        <v>6.7391919697301583</v>
      </c>
      <c r="J2295" s="52">
        <v>3834.68</v>
      </c>
      <c r="K2295" s="67">
        <f t="shared" si="144"/>
        <v>57654.940242003679</v>
      </c>
      <c r="L2295" s="95">
        <f>+VLOOKUP(E2295,MARGEN!A:B,2,FALSE)</f>
        <v>0.1</v>
      </c>
      <c r="M2295" s="112">
        <f t="shared" si="141"/>
        <v>5765.4940242003686</v>
      </c>
      <c r="N2295" s="113">
        <f t="shared" si="142"/>
        <v>230.6197609680147</v>
      </c>
      <c r="O2295" s="113">
        <f t="shared" si="143"/>
        <v>51658.826456835297</v>
      </c>
    </row>
    <row r="2296" spans="1:15" x14ac:dyDescent="0.25">
      <c r="A2296" s="13">
        <v>44449</v>
      </c>
      <c r="B2296" s="97">
        <v>2183</v>
      </c>
      <c r="C2296" t="s">
        <v>157</v>
      </c>
      <c r="D2296" s="94" t="s">
        <v>435</v>
      </c>
      <c r="E2296" t="s">
        <v>17</v>
      </c>
      <c r="F2296" t="s">
        <v>558</v>
      </c>
      <c r="G2296" s="50" t="s">
        <v>559</v>
      </c>
      <c r="H2296" s="50">
        <v>2</v>
      </c>
      <c r="I2296" s="100">
        <v>6.7391919697301583</v>
      </c>
      <c r="J2296" s="52">
        <v>3834.68</v>
      </c>
      <c r="K2296" s="67">
        <f t="shared" si="144"/>
        <v>56414.493298204405</v>
      </c>
      <c r="L2296" s="95">
        <f>+VLOOKUP(E2296,MARGEN!A:B,2,FALSE)</f>
        <v>0.1</v>
      </c>
      <c r="M2296" s="112">
        <f t="shared" si="141"/>
        <v>5641.4493298204407</v>
      </c>
      <c r="N2296" s="113">
        <f t="shared" si="142"/>
        <v>225.65797319281762</v>
      </c>
      <c r="O2296" s="113">
        <f t="shared" si="143"/>
        <v>50547.385995191151</v>
      </c>
    </row>
    <row r="2297" spans="1:15" x14ac:dyDescent="0.25">
      <c r="A2297" s="13">
        <v>44449</v>
      </c>
      <c r="B2297" s="97">
        <v>2135</v>
      </c>
      <c r="C2297" t="s">
        <v>312</v>
      </c>
      <c r="D2297" s="94" t="s">
        <v>542</v>
      </c>
      <c r="E2297" t="s">
        <v>17</v>
      </c>
      <c r="F2297" t="s">
        <v>558</v>
      </c>
      <c r="G2297" s="50" t="s">
        <v>559</v>
      </c>
      <c r="H2297" s="50">
        <v>2</v>
      </c>
      <c r="I2297" s="100">
        <v>6.7391919697301583</v>
      </c>
      <c r="J2297" s="52">
        <v>3834.68</v>
      </c>
      <c r="K2297" s="67">
        <f t="shared" si="144"/>
        <v>55174.046354405145</v>
      </c>
      <c r="L2297" s="95">
        <f>+VLOOKUP(E2297,MARGEN!A:B,2,FALSE)</f>
        <v>0.1</v>
      </c>
      <c r="M2297" s="112">
        <f t="shared" si="141"/>
        <v>5517.4046354405145</v>
      </c>
      <c r="N2297" s="113">
        <f t="shared" si="142"/>
        <v>220.69618541762057</v>
      </c>
      <c r="O2297" s="113">
        <f t="shared" si="143"/>
        <v>49435.945533547012</v>
      </c>
    </row>
    <row r="2298" spans="1:15" x14ac:dyDescent="0.25">
      <c r="A2298" s="13">
        <v>44449</v>
      </c>
      <c r="B2298" s="97">
        <v>2015</v>
      </c>
      <c r="C2298" t="s">
        <v>123</v>
      </c>
      <c r="D2298" s="94" t="s">
        <v>396</v>
      </c>
      <c r="E2298" t="s">
        <v>17</v>
      </c>
      <c r="F2298" t="s">
        <v>558</v>
      </c>
      <c r="G2298" s="50" t="s">
        <v>559</v>
      </c>
      <c r="H2298" s="50">
        <v>2</v>
      </c>
      <c r="I2298" s="100">
        <v>6.7391919697301583</v>
      </c>
      <c r="J2298" s="52">
        <v>3834.68</v>
      </c>
      <c r="K2298" s="67">
        <f t="shared" si="144"/>
        <v>52072.928994906957</v>
      </c>
      <c r="L2298" s="95">
        <f>+VLOOKUP(E2298,MARGEN!A:B,2,FALSE)</f>
        <v>0.1</v>
      </c>
      <c r="M2298" s="112">
        <f t="shared" si="141"/>
        <v>5207.2928994906961</v>
      </c>
      <c r="N2298" s="113">
        <f t="shared" si="142"/>
        <v>208.29171597962784</v>
      </c>
      <c r="O2298" s="113">
        <f t="shared" si="143"/>
        <v>46657.344379436632</v>
      </c>
    </row>
    <row r="2299" spans="1:15" x14ac:dyDescent="0.25">
      <c r="A2299" s="13">
        <v>44449</v>
      </c>
      <c r="B2299" s="97">
        <v>1991</v>
      </c>
      <c r="C2299" t="s">
        <v>295</v>
      </c>
      <c r="D2299" s="94" t="s">
        <v>532</v>
      </c>
      <c r="E2299" t="s">
        <v>17</v>
      </c>
      <c r="F2299" t="s">
        <v>558</v>
      </c>
      <c r="G2299" s="50" t="s">
        <v>559</v>
      </c>
      <c r="H2299" s="50">
        <v>2</v>
      </c>
      <c r="I2299" s="100">
        <v>6.7391919697301583</v>
      </c>
      <c r="J2299" s="52">
        <v>3834.68</v>
      </c>
      <c r="K2299" s="67">
        <f t="shared" si="144"/>
        <v>51452.705523007324</v>
      </c>
      <c r="L2299" s="95">
        <f>+VLOOKUP(E2299,MARGEN!A:B,2,FALSE)</f>
        <v>0.1</v>
      </c>
      <c r="M2299" s="112">
        <f t="shared" si="141"/>
        <v>5145.2705523007326</v>
      </c>
      <c r="N2299" s="113">
        <f t="shared" si="142"/>
        <v>205.8108220920293</v>
      </c>
      <c r="O2299" s="113">
        <f t="shared" si="143"/>
        <v>46101.624148614566</v>
      </c>
    </row>
    <row r="2300" spans="1:15" x14ac:dyDescent="0.25">
      <c r="A2300" s="13">
        <v>44449</v>
      </c>
      <c r="B2300" s="97">
        <v>1871</v>
      </c>
      <c r="C2300" t="s">
        <v>125</v>
      </c>
      <c r="D2300" s="94" t="s">
        <v>341</v>
      </c>
      <c r="E2300" t="s">
        <v>17</v>
      </c>
      <c r="F2300" t="s">
        <v>558</v>
      </c>
      <c r="G2300" s="50" t="s">
        <v>559</v>
      </c>
      <c r="H2300" s="50">
        <v>2</v>
      </c>
      <c r="I2300" s="100">
        <v>6.7391919697301583</v>
      </c>
      <c r="J2300" s="52">
        <v>3834.68</v>
      </c>
      <c r="K2300" s="67">
        <f t="shared" si="144"/>
        <v>48351.588163509143</v>
      </c>
      <c r="L2300" s="95">
        <f>+VLOOKUP(E2300,MARGEN!A:B,2,FALSE)</f>
        <v>0.1</v>
      </c>
      <c r="M2300" s="112">
        <f t="shared" si="141"/>
        <v>4835.1588163509141</v>
      </c>
      <c r="N2300" s="113">
        <f t="shared" si="142"/>
        <v>193.40635265403657</v>
      </c>
      <c r="O2300" s="113">
        <f t="shared" si="143"/>
        <v>43323.022994504194</v>
      </c>
    </row>
    <row r="2301" spans="1:15" x14ac:dyDescent="0.25">
      <c r="A2301" s="13">
        <v>44449</v>
      </c>
      <c r="B2301" s="97">
        <v>1799</v>
      </c>
      <c r="C2301" t="s">
        <v>172</v>
      </c>
      <c r="D2301" s="94" t="s">
        <v>371</v>
      </c>
      <c r="E2301" t="s">
        <v>17</v>
      </c>
      <c r="F2301" t="s">
        <v>558</v>
      </c>
      <c r="G2301" s="50" t="s">
        <v>559</v>
      </c>
      <c r="H2301" s="50">
        <v>2</v>
      </c>
      <c r="I2301" s="100">
        <v>6.7391919697301583</v>
      </c>
      <c r="J2301" s="52">
        <v>3834.68</v>
      </c>
      <c r="K2301" s="67">
        <f t="shared" si="144"/>
        <v>46490.917747810228</v>
      </c>
      <c r="L2301" s="95">
        <f>+VLOOKUP(E2301,MARGEN!A:B,2,FALSE)</f>
        <v>0.1</v>
      </c>
      <c r="M2301" s="112">
        <f t="shared" si="141"/>
        <v>4649.0917747810227</v>
      </c>
      <c r="N2301" s="113">
        <f t="shared" si="142"/>
        <v>185.96367099124092</v>
      </c>
      <c r="O2301" s="113">
        <f t="shared" si="143"/>
        <v>41655.862302037967</v>
      </c>
    </row>
    <row r="2302" spans="1:15" x14ac:dyDescent="0.25">
      <c r="A2302" s="13">
        <v>44449</v>
      </c>
      <c r="B2302" s="97">
        <v>1775</v>
      </c>
      <c r="C2302" t="s">
        <v>311</v>
      </c>
      <c r="D2302" s="94" t="s">
        <v>541</v>
      </c>
      <c r="E2302" t="s">
        <v>17</v>
      </c>
      <c r="F2302" t="s">
        <v>558</v>
      </c>
      <c r="G2302" s="50" t="s">
        <v>559</v>
      </c>
      <c r="H2302" s="50">
        <v>2</v>
      </c>
      <c r="I2302" s="100">
        <v>6.7391919697301583</v>
      </c>
      <c r="J2302" s="52">
        <v>3834.68</v>
      </c>
      <c r="K2302" s="67">
        <f t="shared" si="144"/>
        <v>45870.694275910595</v>
      </c>
      <c r="L2302" s="95">
        <f>+VLOOKUP(E2302,MARGEN!A:B,2,FALSE)</f>
        <v>0.1</v>
      </c>
      <c r="M2302" s="112">
        <f t="shared" si="141"/>
        <v>4587.06942759106</v>
      </c>
      <c r="N2302" s="113">
        <f t="shared" si="142"/>
        <v>183.48277710364238</v>
      </c>
      <c r="O2302" s="113">
        <f t="shared" si="143"/>
        <v>41100.142071215894</v>
      </c>
    </row>
    <row r="2303" spans="1:15" x14ac:dyDescent="0.25">
      <c r="A2303" s="13">
        <v>44449</v>
      </c>
      <c r="B2303" s="97">
        <v>1751</v>
      </c>
      <c r="C2303" t="s">
        <v>154</v>
      </c>
      <c r="D2303" s="94" t="s">
        <v>419</v>
      </c>
      <c r="E2303" t="s">
        <v>17</v>
      </c>
      <c r="F2303" t="s">
        <v>558</v>
      </c>
      <c r="G2303" s="50" t="s">
        <v>559</v>
      </c>
      <c r="H2303" s="50">
        <v>2</v>
      </c>
      <c r="I2303" s="100">
        <v>6.7391919697301583</v>
      </c>
      <c r="J2303" s="52">
        <v>3834.68</v>
      </c>
      <c r="K2303" s="67">
        <f t="shared" si="144"/>
        <v>45250.470804010954</v>
      </c>
      <c r="L2303" s="95">
        <f>+VLOOKUP(E2303,MARGEN!A:B,2,FALSE)</f>
        <v>0.1</v>
      </c>
      <c r="M2303" s="112">
        <f t="shared" si="141"/>
        <v>4525.0470804010956</v>
      </c>
      <c r="N2303" s="113">
        <f t="shared" si="142"/>
        <v>181.00188321604381</v>
      </c>
      <c r="O2303" s="113">
        <f t="shared" si="143"/>
        <v>40544.421840393814</v>
      </c>
    </row>
    <row r="2304" spans="1:15" x14ac:dyDescent="0.25">
      <c r="A2304" s="13">
        <v>44449</v>
      </c>
      <c r="B2304" s="97">
        <v>1727</v>
      </c>
      <c r="C2304" t="s">
        <v>188</v>
      </c>
      <c r="D2304" s="94" t="s">
        <v>397</v>
      </c>
      <c r="E2304" t="s">
        <v>17</v>
      </c>
      <c r="F2304" t="s">
        <v>566</v>
      </c>
      <c r="G2304" s="50" t="s">
        <v>559</v>
      </c>
      <c r="H2304" s="50">
        <v>2</v>
      </c>
      <c r="I2304" s="100">
        <v>6.7391919697301583</v>
      </c>
      <c r="J2304" s="52">
        <v>3834.68</v>
      </c>
      <c r="K2304" s="67">
        <f t="shared" si="144"/>
        <v>44630.247332111321</v>
      </c>
      <c r="L2304" s="95">
        <f>+VLOOKUP(E2304,MARGEN!A:B,2,FALSE)</f>
        <v>0.1</v>
      </c>
      <c r="M2304" s="112">
        <f t="shared" si="141"/>
        <v>4463.0247332111321</v>
      </c>
      <c r="N2304" s="113">
        <f t="shared" si="142"/>
        <v>178.5209893284453</v>
      </c>
      <c r="O2304" s="113">
        <f t="shared" si="143"/>
        <v>39988.701609571741</v>
      </c>
    </row>
    <row r="2305" spans="1:15" x14ac:dyDescent="0.25">
      <c r="A2305" s="13">
        <v>44449</v>
      </c>
      <c r="B2305" s="97">
        <v>1727</v>
      </c>
      <c r="C2305" t="s">
        <v>170</v>
      </c>
      <c r="D2305" s="94" t="s">
        <v>437</v>
      </c>
      <c r="E2305" t="s">
        <v>17</v>
      </c>
      <c r="F2305" t="s">
        <v>558</v>
      </c>
      <c r="G2305" s="50" t="s">
        <v>559</v>
      </c>
      <c r="H2305" s="50">
        <v>2</v>
      </c>
      <c r="I2305" s="100">
        <v>6.7391919697301583</v>
      </c>
      <c r="J2305" s="52">
        <v>3834.68</v>
      </c>
      <c r="K2305" s="67">
        <f t="shared" si="144"/>
        <v>44630.247332111321</v>
      </c>
      <c r="L2305" s="95">
        <f>+VLOOKUP(E2305,MARGEN!A:B,2,FALSE)</f>
        <v>0.1</v>
      </c>
      <c r="M2305" s="112">
        <f t="shared" si="141"/>
        <v>4463.0247332111321</v>
      </c>
      <c r="N2305" s="113">
        <f t="shared" si="142"/>
        <v>178.5209893284453</v>
      </c>
      <c r="O2305" s="113">
        <f t="shared" si="143"/>
        <v>39988.701609571741</v>
      </c>
    </row>
    <row r="2306" spans="1:15" x14ac:dyDescent="0.25">
      <c r="A2306" s="13">
        <v>44449</v>
      </c>
      <c r="B2306" s="97">
        <v>1727</v>
      </c>
      <c r="C2306" t="s">
        <v>174</v>
      </c>
      <c r="D2306" s="94" t="s">
        <v>395</v>
      </c>
      <c r="E2306" t="s">
        <v>17</v>
      </c>
      <c r="F2306" t="s">
        <v>558</v>
      </c>
      <c r="G2306" s="50" t="s">
        <v>559</v>
      </c>
      <c r="H2306" s="50">
        <v>2</v>
      </c>
      <c r="I2306" s="100">
        <v>6.7391919697301583</v>
      </c>
      <c r="J2306" s="52">
        <v>3834.68</v>
      </c>
      <c r="K2306" s="67">
        <f t="shared" si="144"/>
        <v>44630.247332111321</v>
      </c>
      <c r="L2306" s="95">
        <f>+VLOOKUP(E2306,MARGEN!A:B,2,FALSE)</f>
        <v>0.1</v>
      </c>
      <c r="M2306" s="112">
        <f t="shared" si="141"/>
        <v>4463.0247332111321</v>
      </c>
      <c r="N2306" s="113">
        <f t="shared" si="142"/>
        <v>178.5209893284453</v>
      </c>
      <c r="O2306" s="113">
        <f t="shared" si="143"/>
        <v>39988.701609571741</v>
      </c>
    </row>
    <row r="2307" spans="1:15" x14ac:dyDescent="0.25">
      <c r="A2307" s="13">
        <v>44449</v>
      </c>
      <c r="B2307" s="97">
        <v>1703</v>
      </c>
      <c r="C2307" t="s">
        <v>296</v>
      </c>
      <c r="D2307" s="94" t="s">
        <v>498</v>
      </c>
      <c r="E2307" t="s">
        <v>17</v>
      </c>
      <c r="F2307" t="s">
        <v>558</v>
      </c>
      <c r="G2307" s="50" t="s">
        <v>559</v>
      </c>
      <c r="H2307" s="50">
        <v>2</v>
      </c>
      <c r="I2307" s="100">
        <v>6.7391919697301583</v>
      </c>
      <c r="J2307" s="52">
        <v>3834.68</v>
      </c>
      <c r="K2307" s="67">
        <f t="shared" si="144"/>
        <v>44010.023860211688</v>
      </c>
      <c r="L2307" s="95">
        <f>+VLOOKUP(E2307,MARGEN!A:B,2,FALSE)</f>
        <v>0.1</v>
      </c>
      <c r="M2307" s="112">
        <f t="shared" ref="M2307:M2370" si="145">+K2307*L2307</f>
        <v>4401.0023860211686</v>
      </c>
      <c r="N2307" s="113">
        <f t="shared" ref="N2307:N2370" si="146">+K2307*4/1000</f>
        <v>176.04009544084676</v>
      </c>
      <c r="O2307" s="113">
        <f t="shared" ref="O2307:O2370" si="147">+K2307-M2307-N2307</f>
        <v>39432.981378749675</v>
      </c>
    </row>
    <row r="2308" spans="1:15" x14ac:dyDescent="0.25">
      <c r="A2308" s="13">
        <v>44449</v>
      </c>
      <c r="B2308" s="97">
        <v>1679</v>
      </c>
      <c r="C2308" t="s">
        <v>194</v>
      </c>
      <c r="D2308" s="94" t="s">
        <v>417</v>
      </c>
      <c r="E2308" t="s">
        <v>17</v>
      </c>
      <c r="F2308" t="s">
        <v>558</v>
      </c>
      <c r="G2308" s="50" t="s">
        <v>559</v>
      </c>
      <c r="H2308" s="50">
        <v>2</v>
      </c>
      <c r="I2308" s="100">
        <v>6.7391919697301583</v>
      </c>
      <c r="J2308" s="52">
        <v>3834.68</v>
      </c>
      <c r="K2308" s="67">
        <f t="shared" si="144"/>
        <v>43389.800388312047</v>
      </c>
      <c r="L2308" s="95">
        <f>+VLOOKUP(E2308,MARGEN!A:B,2,FALSE)</f>
        <v>0.1</v>
      </c>
      <c r="M2308" s="112">
        <f t="shared" si="145"/>
        <v>4338.9800388312051</v>
      </c>
      <c r="N2308" s="113">
        <f t="shared" si="146"/>
        <v>173.55920155324819</v>
      </c>
      <c r="O2308" s="113">
        <f t="shared" si="147"/>
        <v>38877.261147927595</v>
      </c>
    </row>
    <row r="2309" spans="1:15" x14ac:dyDescent="0.25">
      <c r="A2309" s="13">
        <v>44449</v>
      </c>
      <c r="B2309" s="97">
        <v>1679</v>
      </c>
      <c r="C2309" t="s">
        <v>121</v>
      </c>
      <c r="D2309" s="94" t="s">
        <v>381</v>
      </c>
      <c r="E2309" t="s">
        <v>17</v>
      </c>
      <c r="F2309" t="s">
        <v>558</v>
      </c>
      <c r="G2309" s="50" t="s">
        <v>559</v>
      </c>
      <c r="H2309" s="50">
        <v>2</v>
      </c>
      <c r="I2309" s="100">
        <v>6.7391919697301583</v>
      </c>
      <c r="J2309" s="52">
        <v>3834.68</v>
      </c>
      <c r="K2309" s="67">
        <f t="shared" si="144"/>
        <v>43389.800388312047</v>
      </c>
      <c r="L2309" s="95">
        <f>+VLOOKUP(E2309,MARGEN!A:B,2,FALSE)</f>
        <v>0.1</v>
      </c>
      <c r="M2309" s="112">
        <f t="shared" si="145"/>
        <v>4338.9800388312051</v>
      </c>
      <c r="N2309" s="113">
        <f t="shared" si="146"/>
        <v>173.55920155324819</v>
      </c>
      <c r="O2309" s="113">
        <f t="shared" si="147"/>
        <v>38877.261147927595</v>
      </c>
    </row>
    <row r="2310" spans="1:15" x14ac:dyDescent="0.25">
      <c r="A2310" s="13">
        <v>44449</v>
      </c>
      <c r="B2310" s="97">
        <v>1631</v>
      </c>
      <c r="C2310" t="s">
        <v>209</v>
      </c>
      <c r="D2310" s="94" t="s">
        <v>441</v>
      </c>
      <c r="E2310" t="s">
        <v>17</v>
      </c>
      <c r="F2310" t="s">
        <v>558</v>
      </c>
      <c r="G2310" s="50" t="s">
        <v>559</v>
      </c>
      <c r="H2310" s="50">
        <v>2</v>
      </c>
      <c r="I2310" s="100">
        <v>6.7391919697301583</v>
      </c>
      <c r="J2310" s="52">
        <v>3834.68</v>
      </c>
      <c r="K2310" s="67">
        <f t="shared" si="144"/>
        <v>42149.353444512773</v>
      </c>
      <c r="L2310" s="95">
        <f>+VLOOKUP(E2310,MARGEN!A:B,2,FALSE)</f>
        <v>0.1</v>
      </c>
      <c r="M2310" s="112">
        <f t="shared" si="145"/>
        <v>4214.9353444512772</v>
      </c>
      <c r="N2310" s="113">
        <f t="shared" si="146"/>
        <v>168.59741377805111</v>
      </c>
      <c r="O2310" s="113">
        <f t="shared" si="147"/>
        <v>37765.820686283449</v>
      </c>
    </row>
    <row r="2311" spans="1:15" x14ac:dyDescent="0.25">
      <c r="A2311" s="13">
        <v>44449</v>
      </c>
      <c r="B2311" s="97">
        <v>1559</v>
      </c>
      <c r="C2311" t="s">
        <v>176</v>
      </c>
      <c r="D2311" s="94" t="s">
        <v>430</v>
      </c>
      <c r="E2311" t="s">
        <v>17</v>
      </c>
      <c r="F2311" t="s">
        <v>558</v>
      </c>
      <c r="G2311" s="50" t="s">
        <v>559</v>
      </c>
      <c r="H2311" s="50">
        <v>2</v>
      </c>
      <c r="I2311" s="100">
        <v>6.7391919697301583</v>
      </c>
      <c r="J2311" s="52">
        <v>3834.68</v>
      </c>
      <c r="K2311" s="67">
        <f t="shared" si="144"/>
        <v>40288.683028813866</v>
      </c>
      <c r="L2311" s="95">
        <f>+VLOOKUP(E2311,MARGEN!A:B,2,FALSE)</f>
        <v>0.1</v>
      </c>
      <c r="M2311" s="112">
        <f t="shared" si="145"/>
        <v>4028.8683028813866</v>
      </c>
      <c r="N2311" s="113">
        <f t="shared" si="146"/>
        <v>161.15473211525546</v>
      </c>
      <c r="O2311" s="113">
        <f t="shared" si="147"/>
        <v>36098.659993817222</v>
      </c>
    </row>
    <row r="2312" spans="1:15" x14ac:dyDescent="0.25">
      <c r="A2312" s="13">
        <v>44449</v>
      </c>
      <c r="B2312" s="97">
        <v>1559</v>
      </c>
      <c r="C2312" t="s">
        <v>552</v>
      </c>
      <c r="D2312" s="94" t="s">
        <v>563</v>
      </c>
      <c r="E2312" t="s">
        <v>17</v>
      </c>
      <c r="F2312" t="s">
        <v>558</v>
      </c>
      <c r="G2312" s="50" t="s">
        <v>559</v>
      </c>
      <c r="H2312" s="50">
        <v>2</v>
      </c>
      <c r="I2312" s="100">
        <v>6.7391919697301583</v>
      </c>
      <c r="J2312" s="52">
        <v>3834.68</v>
      </c>
      <c r="K2312" s="67">
        <f t="shared" si="144"/>
        <v>40288.683028813866</v>
      </c>
      <c r="L2312" s="95">
        <f>+VLOOKUP(E2312,MARGEN!A:B,2,FALSE)</f>
        <v>0.1</v>
      </c>
      <c r="M2312" s="112">
        <f t="shared" si="145"/>
        <v>4028.8683028813866</v>
      </c>
      <c r="N2312" s="113">
        <f t="shared" si="146"/>
        <v>161.15473211525546</v>
      </c>
      <c r="O2312" s="113">
        <f t="shared" si="147"/>
        <v>36098.659993817222</v>
      </c>
    </row>
    <row r="2313" spans="1:15" x14ac:dyDescent="0.25">
      <c r="A2313" s="13">
        <v>44449</v>
      </c>
      <c r="B2313" s="97">
        <v>1535</v>
      </c>
      <c r="C2313" t="s">
        <v>119</v>
      </c>
      <c r="D2313" s="94" t="s">
        <v>377</v>
      </c>
      <c r="E2313" t="s">
        <v>17</v>
      </c>
      <c r="F2313" t="s">
        <v>558</v>
      </c>
      <c r="G2313" s="50" t="s">
        <v>559</v>
      </c>
      <c r="H2313" s="50">
        <v>2</v>
      </c>
      <c r="I2313" s="100">
        <v>6.7391919697301583</v>
      </c>
      <c r="J2313" s="52">
        <v>3834.68</v>
      </c>
      <c r="K2313" s="67">
        <f t="shared" ref="K2313:K2376" si="148">+B2313*I2313*J2313/1000</f>
        <v>39668.459556914233</v>
      </c>
      <c r="L2313" s="95">
        <f>+VLOOKUP(E2313,MARGEN!A:B,2,FALSE)</f>
        <v>0.1</v>
      </c>
      <c r="M2313" s="112">
        <f t="shared" si="145"/>
        <v>3966.8459556914236</v>
      </c>
      <c r="N2313" s="113">
        <f t="shared" si="146"/>
        <v>158.67383822765694</v>
      </c>
      <c r="O2313" s="113">
        <f t="shared" si="147"/>
        <v>35542.939762995149</v>
      </c>
    </row>
    <row r="2314" spans="1:15" x14ac:dyDescent="0.25">
      <c r="A2314" s="13">
        <v>44449</v>
      </c>
      <c r="B2314" s="97">
        <v>1535</v>
      </c>
      <c r="C2314" t="s">
        <v>137</v>
      </c>
      <c r="D2314" s="94" t="s">
        <v>418</v>
      </c>
      <c r="E2314" t="s">
        <v>17</v>
      </c>
      <c r="F2314" t="s">
        <v>558</v>
      </c>
      <c r="G2314" s="50" t="s">
        <v>559</v>
      </c>
      <c r="H2314" s="50">
        <v>2</v>
      </c>
      <c r="I2314" s="100">
        <v>6.7391919697301583</v>
      </c>
      <c r="J2314" s="52">
        <v>3834.68</v>
      </c>
      <c r="K2314" s="67">
        <f t="shared" si="148"/>
        <v>39668.459556914233</v>
      </c>
      <c r="L2314" s="95">
        <f>+VLOOKUP(E2314,MARGEN!A:B,2,FALSE)</f>
        <v>0.1</v>
      </c>
      <c r="M2314" s="112">
        <f t="shared" si="145"/>
        <v>3966.8459556914236</v>
      </c>
      <c r="N2314" s="113">
        <f t="shared" si="146"/>
        <v>158.67383822765694</v>
      </c>
      <c r="O2314" s="113">
        <f t="shared" si="147"/>
        <v>35542.939762995149</v>
      </c>
    </row>
    <row r="2315" spans="1:15" x14ac:dyDescent="0.25">
      <c r="A2315" s="13">
        <v>44449</v>
      </c>
      <c r="B2315" s="97">
        <v>1487</v>
      </c>
      <c r="C2315" t="s">
        <v>169</v>
      </c>
      <c r="D2315" s="94" t="s">
        <v>351</v>
      </c>
      <c r="E2315" t="s">
        <v>17</v>
      </c>
      <c r="F2315" t="s">
        <v>558</v>
      </c>
      <c r="G2315" s="50" t="s">
        <v>559</v>
      </c>
      <c r="H2315" s="50">
        <v>2</v>
      </c>
      <c r="I2315" s="100">
        <v>6.7391919697301583</v>
      </c>
      <c r="J2315" s="52">
        <v>3834.68</v>
      </c>
      <c r="K2315" s="67">
        <f t="shared" si="148"/>
        <v>38428.012613114959</v>
      </c>
      <c r="L2315" s="95">
        <f>+VLOOKUP(E2315,MARGEN!A:B,2,FALSE)</f>
        <v>0.1</v>
      </c>
      <c r="M2315" s="112">
        <f t="shared" si="145"/>
        <v>3842.8012613114961</v>
      </c>
      <c r="N2315" s="113">
        <f t="shared" si="146"/>
        <v>153.71205045245983</v>
      </c>
      <c r="O2315" s="113">
        <f t="shared" si="147"/>
        <v>34431.499301351003</v>
      </c>
    </row>
    <row r="2316" spans="1:15" x14ac:dyDescent="0.25">
      <c r="A2316" s="13">
        <v>44449</v>
      </c>
      <c r="B2316" s="97">
        <v>1463</v>
      </c>
      <c r="C2316" t="s">
        <v>297</v>
      </c>
      <c r="D2316" s="94" t="s">
        <v>526</v>
      </c>
      <c r="E2316" t="s">
        <v>17</v>
      </c>
      <c r="F2316" t="s">
        <v>558</v>
      </c>
      <c r="G2316" s="50" t="s">
        <v>559</v>
      </c>
      <c r="H2316" s="50">
        <v>2</v>
      </c>
      <c r="I2316" s="100">
        <v>6.7391919697301583</v>
      </c>
      <c r="J2316" s="52">
        <v>3834.68</v>
      </c>
      <c r="K2316" s="67">
        <f t="shared" si="148"/>
        <v>37807.789141215326</v>
      </c>
      <c r="L2316" s="95">
        <f>+VLOOKUP(E2316,MARGEN!A:B,2,FALSE)</f>
        <v>0.1</v>
      </c>
      <c r="M2316" s="112">
        <f t="shared" si="145"/>
        <v>3780.7789141215326</v>
      </c>
      <c r="N2316" s="113">
        <f t="shared" si="146"/>
        <v>151.23115656486129</v>
      </c>
      <c r="O2316" s="113">
        <f t="shared" si="147"/>
        <v>33875.77907052893</v>
      </c>
    </row>
    <row r="2317" spans="1:15" x14ac:dyDescent="0.25">
      <c r="A2317" s="13">
        <v>44449</v>
      </c>
      <c r="B2317" s="97">
        <v>1439</v>
      </c>
      <c r="C2317" t="s">
        <v>168</v>
      </c>
      <c r="D2317" s="94" t="s">
        <v>352</v>
      </c>
      <c r="E2317" t="s">
        <v>17</v>
      </c>
      <c r="F2317" t="s">
        <v>558</v>
      </c>
      <c r="G2317" s="50" t="s">
        <v>559</v>
      </c>
      <c r="H2317" s="50">
        <v>2</v>
      </c>
      <c r="I2317" s="100">
        <v>6.7391919697301583</v>
      </c>
      <c r="J2317" s="52">
        <v>3834.68</v>
      </c>
      <c r="K2317" s="67">
        <f t="shared" si="148"/>
        <v>37187.565669315685</v>
      </c>
      <c r="L2317" s="95">
        <f>+VLOOKUP(E2317,MARGEN!A:B,2,FALSE)</f>
        <v>0.1</v>
      </c>
      <c r="M2317" s="112">
        <f t="shared" si="145"/>
        <v>3718.7565669315686</v>
      </c>
      <c r="N2317" s="113">
        <f t="shared" si="146"/>
        <v>148.75026267726275</v>
      </c>
      <c r="O2317" s="113">
        <f t="shared" si="147"/>
        <v>33320.058839706857</v>
      </c>
    </row>
    <row r="2318" spans="1:15" x14ac:dyDescent="0.25">
      <c r="A2318" s="13">
        <v>44449</v>
      </c>
      <c r="B2318" s="97">
        <v>1439</v>
      </c>
      <c r="C2318" t="s">
        <v>210</v>
      </c>
      <c r="D2318" s="94" t="s">
        <v>402</v>
      </c>
      <c r="E2318" t="s">
        <v>17</v>
      </c>
      <c r="F2318" t="s">
        <v>558</v>
      </c>
      <c r="G2318" s="50" t="s">
        <v>559</v>
      </c>
      <c r="H2318" s="50">
        <v>2</v>
      </c>
      <c r="I2318" s="100">
        <v>6.7391919697301583</v>
      </c>
      <c r="J2318" s="52">
        <v>3834.68</v>
      </c>
      <c r="K2318" s="67">
        <f t="shared" si="148"/>
        <v>37187.565669315685</v>
      </c>
      <c r="L2318" s="95">
        <f>+VLOOKUP(E2318,MARGEN!A:B,2,FALSE)</f>
        <v>0.1</v>
      </c>
      <c r="M2318" s="112">
        <f t="shared" si="145"/>
        <v>3718.7565669315686</v>
      </c>
      <c r="N2318" s="113">
        <f t="shared" si="146"/>
        <v>148.75026267726275</v>
      </c>
      <c r="O2318" s="113">
        <f t="shared" si="147"/>
        <v>33320.058839706857</v>
      </c>
    </row>
    <row r="2319" spans="1:15" x14ac:dyDescent="0.25">
      <c r="A2319" s="13">
        <v>44449</v>
      </c>
      <c r="B2319" s="97">
        <v>1367</v>
      </c>
      <c r="C2319" t="s">
        <v>173</v>
      </c>
      <c r="D2319" s="94" t="s">
        <v>451</v>
      </c>
      <c r="E2319" t="s">
        <v>17</v>
      </c>
      <c r="F2319" t="s">
        <v>558</v>
      </c>
      <c r="G2319" s="50" t="s">
        <v>559</v>
      </c>
      <c r="H2319" s="50">
        <v>2</v>
      </c>
      <c r="I2319" s="100">
        <v>6.7391919697301583</v>
      </c>
      <c r="J2319" s="52">
        <v>3834.68</v>
      </c>
      <c r="K2319" s="67">
        <f t="shared" si="148"/>
        <v>35326.895253616778</v>
      </c>
      <c r="L2319" s="95">
        <f>+VLOOKUP(E2319,MARGEN!A:B,2,FALSE)</f>
        <v>0.1</v>
      </c>
      <c r="M2319" s="112">
        <f t="shared" si="145"/>
        <v>3532.6895253616781</v>
      </c>
      <c r="N2319" s="113">
        <f t="shared" si="146"/>
        <v>141.3075810144671</v>
      </c>
      <c r="O2319" s="113">
        <f t="shared" si="147"/>
        <v>31652.898147240634</v>
      </c>
    </row>
    <row r="2320" spans="1:15" x14ac:dyDescent="0.25">
      <c r="A2320" s="13">
        <v>44449</v>
      </c>
      <c r="B2320" s="97">
        <v>1343</v>
      </c>
      <c r="C2320" t="s">
        <v>298</v>
      </c>
      <c r="D2320" s="94" t="s">
        <v>536</v>
      </c>
      <c r="E2320" t="s">
        <v>17</v>
      </c>
      <c r="F2320" t="s">
        <v>558</v>
      </c>
      <c r="G2320" s="50" t="s">
        <v>559</v>
      </c>
      <c r="H2320" s="50">
        <v>2</v>
      </c>
      <c r="I2320" s="100">
        <v>6.7391919697301583</v>
      </c>
      <c r="J2320" s="52">
        <v>3834.68</v>
      </c>
      <c r="K2320" s="67">
        <f t="shared" si="148"/>
        <v>34706.671781717145</v>
      </c>
      <c r="L2320" s="95">
        <f>+VLOOKUP(E2320,MARGEN!A:B,2,FALSE)</f>
        <v>0.1</v>
      </c>
      <c r="M2320" s="112">
        <f t="shared" si="145"/>
        <v>3470.6671781717146</v>
      </c>
      <c r="N2320" s="113">
        <f t="shared" si="146"/>
        <v>138.82668712686859</v>
      </c>
      <c r="O2320" s="113">
        <f t="shared" si="147"/>
        <v>31097.177916418561</v>
      </c>
    </row>
    <row r="2321" spans="1:15" x14ac:dyDescent="0.25">
      <c r="A2321" s="13">
        <v>44449</v>
      </c>
      <c r="B2321" s="97">
        <v>1343</v>
      </c>
      <c r="C2321" t="s">
        <v>292</v>
      </c>
      <c r="D2321" s="94" t="s">
        <v>535</v>
      </c>
      <c r="E2321" t="s">
        <v>17</v>
      </c>
      <c r="F2321" t="s">
        <v>558</v>
      </c>
      <c r="G2321" s="50" t="s">
        <v>559</v>
      </c>
      <c r="H2321" s="50">
        <v>2</v>
      </c>
      <c r="I2321" s="100">
        <v>6.7391919697301583</v>
      </c>
      <c r="J2321" s="52">
        <v>3834.68</v>
      </c>
      <c r="K2321" s="67">
        <f t="shared" si="148"/>
        <v>34706.671781717145</v>
      </c>
      <c r="L2321" s="95">
        <f>+VLOOKUP(E2321,MARGEN!A:B,2,FALSE)</f>
        <v>0.1</v>
      </c>
      <c r="M2321" s="112">
        <f t="shared" si="145"/>
        <v>3470.6671781717146</v>
      </c>
      <c r="N2321" s="113">
        <f t="shared" si="146"/>
        <v>138.82668712686859</v>
      </c>
      <c r="O2321" s="113">
        <f t="shared" si="147"/>
        <v>31097.177916418561</v>
      </c>
    </row>
    <row r="2322" spans="1:15" x14ac:dyDescent="0.25">
      <c r="A2322" s="13">
        <v>44449</v>
      </c>
      <c r="B2322" s="97">
        <v>1319</v>
      </c>
      <c r="C2322" t="s">
        <v>118</v>
      </c>
      <c r="D2322" s="94" t="s">
        <v>329</v>
      </c>
      <c r="E2322" t="s">
        <v>17</v>
      </c>
      <c r="F2322" t="s">
        <v>566</v>
      </c>
      <c r="G2322" s="50" t="s">
        <v>559</v>
      </c>
      <c r="H2322" s="50">
        <v>2</v>
      </c>
      <c r="I2322" s="100">
        <v>6.7391919697301583</v>
      </c>
      <c r="J2322" s="52">
        <v>3834.68</v>
      </c>
      <c r="K2322" s="67">
        <f t="shared" si="148"/>
        <v>34086.448309817511</v>
      </c>
      <c r="L2322" s="95">
        <f>+VLOOKUP(E2322,MARGEN!A:B,2,FALSE)</f>
        <v>0.1</v>
      </c>
      <c r="M2322" s="112">
        <f t="shared" si="145"/>
        <v>3408.6448309817515</v>
      </c>
      <c r="N2322" s="113">
        <f t="shared" si="146"/>
        <v>136.34579323927005</v>
      </c>
      <c r="O2322" s="113">
        <f t="shared" si="147"/>
        <v>30541.457685596492</v>
      </c>
    </row>
    <row r="2323" spans="1:15" x14ac:dyDescent="0.25">
      <c r="A2323" s="13">
        <v>44449</v>
      </c>
      <c r="B2323" s="97">
        <v>1295</v>
      </c>
      <c r="C2323" t="s">
        <v>302</v>
      </c>
      <c r="D2323" s="94" t="s">
        <v>538</v>
      </c>
      <c r="E2323" t="s">
        <v>17</v>
      </c>
      <c r="F2323" t="s">
        <v>558</v>
      </c>
      <c r="G2323" s="50" t="s">
        <v>559</v>
      </c>
      <c r="H2323" s="50">
        <v>2</v>
      </c>
      <c r="I2323" s="100">
        <v>6.7391919697301583</v>
      </c>
      <c r="J2323" s="52">
        <v>3834.68</v>
      </c>
      <c r="K2323" s="67">
        <f t="shared" si="148"/>
        <v>33466.224837917871</v>
      </c>
      <c r="L2323" s="95">
        <f>+VLOOKUP(E2323,MARGEN!A:B,2,FALSE)</f>
        <v>0.1</v>
      </c>
      <c r="M2323" s="112">
        <f t="shared" si="145"/>
        <v>3346.6224837917871</v>
      </c>
      <c r="N2323" s="113">
        <f t="shared" si="146"/>
        <v>133.86489935167148</v>
      </c>
      <c r="O2323" s="113">
        <f t="shared" si="147"/>
        <v>29985.737454774411</v>
      </c>
    </row>
    <row r="2324" spans="1:15" x14ac:dyDescent="0.25">
      <c r="A2324" s="13">
        <v>44449</v>
      </c>
      <c r="B2324" s="97">
        <v>1295</v>
      </c>
      <c r="C2324" t="s">
        <v>151</v>
      </c>
      <c r="D2324" s="94" t="s">
        <v>394</v>
      </c>
      <c r="E2324" t="s">
        <v>17</v>
      </c>
      <c r="F2324" t="s">
        <v>558</v>
      </c>
      <c r="G2324" s="50" t="s">
        <v>559</v>
      </c>
      <c r="H2324" s="50">
        <v>2</v>
      </c>
      <c r="I2324" s="100">
        <v>6.7391919697301583</v>
      </c>
      <c r="J2324" s="52">
        <v>3834.68</v>
      </c>
      <c r="K2324" s="67">
        <f t="shared" si="148"/>
        <v>33466.224837917871</v>
      </c>
      <c r="L2324" s="95">
        <f>+VLOOKUP(E2324,MARGEN!A:B,2,FALSE)</f>
        <v>0.1</v>
      </c>
      <c r="M2324" s="112">
        <f t="shared" si="145"/>
        <v>3346.6224837917871</v>
      </c>
      <c r="N2324" s="113">
        <f t="shared" si="146"/>
        <v>133.86489935167148</v>
      </c>
      <c r="O2324" s="113">
        <f t="shared" si="147"/>
        <v>29985.737454774411</v>
      </c>
    </row>
    <row r="2325" spans="1:15" x14ac:dyDescent="0.25">
      <c r="A2325" s="13">
        <v>44449</v>
      </c>
      <c r="B2325" s="97">
        <v>1271</v>
      </c>
      <c r="C2325" t="s">
        <v>183</v>
      </c>
      <c r="D2325" s="94" t="s">
        <v>390</v>
      </c>
      <c r="E2325" t="s">
        <v>17</v>
      </c>
      <c r="F2325" t="s">
        <v>558</v>
      </c>
      <c r="G2325" s="50" t="s">
        <v>559</v>
      </c>
      <c r="H2325" s="50">
        <v>2</v>
      </c>
      <c r="I2325" s="100">
        <v>6.7391919697301583</v>
      </c>
      <c r="J2325" s="52">
        <v>3834.68</v>
      </c>
      <c r="K2325" s="67">
        <f t="shared" si="148"/>
        <v>32846.00136601823</v>
      </c>
      <c r="L2325" s="95">
        <f>+VLOOKUP(E2325,MARGEN!A:B,2,FALSE)</f>
        <v>0.1</v>
      </c>
      <c r="M2325" s="112">
        <f t="shared" si="145"/>
        <v>3284.6001366018231</v>
      </c>
      <c r="N2325" s="113">
        <f t="shared" si="146"/>
        <v>131.38400546407291</v>
      </c>
      <c r="O2325" s="113">
        <f t="shared" si="147"/>
        <v>29430.017223952334</v>
      </c>
    </row>
    <row r="2326" spans="1:15" x14ac:dyDescent="0.25">
      <c r="A2326" s="13">
        <v>44449</v>
      </c>
      <c r="B2326" s="97">
        <v>1223</v>
      </c>
      <c r="C2326" t="s">
        <v>199</v>
      </c>
      <c r="D2326" s="94" t="s">
        <v>414</v>
      </c>
      <c r="E2326" t="s">
        <v>17</v>
      </c>
      <c r="F2326" t="s">
        <v>558</v>
      </c>
      <c r="G2326" s="50" t="s">
        <v>559</v>
      </c>
      <c r="H2326" s="50">
        <v>2</v>
      </c>
      <c r="I2326" s="100">
        <v>6.7391919697301583</v>
      </c>
      <c r="J2326" s="52">
        <v>3834.68</v>
      </c>
      <c r="K2326" s="67">
        <f t="shared" si="148"/>
        <v>31605.55442221896</v>
      </c>
      <c r="L2326" s="95">
        <f>+VLOOKUP(E2326,MARGEN!A:B,2,FALSE)</f>
        <v>0.1</v>
      </c>
      <c r="M2326" s="112">
        <f t="shared" si="145"/>
        <v>3160.5554422218961</v>
      </c>
      <c r="N2326" s="113">
        <f t="shared" si="146"/>
        <v>126.42221768887585</v>
      </c>
      <c r="O2326" s="113">
        <f t="shared" si="147"/>
        <v>28318.576762308188</v>
      </c>
    </row>
    <row r="2327" spans="1:15" x14ac:dyDescent="0.25">
      <c r="A2327" s="13">
        <v>44449</v>
      </c>
      <c r="B2327" s="97">
        <v>1151</v>
      </c>
      <c r="C2327" t="s">
        <v>184</v>
      </c>
      <c r="D2327" s="94" t="s">
        <v>443</v>
      </c>
      <c r="E2327" t="s">
        <v>17</v>
      </c>
      <c r="F2327" t="s">
        <v>558</v>
      </c>
      <c r="G2327" s="50" t="s">
        <v>559</v>
      </c>
      <c r="H2327" s="50">
        <v>2</v>
      </c>
      <c r="I2327" s="100">
        <v>6.7391919697301583</v>
      </c>
      <c r="J2327" s="52">
        <v>3834.68</v>
      </c>
      <c r="K2327" s="67">
        <f t="shared" si="148"/>
        <v>29744.884006520053</v>
      </c>
      <c r="L2327" s="95">
        <f>+VLOOKUP(E2327,MARGEN!A:B,2,FALSE)</f>
        <v>0.1</v>
      </c>
      <c r="M2327" s="112">
        <f t="shared" si="145"/>
        <v>2974.4884006520056</v>
      </c>
      <c r="N2327" s="113">
        <f t="shared" si="146"/>
        <v>118.97953602608021</v>
      </c>
      <c r="O2327" s="113">
        <f t="shared" si="147"/>
        <v>26651.416069841969</v>
      </c>
    </row>
    <row r="2328" spans="1:15" x14ac:dyDescent="0.25">
      <c r="A2328" s="13">
        <v>44449</v>
      </c>
      <c r="B2328" s="97">
        <v>767</v>
      </c>
      <c r="C2328" t="s">
        <v>181</v>
      </c>
      <c r="D2328" s="94" t="s">
        <v>415</v>
      </c>
      <c r="E2328" t="s">
        <v>17</v>
      </c>
      <c r="F2328" t="s">
        <v>558</v>
      </c>
      <c r="G2328" s="50" t="s">
        <v>559</v>
      </c>
      <c r="H2328" s="50">
        <v>2</v>
      </c>
      <c r="I2328" s="100">
        <v>6.7391919697301583</v>
      </c>
      <c r="J2328" s="52">
        <v>3834.68</v>
      </c>
      <c r="K2328" s="67">
        <f t="shared" si="148"/>
        <v>19821.308456125873</v>
      </c>
      <c r="L2328" s="95">
        <f>+VLOOKUP(E2328,MARGEN!A:B,2,FALSE)</f>
        <v>0.1</v>
      </c>
      <c r="M2328" s="112">
        <f t="shared" si="145"/>
        <v>1982.1308456125873</v>
      </c>
      <c r="N2328" s="113">
        <f t="shared" si="146"/>
        <v>79.285233824503493</v>
      </c>
      <c r="O2328" s="113">
        <f t="shared" si="147"/>
        <v>17759.892376688782</v>
      </c>
    </row>
    <row r="2329" spans="1:15" x14ac:dyDescent="0.25">
      <c r="A2329" s="13">
        <v>44450</v>
      </c>
      <c r="B2329" s="97">
        <v>8470</v>
      </c>
      <c r="C2329" t="s">
        <v>164</v>
      </c>
      <c r="D2329" s="94" t="s">
        <v>445</v>
      </c>
      <c r="E2329" t="s">
        <v>17</v>
      </c>
      <c r="F2329" t="s">
        <v>562</v>
      </c>
      <c r="G2329" s="50" t="s">
        <v>559</v>
      </c>
      <c r="H2329" s="50">
        <v>2</v>
      </c>
      <c r="I2329" s="100">
        <v>6.7391919697301583</v>
      </c>
      <c r="J2329" s="52">
        <v>3834.68</v>
      </c>
      <c r="K2329" s="67">
        <f t="shared" si="148"/>
        <v>218887.20029124661</v>
      </c>
      <c r="L2329" s="95">
        <f>+VLOOKUP(E2329,MARGEN!A:B,2,FALSE)</f>
        <v>0.1</v>
      </c>
      <c r="M2329" s="112">
        <f t="shared" si="145"/>
        <v>21888.720029124663</v>
      </c>
      <c r="N2329" s="113">
        <f t="shared" si="146"/>
        <v>875.54880116498646</v>
      </c>
      <c r="O2329" s="113">
        <f t="shared" si="147"/>
        <v>196122.93146095696</v>
      </c>
    </row>
    <row r="2330" spans="1:15" x14ac:dyDescent="0.25">
      <c r="A2330" s="13">
        <v>44450</v>
      </c>
      <c r="B2330" s="97">
        <v>6766</v>
      </c>
      <c r="C2330" t="s">
        <v>150</v>
      </c>
      <c r="D2330" s="94" t="s">
        <v>357</v>
      </c>
      <c r="E2330" t="s">
        <v>17</v>
      </c>
      <c r="F2330" t="s">
        <v>562</v>
      </c>
      <c r="G2330" s="50" t="s">
        <v>559</v>
      </c>
      <c r="H2330" s="50">
        <v>2</v>
      </c>
      <c r="I2330" s="100">
        <v>6.7391919697301583</v>
      </c>
      <c r="J2330" s="52">
        <v>3834.68</v>
      </c>
      <c r="K2330" s="67">
        <f t="shared" si="148"/>
        <v>174851.33378637244</v>
      </c>
      <c r="L2330" s="95">
        <f>+VLOOKUP(E2330,MARGEN!A:B,2,FALSE)</f>
        <v>0.1</v>
      </c>
      <c r="M2330" s="112">
        <f t="shared" si="145"/>
        <v>17485.133378637245</v>
      </c>
      <c r="N2330" s="113">
        <f t="shared" si="146"/>
        <v>699.40533514548974</v>
      </c>
      <c r="O2330" s="113">
        <f t="shared" si="147"/>
        <v>156666.79507258971</v>
      </c>
    </row>
    <row r="2331" spans="1:15" x14ac:dyDescent="0.25">
      <c r="A2331" s="13">
        <v>44450</v>
      </c>
      <c r="B2331" s="97">
        <v>5854</v>
      </c>
      <c r="C2331" t="s">
        <v>279</v>
      </c>
      <c r="D2331" s="94" t="s">
        <v>493</v>
      </c>
      <c r="E2331" t="s">
        <v>17</v>
      </c>
      <c r="F2331" t="s">
        <v>562</v>
      </c>
      <c r="G2331" s="50" t="s">
        <v>559</v>
      </c>
      <c r="H2331" s="50">
        <v>2</v>
      </c>
      <c r="I2331" s="100">
        <v>6.7391919697301583</v>
      </c>
      <c r="J2331" s="52">
        <v>3834.68</v>
      </c>
      <c r="K2331" s="67">
        <f t="shared" si="148"/>
        <v>151282.84185418626</v>
      </c>
      <c r="L2331" s="95">
        <f>+VLOOKUP(E2331,MARGEN!A:B,2,FALSE)</f>
        <v>0.1</v>
      </c>
      <c r="M2331" s="112">
        <f t="shared" si="145"/>
        <v>15128.284185418626</v>
      </c>
      <c r="N2331" s="113">
        <f t="shared" si="146"/>
        <v>605.13136741674509</v>
      </c>
      <c r="O2331" s="113">
        <f t="shared" si="147"/>
        <v>135549.4263013509</v>
      </c>
    </row>
    <row r="2332" spans="1:15" x14ac:dyDescent="0.25">
      <c r="A2332" s="13">
        <v>44450</v>
      </c>
      <c r="B2332" s="97">
        <v>5446</v>
      </c>
      <c r="C2332" t="s">
        <v>278</v>
      </c>
      <c r="D2332" s="94" t="s">
        <v>453</v>
      </c>
      <c r="E2332" t="s">
        <v>17</v>
      </c>
      <c r="F2332" t="s">
        <v>562</v>
      </c>
      <c r="G2332" s="50" t="s">
        <v>559</v>
      </c>
      <c r="H2332" s="50">
        <v>2</v>
      </c>
      <c r="I2332" s="100">
        <v>6.7391919697301583</v>
      </c>
      <c r="J2332" s="52">
        <v>3834.68</v>
      </c>
      <c r="K2332" s="67">
        <f t="shared" si="148"/>
        <v>140739.04283189247</v>
      </c>
      <c r="L2332" s="95">
        <f>+VLOOKUP(E2332,MARGEN!A:B,2,FALSE)</f>
        <v>0.1</v>
      </c>
      <c r="M2332" s="112">
        <f t="shared" si="145"/>
        <v>14073.904283189248</v>
      </c>
      <c r="N2332" s="113">
        <f t="shared" si="146"/>
        <v>562.9561713275699</v>
      </c>
      <c r="O2332" s="113">
        <f t="shared" si="147"/>
        <v>126102.18237737565</v>
      </c>
    </row>
    <row r="2333" spans="1:15" x14ac:dyDescent="0.25">
      <c r="A2333" s="13">
        <v>44450</v>
      </c>
      <c r="B2333" s="97">
        <v>4271</v>
      </c>
      <c r="C2333" t="s">
        <v>193</v>
      </c>
      <c r="D2333" s="94" t="s">
        <v>380</v>
      </c>
      <c r="E2333" t="s">
        <v>17</v>
      </c>
      <c r="F2333" t="s">
        <v>562</v>
      </c>
      <c r="G2333" s="50" t="s">
        <v>559</v>
      </c>
      <c r="H2333" s="50">
        <v>2</v>
      </c>
      <c r="I2333" s="100">
        <v>6.7391919697301583</v>
      </c>
      <c r="J2333" s="52">
        <v>3834.68</v>
      </c>
      <c r="K2333" s="67">
        <f t="shared" si="148"/>
        <v>110373.93535347277</v>
      </c>
      <c r="L2333" s="95">
        <f>+VLOOKUP(E2333,MARGEN!A:B,2,FALSE)</f>
        <v>0.1</v>
      </c>
      <c r="M2333" s="112">
        <f t="shared" si="145"/>
        <v>11037.393535347277</v>
      </c>
      <c r="N2333" s="113">
        <f t="shared" si="146"/>
        <v>441.4957414138911</v>
      </c>
      <c r="O2333" s="113">
        <f t="shared" si="147"/>
        <v>98895.046076711602</v>
      </c>
    </row>
    <row r="2334" spans="1:15" x14ac:dyDescent="0.25">
      <c r="A2334" s="13">
        <v>44450</v>
      </c>
      <c r="B2334" s="97">
        <v>4079</v>
      </c>
      <c r="C2334" t="s">
        <v>148</v>
      </c>
      <c r="D2334" s="94" t="s">
        <v>323</v>
      </c>
      <c r="E2334" t="s">
        <v>17</v>
      </c>
      <c r="F2334" t="s">
        <v>562</v>
      </c>
      <c r="G2334" s="50" t="s">
        <v>559</v>
      </c>
      <c r="H2334" s="50">
        <v>2</v>
      </c>
      <c r="I2334" s="100">
        <v>6.7391919697301583</v>
      </c>
      <c r="J2334" s="52">
        <v>3834.68</v>
      </c>
      <c r="K2334" s="67">
        <f t="shared" si="148"/>
        <v>105412.14757827566</v>
      </c>
      <c r="L2334" s="95">
        <f>+VLOOKUP(E2334,MARGEN!A:B,2,FALSE)</f>
        <v>0.1</v>
      </c>
      <c r="M2334" s="112">
        <f t="shared" si="145"/>
        <v>10541.214757827567</v>
      </c>
      <c r="N2334" s="113">
        <f t="shared" si="146"/>
        <v>421.64859031310266</v>
      </c>
      <c r="O2334" s="113">
        <f t="shared" si="147"/>
        <v>94449.284230135003</v>
      </c>
    </row>
    <row r="2335" spans="1:15" x14ac:dyDescent="0.25">
      <c r="A2335" s="13">
        <v>44450</v>
      </c>
      <c r="B2335" s="97">
        <v>3623</v>
      </c>
      <c r="C2335" t="s">
        <v>149</v>
      </c>
      <c r="D2335" s="94" t="s">
        <v>325</v>
      </c>
      <c r="E2335" t="s">
        <v>17</v>
      </c>
      <c r="F2335" t="s">
        <v>562</v>
      </c>
      <c r="G2335" s="50" t="s">
        <v>559</v>
      </c>
      <c r="H2335" s="50">
        <v>2</v>
      </c>
      <c r="I2335" s="100">
        <v>6.7391919697301583</v>
      </c>
      <c r="J2335" s="52">
        <v>3834.68</v>
      </c>
      <c r="K2335" s="67">
        <f t="shared" si="148"/>
        <v>93627.901612182584</v>
      </c>
      <c r="L2335" s="95">
        <f>+VLOOKUP(E2335,MARGEN!A:B,2,FALSE)</f>
        <v>0.1</v>
      </c>
      <c r="M2335" s="112">
        <f t="shared" si="145"/>
        <v>9362.7901612182595</v>
      </c>
      <c r="N2335" s="113">
        <f t="shared" si="146"/>
        <v>374.51160644873033</v>
      </c>
      <c r="O2335" s="113">
        <f t="shared" si="147"/>
        <v>83890.599844515586</v>
      </c>
    </row>
    <row r="2336" spans="1:15" x14ac:dyDescent="0.25">
      <c r="A2336" s="13">
        <v>44450</v>
      </c>
      <c r="B2336" s="97">
        <v>3599</v>
      </c>
      <c r="C2336" t="s">
        <v>192</v>
      </c>
      <c r="D2336" s="94" t="s">
        <v>347</v>
      </c>
      <c r="E2336" t="s">
        <v>17</v>
      </c>
      <c r="F2336" t="s">
        <v>562</v>
      </c>
      <c r="G2336" s="50" t="s">
        <v>559</v>
      </c>
      <c r="H2336" s="50">
        <v>2</v>
      </c>
      <c r="I2336" s="100">
        <v>6.7391919697301583</v>
      </c>
      <c r="J2336" s="52">
        <v>3834.68</v>
      </c>
      <c r="K2336" s="67">
        <f t="shared" si="148"/>
        <v>93007.678140282951</v>
      </c>
      <c r="L2336" s="95">
        <f>+VLOOKUP(E2336,MARGEN!A:B,2,FALSE)</f>
        <v>0.1</v>
      </c>
      <c r="M2336" s="112">
        <f t="shared" si="145"/>
        <v>9300.7678140282951</v>
      </c>
      <c r="N2336" s="113">
        <f t="shared" si="146"/>
        <v>372.03071256113179</v>
      </c>
      <c r="O2336" s="113">
        <f t="shared" si="147"/>
        <v>83334.879613693527</v>
      </c>
    </row>
    <row r="2337" spans="1:15" x14ac:dyDescent="0.25">
      <c r="A2337" s="13">
        <v>44450</v>
      </c>
      <c r="B2337" s="51">
        <v>3479</v>
      </c>
      <c r="C2337" s="66" t="s">
        <v>165</v>
      </c>
      <c r="D2337" s="66" t="s">
        <v>375</v>
      </c>
      <c r="E2337" t="s">
        <v>17</v>
      </c>
      <c r="F2337" s="50" t="s">
        <v>558</v>
      </c>
      <c r="G2337" s="50" t="s">
        <v>559</v>
      </c>
      <c r="H2337" s="50">
        <v>2</v>
      </c>
      <c r="I2337" s="100">
        <v>6.7391919697301583</v>
      </c>
      <c r="J2337" s="52">
        <v>3834.68</v>
      </c>
      <c r="K2337" s="67">
        <f t="shared" si="148"/>
        <v>89906.56078078477</v>
      </c>
      <c r="L2337" s="95">
        <f>+VLOOKUP(E2337,MARGEN!A:B,2,FALSE)</f>
        <v>0.1</v>
      </c>
      <c r="M2337" s="112">
        <f t="shared" si="145"/>
        <v>8990.6560780784766</v>
      </c>
      <c r="N2337" s="113">
        <f t="shared" si="146"/>
        <v>359.62624312313909</v>
      </c>
      <c r="O2337" s="113">
        <f t="shared" si="147"/>
        <v>80556.278459583147</v>
      </c>
    </row>
    <row r="2338" spans="1:15" x14ac:dyDescent="0.25">
      <c r="A2338" s="13">
        <v>44450</v>
      </c>
      <c r="B2338" s="97">
        <v>3383</v>
      </c>
      <c r="C2338" t="s">
        <v>135</v>
      </c>
      <c r="D2338" s="94" t="s">
        <v>533</v>
      </c>
      <c r="E2338" t="s">
        <v>17</v>
      </c>
      <c r="F2338" t="s">
        <v>562</v>
      </c>
      <c r="G2338" s="50" t="s">
        <v>559</v>
      </c>
      <c r="H2338" s="50">
        <v>2</v>
      </c>
      <c r="I2338" s="100">
        <v>6.7391919697301583</v>
      </c>
      <c r="J2338" s="52">
        <v>3834.68</v>
      </c>
      <c r="K2338" s="67">
        <f t="shared" si="148"/>
        <v>87425.666893186222</v>
      </c>
      <c r="L2338" s="95">
        <f>+VLOOKUP(E2338,MARGEN!A:B,2,FALSE)</f>
        <v>0.1</v>
      </c>
      <c r="M2338" s="112">
        <f t="shared" si="145"/>
        <v>8742.5666893186226</v>
      </c>
      <c r="N2338" s="113">
        <f t="shared" si="146"/>
        <v>349.70266757274487</v>
      </c>
      <c r="O2338" s="113">
        <f t="shared" si="147"/>
        <v>78333.397536294855</v>
      </c>
    </row>
    <row r="2339" spans="1:15" x14ac:dyDescent="0.25">
      <c r="A2339" s="13">
        <v>44450</v>
      </c>
      <c r="B2339" s="97">
        <v>3359</v>
      </c>
      <c r="C2339" t="s">
        <v>309</v>
      </c>
      <c r="D2339" s="94" t="s">
        <v>544</v>
      </c>
      <c r="E2339" t="s">
        <v>17</v>
      </c>
      <c r="F2339" t="s">
        <v>558</v>
      </c>
      <c r="G2339" s="50" t="s">
        <v>559</v>
      </c>
      <c r="H2339" s="50">
        <v>2</v>
      </c>
      <c r="I2339" s="100">
        <v>6.7391919697301583</v>
      </c>
      <c r="J2339" s="52">
        <v>3834.68</v>
      </c>
      <c r="K2339" s="67">
        <f t="shared" si="148"/>
        <v>86805.443421286589</v>
      </c>
      <c r="L2339" s="95">
        <f>+VLOOKUP(E2339,MARGEN!A:B,2,FALSE)</f>
        <v>0.1</v>
      </c>
      <c r="M2339" s="112">
        <f t="shared" si="145"/>
        <v>8680.54434212866</v>
      </c>
      <c r="N2339" s="113">
        <f t="shared" si="146"/>
        <v>347.22177368514633</v>
      </c>
      <c r="O2339" s="113">
        <f t="shared" si="147"/>
        <v>77777.677305472782</v>
      </c>
    </row>
    <row r="2340" spans="1:15" x14ac:dyDescent="0.25">
      <c r="A2340" s="13">
        <v>44450</v>
      </c>
      <c r="B2340" s="97">
        <v>2903</v>
      </c>
      <c r="C2340" t="s">
        <v>134</v>
      </c>
      <c r="D2340" s="94" t="s">
        <v>362</v>
      </c>
      <c r="E2340" t="s">
        <v>17</v>
      </c>
      <c r="F2340" t="s">
        <v>562</v>
      </c>
      <c r="G2340" s="50" t="s">
        <v>559</v>
      </c>
      <c r="H2340" s="50">
        <v>2</v>
      </c>
      <c r="I2340" s="100">
        <v>6.7391919697301583</v>
      </c>
      <c r="J2340" s="52">
        <v>3834.68</v>
      </c>
      <c r="K2340" s="67">
        <f t="shared" si="148"/>
        <v>75021.197455193484</v>
      </c>
      <c r="L2340" s="95">
        <f>+VLOOKUP(E2340,MARGEN!A:B,2,FALSE)</f>
        <v>0.1</v>
      </c>
      <c r="M2340" s="112">
        <f t="shared" si="145"/>
        <v>7502.1197455193487</v>
      </c>
      <c r="N2340" s="113">
        <f t="shared" si="146"/>
        <v>300.08478982077395</v>
      </c>
      <c r="O2340" s="113">
        <f t="shared" si="147"/>
        <v>67218.992919853365</v>
      </c>
    </row>
    <row r="2341" spans="1:15" x14ac:dyDescent="0.25">
      <c r="A2341" s="13">
        <v>44450</v>
      </c>
      <c r="B2341" s="97">
        <v>2783</v>
      </c>
      <c r="C2341" t="s">
        <v>131</v>
      </c>
      <c r="D2341" s="94" t="s">
        <v>344</v>
      </c>
      <c r="E2341" t="s">
        <v>17</v>
      </c>
      <c r="F2341" t="s">
        <v>562</v>
      </c>
      <c r="G2341" s="50" t="s">
        <v>559</v>
      </c>
      <c r="H2341" s="50">
        <v>2</v>
      </c>
      <c r="I2341" s="100">
        <v>6.7391919697301583</v>
      </c>
      <c r="J2341" s="52">
        <v>3834.68</v>
      </c>
      <c r="K2341" s="67">
        <f t="shared" si="148"/>
        <v>71920.080095695317</v>
      </c>
      <c r="L2341" s="95">
        <f>+VLOOKUP(E2341,MARGEN!A:B,2,FALSE)</f>
        <v>0.1</v>
      </c>
      <c r="M2341" s="112">
        <f t="shared" si="145"/>
        <v>7192.0080095695321</v>
      </c>
      <c r="N2341" s="113">
        <f t="shared" si="146"/>
        <v>287.68032038278125</v>
      </c>
      <c r="O2341" s="113">
        <f t="shared" si="147"/>
        <v>64440.391765743007</v>
      </c>
    </row>
    <row r="2342" spans="1:15" x14ac:dyDescent="0.25">
      <c r="A2342" s="13">
        <v>44450</v>
      </c>
      <c r="B2342" s="97">
        <v>2783</v>
      </c>
      <c r="C2342" t="s">
        <v>189</v>
      </c>
      <c r="D2342" s="94" t="s">
        <v>431</v>
      </c>
      <c r="E2342" t="s">
        <v>17</v>
      </c>
      <c r="F2342" t="s">
        <v>562</v>
      </c>
      <c r="G2342" s="50" t="s">
        <v>559</v>
      </c>
      <c r="H2342" s="50">
        <v>2</v>
      </c>
      <c r="I2342" s="100">
        <v>6.7391919697301583</v>
      </c>
      <c r="J2342" s="52">
        <v>3834.68</v>
      </c>
      <c r="K2342" s="67">
        <f t="shared" si="148"/>
        <v>71920.080095695317</v>
      </c>
      <c r="L2342" s="95">
        <f>+VLOOKUP(E2342,MARGEN!A:B,2,FALSE)</f>
        <v>0.1</v>
      </c>
      <c r="M2342" s="112">
        <f t="shared" si="145"/>
        <v>7192.0080095695321</v>
      </c>
      <c r="N2342" s="113">
        <f t="shared" si="146"/>
        <v>287.68032038278125</v>
      </c>
      <c r="O2342" s="113">
        <f t="shared" si="147"/>
        <v>64440.391765743007</v>
      </c>
    </row>
    <row r="2343" spans="1:15" x14ac:dyDescent="0.25">
      <c r="A2343" s="13">
        <v>44450</v>
      </c>
      <c r="B2343" s="97">
        <v>2711</v>
      </c>
      <c r="C2343" t="s">
        <v>132</v>
      </c>
      <c r="D2343" s="94" t="s">
        <v>376</v>
      </c>
      <c r="E2343" t="s">
        <v>17</v>
      </c>
      <c r="F2343" t="s">
        <v>562</v>
      </c>
      <c r="G2343" s="50" t="s">
        <v>559</v>
      </c>
      <c r="H2343" s="50">
        <v>2</v>
      </c>
      <c r="I2343" s="100">
        <v>6.7391919697301583</v>
      </c>
      <c r="J2343" s="52">
        <v>3834.68</v>
      </c>
      <c r="K2343" s="67">
        <f t="shared" si="148"/>
        <v>70059.409679996417</v>
      </c>
      <c r="L2343" s="95">
        <f>+VLOOKUP(E2343,MARGEN!A:B,2,FALSE)</f>
        <v>0.1</v>
      </c>
      <c r="M2343" s="112">
        <f t="shared" si="145"/>
        <v>7005.9409679996425</v>
      </c>
      <c r="N2343" s="113">
        <f t="shared" si="146"/>
        <v>280.23763871998568</v>
      </c>
      <c r="O2343" s="113">
        <f t="shared" si="147"/>
        <v>62773.231073276787</v>
      </c>
    </row>
    <row r="2344" spans="1:15" x14ac:dyDescent="0.25">
      <c r="A2344" s="13">
        <v>44450</v>
      </c>
      <c r="B2344" s="97">
        <v>2687</v>
      </c>
      <c r="C2344" t="s">
        <v>146</v>
      </c>
      <c r="D2344" s="94" t="s">
        <v>348</v>
      </c>
      <c r="E2344" t="s">
        <v>17</v>
      </c>
      <c r="F2344" t="s">
        <v>562</v>
      </c>
      <c r="G2344" s="50" t="s">
        <v>559</v>
      </c>
      <c r="H2344" s="50">
        <v>2</v>
      </c>
      <c r="I2344" s="100">
        <v>6.7391919697301583</v>
      </c>
      <c r="J2344" s="52">
        <v>3834.68</v>
      </c>
      <c r="K2344" s="67">
        <f t="shared" si="148"/>
        <v>69439.186208096769</v>
      </c>
      <c r="L2344" s="95">
        <f>+VLOOKUP(E2344,MARGEN!A:B,2,FALSE)</f>
        <v>0.1</v>
      </c>
      <c r="M2344" s="112">
        <f t="shared" si="145"/>
        <v>6943.9186208096771</v>
      </c>
      <c r="N2344" s="113">
        <f t="shared" si="146"/>
        <v>277.75674483238708</v>
      </c>
      <c r="O2344" s="113">
        <f t="shared" si="147"/>
        <v>62217.5108424547</v>
      </c>
    </row>
    <row r="2345" spans="1:15" x14ac:dyDescent="0.25">
      <c r="A2345" s="13">
        <v>44450</v>
      </c>
      <c r="B2345" s="97">
        <v>2663</v>
      </c>
      <c r="C2345" t="s">
        <v>186</v>
      </c>
      <c r="D2345" s="94" t="s">
        <v>440</v>
      </c>
      <c r="E2345" t="s">
        <v>17</v>
      </c>
      <c r="F2345" t="s">
        <v>558</v>
      </c>
      <c r="G2345" s="50" t="s">
        <v>559</v>
      </c>
      <c r="H2345" s="50">
        <v>2</v>
      </c>
      <c r="I2345" s="100">
        <v>6.7391919697301583</v>
      </c>
      <c r="J2345" s="52">
        <v>3834.68</v>
      </c>
      <c r="K2345" s="67">
        <f t="shared" si="148"/>
        <v>68818.962736197136</v>
      </c>
      <c r="L2345" s="95">
        <f>+VLOOKUP(E2345,MARGEN!A:B,2,FALSE)</f>
        <v>0.1</v>
      </c>
      <c r="M2345" s="112">
        <f t="shared" si="145"/>
        <v>6881.8962736197136</v>
      </c>
      <c r="N2345" s="113">
        <f t="shared" si="146"/>
        <v>275.27585094478854</v>
      </c>
      <c r="O2345" s="113">
        <f t="shared" si="147"/>
        <v>61661.790611632634</v>
      </c>
    </row>
    <row r="2346" spans="1:15" x14ac:dyDescent="0.25">
      <c r="A2346" s="13">
        <v>44450</v>
      </c>
      <c r="B2346" s="51">
        <v>2567</v>
      </c>
      <c r="C2346" s="66" t="s">
        <v>310</v>
      </c>
      <c r="D2346" s="66" t="s">
        <v>540</v>
      </c>
      <c r="E2346" t="s">
        <v>17</v>
      </c>
      <c r="F2346" s="50" t="s">
        <v>558</v>
      </c>
      <c r="G2346" s="50" t="s">
        <v>559</v>
      </c>
      <c r="H2346" s="50">
        <v>2</v>
      </c>
      <c r="I2346" s="100">
        <v>6.7391919697301583</v>
      </c>
      <c r="J2346" s="52">
        <v>3834.68</v>
      </c>
      <c r="K2346" s="67">
        <f t="shared" si="148"/>
        <v>66338.068848598588</v>
      </c>
      <c r="L2346" s="95">
        <f>+VLOOKUP(E2346,MARGEN!A:B,2,FALSE)</f>
        <v>0.1</v>
      </c>
      <c r="M2346" s="112">
        <f t="shared" si="145"/>
        <v>6633.8068848598596</v>
      </c>
      <c r="N2346" s="113">
        <f t="shared" si="146"/>
        <v>265.35227539439433</v>
      </c>
      <c r="O2346" s="113">
        <f t="shared" si="147"/>
        <v>59438.909688344334</v>
      </c>
    </row>
    <row r="2347" spans="1:15" x14ac:dyDescent="0.25">
      <c r="A2347" s="13">
        <v>44450</v>
      </c>
      <c r="B2347" s="97">
        <v>2519</v>
      </c>
      <c r="C2347" t="s">
        <v>127</v>
      </c>
      <c r="D2347" s="94" t="s">
        <v>411</v>
      </c>
      <c r="E2347" t="s">
        <v>17</v>
      </c>
      <c r="F2347" t="s">
        <v>562</v>
      </c>
      <c r="G2347" s="50" t="s">
        <v>559</v>
      </c>
      <c r="H2347" s="50">
        <v>2</v>
      </c>
      <c r="I2347" s="100">
        <v>6.7391919697301583</v>
      </c>
      <c r="J2347" s="52">
        <v>3834.68</v>
      </c>
      <c r="K2347" s="67">
        <f t="shared" si="148"/>
        <v>65097.621904799322</v>
      </c>
      <c r="L2347" s="95">
        <f>+VLOOKUP(E2347,MARGEN!A:B,2,FALSE)</f>
        <v>0.1</v>
      </c>
      <c r="M2347" s="112">
        <f t="shared" si="145"/>
        <v>6509.7621904799325</v>
      </c>
      <c r="N2347" s="113">
        <f t="shared" si="146"/>
        <v>260.3904876191973</v>
      </c>
      <c r="O2347" s="113">
        <f t="shared" si="147"/>
        <v>58327.469226700196</v>
      </c>
    </row>
    <row r="2348" spans="1:15" x14ac:dyDescent="0.25">
      <c r="A2348" s="13">
        <v>44450</v>
      </c>
      <c r="B2348" s="97">
        <v>2375</v>
      </c>
      <c r="C2348" t="s">
        <v>281</v>
      </c>
      <c r="D2348" s="94" t="s">
        <v>495</v>
      </c>
      <c r="E2348" t="s">
        <v>17</v>
      </c>
      <c r="F2348" t="s">
        <v>558</v>
      </c>
      <c r="G2348" s="50" t="s">
        <v>559</v>
      </c>
      <c r="H2348" s="50">
        <v>2</v>
      </c>
      <c r="I2348" s="100">
        <v>6.7391919697301583</v>
      </c>
      <c r="J2348" s="52">
        <v>3834.68</v>
      </c>
      <c r="K2348" s="67">
        <f t="shared" si="148"/>
        <v>61376.2810734015</v>
      </c>
      <c r="L2348" s="95">
        <f>+VLOOKUP(E2348,MARGEN!A:B,2,FALSE)</f>
        <v>0.1</v>
      </c>
      <c r="M2348" s="112">
        <f t="shared" si="145"/>
        <v>6137.6281073401506</v>
      </c>
      <c r="N2348" s="113">
        <f t="shared" si="146"/>
        <v>245.505124293606</v>
      </c>
      <c r="O2348" s="113">
        <f t="shared" si="147"/>
        <v>54993.14784176775</v>
      </c>
    </row>
    <row r="2349" spans="1:15" x14ac:dyDescent="0.25">
      <c r="A2349" s="13">
        <v>44450</v>
      </c>
      <c r="B2349" s="97">
        <v>2327</v>
      </c>
      <c r="C2349" t="s">
        <v>163</v>
      </c>
      <c r="D2349" s="94" t="s">
        <v>398</v>
      </c>
      <c r="E2349" t="s">
        <v>17</v>
      </c>
      <c r="F2349" t="s">
        <v>562</v>
      </c>
      <c r="G2349" s="50" t="s">
        <v>559</v>
      </c>
      <c r="H2349" s="50">
        <v>2</v>
      </c>
      <c r="I2349" s="100">
        <v>6.7391919697301583</v>
      </c>
      <c r="J2349" s="52">
        <v>3834.68</v>
      </c>
      <c r="K2349" s="67">
        <f t="shared" si="148"/>
        <v>60135.834129602234</v>
      </c>
      <c r="L2349" s="95">
        <f>+VLOOKUP(E2349,MARGEN!A:B,2,FALSE)</f>
        <v>0.1</v>
      </c>
      <c r="M2349" s="112">
        <f t="shared" si="145"/>
        <v>6013.5834129602235</v>
      </c>
      <c r="N2349" s="113">
        <f t="shared" si="146"/>
        <v>240.54333651840892</v>
      </c>
      <c r="O2349" s="113">
        <f t="shared" si="147"/>
        <v>53881.707380123604</v>
      </c>
    </row>
    <row r="2350" spans="1:15" x14ac:dyDescent="0.25">
      <c r="A2350" s="13">
        <v>44450</v>
      </c>
      <c r="B2350" s="97">
        <v>2327</v>
      </c>
      <c r="C2350" t="s">
        <v>156</v>
      </c>
      <c r="D2350" s="94" t="s">
        <v>429</v>
      </c>
      <c r="E2350" t="s">
        <v>17</v>
      </c>
      <c r="F2350" t="s">
        <v>562</v>
      </c>
      <c r="G2350" s="50" t="s">
        <v>559</v>
      </c>
      <c r="H2350" s="50">
        <v>2</v>
      </c>
      <c r="I2350" s="100">
        <v>6.7391919697301583</v>
      </c>
      <c r="J2350" s="52">
        <v>3834.68</v>
      </c>
      <c r="K2350" s="67">
        <f t="shared" si="148"/>
        <v>60135.834129602234</v>
      </c>
      <c r="L2350" s="95">
        <f>+VLOOKUP(E2350,MARGEN!A:B,2,FALSE)</f>
        <v>0.1</v>
      </c>
      <c r="M2350" s="112">
        <f t="shared" si="145"/>
        <v>6013.5834129602235</v>
      </c>
      <c r="N2350" s="113">
        <f t="shared" si="146"/>
        <v>240.54333651840892</v>
      </c>
      <c r="O2350" s="113">
        <f t="shared" si="147"/>
        <v>53881.707380123604</v>
      </c>
    </row>
    <row r="2351" spans="1:15" x14ac:dyDescent="0.25">
      <c r="A2351" s="13">
        <v>44450</v>
      </c>
      <c r="B2351" s="97">
        <v>2327</v>
      </c>
      <c r="C2351" t="s">
        <v>283</v>
      </c>
      <c r="D2351" s="94" t="s">
        <v>543</v>
      </c>
      <c r="E2351" t="s">
        <v>17</v>
      </c>
      <c r="F2351" t="s">
        <v>562</v>
      </c>
      <c r="G2351" s="50" t="s">
        <v>559</v>
      </c>
      <c r="H2351" s="50">
        <v>2</v>
      </c>
      <c r="I2351" s="100">
        <v>6.7391919697301583</v>
      </c>
      <c r="J2351" s="52">
        <v>3834.68</v>
      </c>
      <c r="K2351" s="67">
        <f t="shared" si="148"/>
        <v>60135.834129602234</v>
      </c>
      <c r="L2351" s="95">
        <f>+VLOOKUP(E2351,MARGEN!A:B,2,FALSE)</f>
        <v>0.1</v>
      </c>
      <c r="M2351" s="112">
        <f t="shared" si="145"/>
        <v>6013.5834129602235</v>
      </c>
      <c r="N2351" s="113">
        <f t="shared" si="146"/>
        <v>240.54333651840892</v>
      </c>
      <c r="O2351" s="113">
        <f t="shared" si="147"/>
        <v>53881.707380123604</v>
      </c>
    </row>
    <row r="2352" spans="1:15" x14ac:dyDescent="0.25">
      <c r="A2352" s="13">
        <v>44450</v>
      </c>
      <c r="B2352" s="97">
        <v>2303</v>
      </c>
      <c r="C2352" s="88" t="s">
        <v>128</v>
      </c>
      <c r="D2352" t="s">
        <v>416</v>
      </c>
      <c r="E2352" t="s">
        <v>17</v>
      </c>
      <c r="F2352" t="s">
        <v>562</v>
      </c>
      <c r="G2352" s="50" t="s">
        <v>559</v>
      </c>
      <c r="H2352" s="50">
        <v>2</v>
      </c>
      <c r="I2352" s="100">
        <v>6.7391919697301583</v>
      </c>
      <c r="J2352" s="52">
        <v>3834.68</v>
      </c>
      <c r="K2352" s="67">
        <f t="shared" si="148"/>
        <v>59515.610657702593</v>
      </c>
      <c r="L2352" s="95">
        <f>+VLOOKUP(E2352,MARGEN!A:B,2,FALSE)</f>
        <v>0.1</v>
      </c>
      <c r="M2352" s="112">
        <f t="shared" si="145"/>
        <v>5951.56106577026</v>
      </c>
      <c r="N2352" s="113">
        <f t="shared" si="146"/>
        <v>238.06244263081038</v>
      </c>
      <c r="O2352" s="113">
        <f t="shared" si="147"/>
        <v>53325.987149301516</v>
      </c>
    </row>
    <row r="2353" spans="1:15" x14ac:dyDescent="0.25">
      <c r="A2353" s="13">
        <v>44450</v>
      </c>
      <c r="B2353" s="97">
        <v>2279</v>
      </c>
      <c r="C2353" t="s">
        <v>122</v>
      </c>
      <c r="D2353" s="94" t="s">
        <v>446</v>
      </c>
      <c r="E2353" t="s">
        <v>17</v>
      </c>
      <c r="F2353" t="s">
        <v>558</v>
      </c>
      <c r="G2353" s="50" t="s">
        <v>559</v>
      </c>
      <c r="H2353" s="50">
        <v>2</v>
      </c>
      <c r="I2353" s="100">
        <v>6.7391919697301583</v>
      </c>
      <c r="J2353" s="52">
        <v>3834.68</v>
      </c>
      <c r="K2353" s="67">
        <f t="shared" si="148"/>
        <v>58895.387185802952</v>
      </c>
      <c r="L2353" s="95">
        <f>+VLOOKUP(E2353,MARGEN!A:B,2,FALSE)</f>
        <v>0.1</v>
      </c>
      <c r="M2353" s="112">
        <f t="shared" si="145"/>
        <v>5889.5387185802956</v>
      </c>
      <c r="N2353" s="113">
        <f t="shared" si="146"/>
        <v>235.58154874321181</v>
      </c>
      <c r="O2353" s="113">
        <f t="shared" si="147"/>
        <v>52770.266918479443</v>
      </c>
    </row>
    <row r="2354" spans="1:15" x14ac:dyDescent="0.25">
      <c r="A2354" s="13">
        <v>44450</v>
      </c>
      <c r="B2354" s="97">
        <v>2231</v>
      </c>
      <c r="C2354" t="s">
        <v>284</v>
      </c>
      <c r="D2354" s="94" t="s">
        <v>525</v>
      </c>
      <c r="E2354" t="s">
        <v>17</v>
      </c>
      <c r="F2354" t="s">
        <v>566</v>
      </c>
      <c r="G2354" s="50" t="s">
        <v>559</v>
      </c>
      <c r="H2354" s="50">
        <v>2</v>
      </c>
      <c r="I2354" s="100">
        <v>6.7391919697301583</v>
      </c>
      <c r="J2354" s="52">
        <v>3834.68</v>
      </c>
      <c r="K2354" s="67">
        <f t="shared" si="148"/>
        <v>57654.940242003679</v>
      </c>
      <c r="L2354" s="95">
        <f>+VLOOKUP(E2354,MARGEN!A:B,2,FALSE)</f>
        <v>0.1</v>
      </c>
      <c r="M2354" s="112">
        <f t="shared" si="145"/>
        <v>5765.4940242003686</v>
      </c>
      <c r="N2354" s="113">
        <f t="shared" si="146"/>
        <v>230.6197609680147</v>
      </c>
      <c r="O2354" s="113">
        <f t="shared" si="147"/>
        <v>51658.826456835297</v>
      </c>
    </row>
    <row r="2355" spans="1:15" x14ac:dyDescent="0.25">
      <c r="A2355" s="13">
        <v>44450</v>
      </c>
      <c r="B2355" s="97">
        <v>2159</v>
      </c>
      <c r="C2355" s="88" t="s">
        <v>157</v>
      </c>
      <c r="D2355" t="s">
        <v>435</v>
      </c>
      <c r="E2355" t="s">
        <v>17</v>
      </c>
      <c r="F2355" t="s">
        <v>562</v>
      </c>
      <c r="G2355" s="50" t="s">
        <v>559</v>
      </c>
      <c r="H2355" s="50">
        <v>2</v>
      </c>
      <c r="I2355" s="100">
        <v>6.7391919697301583</v>
      </c>
      <c r="J2355" s="52">
        <v>3834.68</v>
      </c>
      <c r="K2355" s="67">
        <f t="shared" si="148"/>
        <v>55794.269826304779</v>
      </c>
      <c r="L2355" s="95">
        <f>+VLOOKUP(E2355,MARGEN!A:B,2,FALSE)</f>
        <v>0.1</v>
      </c>
      <c r="M2355" s="112">
        <f t="shared" si="145"/>
        <v>5579.4269826304781</v>
      </c>
      <c r="N2355" s="113">
        <f t="shared" si="146"/>
        <v>223.17707930521911</v>
      </c>
      <c r="O2355" s="113">
        <f t="shared" si="147"/>
        <v>49991.665764369078</v>
      </c>
    </row>
    <row r="2356" spans="1:15" x14ac:dyDescent="0.25">
      <c r="A2356" s="13">
        <v>44450</v>
      </c>
      <c r="B2356" s="97">
        <v>2135</v>
      </c>
      <c r="C2356" t="s">
        <v>312</v>
      </c>
      <c r="D2356" s="94" t="s">
        <v>542</v>
      </c>
      <c r="E2356" t="s">
        <v>17</v>
      </c>
      <c r="F2356" t="s">
        <v>562</v>
      </c>
      <c r="G2356" s="50" t="s">
        <v>559</v>
      </c>
      <c r="H2356" s="50">
        <v>2</v>
      </c>
      <c r="I2356" s="100">
        <v>6.7391919697301583</v>
      </c>
      <c r="J2356" s="52">
        <v>3834.68</v>
      </c>
      <c r="K2356" s="67">
        <f t="shared" si="148"/>
        <v>55174.046354405145</v>
      </c>
      <c r="L2356" s="95">
        <f>+VLOOKUP(E2356,MARGEN!A:B,2,FALSE)</f>
        <v>0.1</v>
      </c>
      <c r="M2356" s="112">
        <f t="shared" si="145"/>
        <v>5517.4046354405145</v>
      </c>
      <c r="N2356" s="113">
        <f t="shared" si="146"/>
        <v>220.69618541762057</v>
      </c>
      <c r="O2356" s="113">
        <f t="shared" si="147"/>
        <v>49435.945533547012</v>
      </c>
    </row>
    <row r="2357" spans="1:15" x14ac:dyDescent="0.25">
      <c r="A2357" s="13">
        <v>44450</v>
      </c>
      <c r="B2357" s="97">
        <v>2015</v>
      </c>
      <c r="C2357" t="s">
        <v>123</v>
      </c>
      <c r="D2357" s="94" t="s">
        <v>396</v>
      </c>
      <c r="E2357" t="s">
        <v>17</v>
      </c>
      <c r="F2357" t="s">
        <v>562</v>
      </c>
      <c r="G2357" s="50" t="s">
        <v>559</v>
      </c>
      <c r="H2357" s="50">
        <v>2</v>
      </c>
      <c r="I2357" s="100">
        <v>6.7391919697301583</v>
      </c>
      <c r="J2357" s="52">
        <v>3834.68</v>
      </c>
      <c r="K2357" s="67">
        <f t="shared" si="148"/>
        <v>52072.928994906957</v>
      </c>
      <c r="L2357" s="95">
        <f>+VLOOKUP(E2357,MARGEN!A:B,2,FALSE)</f>
        <v>0.1</v>
      </c>
      <c r="M2357" s="112">
        <f t="shared" si="145"/>
        <v>5207.2928994906961</v>
      </c>
      <c r="N2357" s="113">
        <f t="shared" si="146"/>
        <v>208.29171597962784</v>
      </c>
      <c r="O2357" s="113">
        <f t="shared" si="147"/>
        <v>46657.344379436632</v>
      </c>
    </row>
    <row r="2358" spans="1:15" x14ac:dyDescent="0.25">
      <c r="A2358" s="13">
        <v>44450</v>
      </c>
      <c r="B2358" s="97">
        <v>1967</v>
      </c>
      <c r="C2358" t="s">
        <v>155</v>
      </c>
      <c r="D2358" s="94" t="s">
        <v>399</v>
      </c>
      <c r="E2358" t="s">
        <v>17</v>
      </c>
      <c r="F2358" t="s">
        <v>566</v>
      </c>
      <c r="G2358" s="50" t="s">
        <v>559</v>
      </c>
      <c r="H2358" s="50">
        <v>2</v>
      </c>
      <c r="I2358" s="100">
        <v>6.7391919697301583</v>
      </c>
      <c r="J2358" s="52">
        <v>3834.68</v>
      </c>
      <c r="K2358" s="67">
        <f t="shared" si="148"/>
        <v>50832.482051107683</v>
      </c>
      <c r="L2358" s="95">
        <f>+VLOOKUP(E2358,MARGEN!A:B,2,FALSE)</f>
        <v>0.1</v>
      </c>
      <c r="M2358" s="112">
        <f t="shared" si="145"/>
        <v>5083.248205110769</v>
      </c>
      <c r="N2358" s="113">
        <f t="shared" si="146"/>
        <v>203.32992820443073</v>
      </c>
      <c r="O2358" s="113">
        <f t="shared" si="147"/>
        <v>45545.903917792486</v>
      </c>
    </row>
    <row r="2359" spans="1:15" x14ac:dyDescent="0.25">
      <c r="A2359" s="13">
        <v>44450</v>
      </c>
      <c r="B2359" s="51">
        <v>1919</v>
      </c>
      <c r="C2359" s="66" t="s">
        <v>295</v>
      </c>
      <c r="D2359" s="66" t="s">
        <v>532</v>
      </c>
      <c r="E2359" t="s">
        <v>17</v>
      </c>
      <c r="F2359" s="50" t="s">
        <v>562</v>
      </c>
      <c r="G2359" s="50" t="s">
        <v>559</v>
      </c>
      <c r="H2359" s="50">
        <v>2</v>
      </c>
      <c r="I2359" s="100">
        <v>6.7391919697301583</v>
      </c>
      <c r="J2359" s="52">
        <v>3834.68</v>
      </c>
      <c r="K2359" s="67">
        <f t="shared" si="148"/>
        <v>49592.035107308409</v>
      </c>
      <c r="L2359" s="95">
        <f>+VLOOKUP(E2359,MARGEN!A:B,2,FALSE)</f>
        <v>0.1</v>
      </c>
      <c r="M2359" s="112">
        <f t="shared" si="145"/>
        <v>4959.2035107308411</v>
      </c>
      <c r="N2359" s="113">
        <f t="shared" si="146"/>
        <v>198.36814042923365</v>
      </c>
      <c r="O2359" s="113">
        <f t="shared" si="147"/>
        <v>44434.463456148333</v>
      </c>
    </row>
    <row r="2360" spans="1:15" x14ac:dyDescent="0.25">
      <c r="A2360" s="13">
        <v>44450</v>
      </c>
      <c r="B2360" s="97">
        <v>1895</v>
      </c>
      <c r="C2360" t="s">
        <v>125</v>
      </c>
      <c r="D2360" s="94" t="s">
        <v>341</v>
      </c>
      <c r="E2360" t="s">
        <v>17</v>
      </c>
      <c r="F2360" t="s">
        <v>562</v>
      </c>
      <c r="G2360" s="50" t="s">
        <v>559</v>
      </c>
      <c r="H2360" s="50">
        <v>2</v>
      </c>
      <c r="I2360" s="100">
        <v>6.7391919697301583</v>
      </c>
      <c r="J2360" s="52">
        <v>3834.68</v>
      </c>
      <c r="K2360" s="67">
        <f t="shared" si="148"/>
        <v>48971.811635408776</v>
      </c>
      <c r="L2360" s="95">
        <f>+VLOOKUP(E2360,MARGEN!A:B,2,FALSE)</f>
        <v>0.1</v>
      </c>
      <c r="M2360" s="112">
        <f t="shared" si="145"/>
        <v>4897.1811635408776</v>
      </c>
      <c r="N2360" s="113">
        <f t="shared" si="146"/>
        <v>195.88724654163511</v>
      </c>
      <c r="O2360" s="113">
        <f t="shared" si="147"/>
        <v>43878.743225326267</v>
      </c>
    </row>
    <row r="2361" spans="1:15" x14ac:dyDescent="0.25">
      <c r="A2361" s="13">
        <v>44450</v>
      </c>
      <c r="B2361" s="97">
        <v>1799</v>
      </c>
      <c r="C2361" t="s">
        <v>172</v>
      </c>
      <c r="D2361" s="94" t="s">
        <v>371</v>
      </c>
      <c r="E2361" t="s">
        <v>17</v>
      </c>
      <c r="F2361" t="s">
        <v>558</v>
      </c>
      <c r="G2361" s="50" t="s">
        <v>559</v>
      </c>
      <c r="H2361" s="50">
        <v>2</v>
      </c>
      <c r="I2361" s="100">
        <v>6.7391919697301583</v>
      </c>
      <c r="J2361" s="52">
        <v>3834.68</v>
      </c>
      <c r="K2361" s="67">
        <f t="shared" si="148"/>
        <v>46490.917747810228</v>
      </c>
      <c r="L2361" s="95">
        <f>+VLOOKUP(E2361,MARGEN!A:B,2,FALSE)</f>
        <v>0.1</v>
      </c>
      <c r="M2361" s="112">
        <f t="shared" si="145"/>
        <v>4649.0917747810227</v>
      </c>
      <c r="N2361" s="113">
        <f t="shared" si="146"/>
        <v>185.96367099124092</v>
      </c>
      <c r="O2361" s="113">
        <f t="shared" si="147"/>
        <v>41655.862302037967</v>
      </c>
    </row>
    <row r="2362" spans="1:15" x14ac:dyDescent="0.25">
      <c r="A2362" s="13">
        <v>44450</v>
      </c>
      <c r="B2362" s="97">
        <v>1775</v>
      </c>
      <c r="C2362" t="s">
        <v>311</v>
      </c>
      <c r="D2362" s="94" t="s">
        <v>541</v>
      </c>
      <c r="E2362" t="s">
        <v>17</v>
      </c>
      <c r="F2362" t="s">
        <v>558</v>
      </c>
      <c r="G2362" s="50" t="s">
        <v>559</v>
      </c>
      <c r="H2362" s="50">
        <v>2</v>
      </c>
      <c r="I2362" s="100">
        <v>6.7391919697301583</v>
      </c>
      <c r="J2362" s="52">
        <v>3834.68</v>
      </c>
      <c r="K2362" s="67">
        <f t="shared" si="148"/>
        <v>45870.694275910595</v>
      </c>
      <c r="L2362" s="95">
        <f>+VLOOKUP(E2362,MARGEN!A:B,2,FALSE)</f>
        <v>0.1</v>
      </c>
      <c r="M2362" s="112">
        <f t="shared" si="145"/>
        <v>4587.06942759106</v>
      </c>
      <c r="N2362" s="113">
        <f t="shared" si="146"/>
        <v>183.48277710364238</v>
      </c>
      <c r="O2362" s="113">
        <f t="shared" si="147"/>
        <v>41100.142071215894</v>
      </c>
    </row>
    <row r="2363" spans="1:15" x14ac:dyDescent="0.25">
      <c r="A2363" s="13">
        <v>44450</v>
      </c>
      <c r="B2363" s="97">
        <v>1751</v>
      </c>
      <c r="C2363" t="s">
        <v>223</v>
      </c>
      <c r="D2363" s="94" t="s">
        <v>389</v>
      </c>
      <c r="E2363" t="s">
        <v>17</v>
      </c>
      <c r="F2363" t="s">
        <v>566</v>
      </c>
      <c r="G2363" s="50" t="s">
        <v>559</v>
      </c>
      <c r="H2363" s="50">
        <v>2</v>
      </c>
      <c r="I2363" s="100">
        <v>6.7391919697301583</v>
      </c>
      <c r="J2363" s="52">
        <v>3834.68</v>
      </c>
      <c r="K2363" s="67">
        <f t="shared" si="148"/>
        <v>45250.470804010954</v>
      </c>
      <c r="L2363" s="95">
        <f>+VLOOKUP(E2363,MARGEN!A:B,2,FALSE)</f>
        <v>0.1</v>
      </c>
      <c r="M2363" s="112">
        <f t="shared" si="145"/>
        <v>4525.0470804010956</v>
      </c>
      <c r="N2363" s="113">
        <f t="shared" si="146"/>
        <v>181.00188321604381</v>
      </c>
      <c r="O2363" s="113">
        <f t="shared" si="147"/>
        <v>40544.421840393814</v>
      </c>
    </row>
    <row r="2364" spans="1:15" x14ac:dyDescent="0.25">
      <c r="A2364" s="13">
        <v>44450</v>
      </c>
      <c r="B2364" s="97">
        <v>1751</v>
      </c>
      <c r="C2364" t="s">
        <v>154</v>
      </c>
      <c r="D2364" s="94" t="s">
        <v>419</v>
      </c>
      <c r="E2364" t="s">
        <v>17</v>
      </c>
      <c r="F2364" t="s">
        <v>566</v>
      </c>
      <c r="G2364" s="50" t="s">
        <v>559</v>
      </c>
      <c r="H2364" s="50">
        <v>2</v>
      </c>
      <c r="I2364" s="100">
        <v>6.7391919697301583</v>
      </c>
      <c r="J2364" s="52">
        <v>3834.68</v>
      </c>
      <c r="K2364" s="67">
        <f t="shared" si="148"/>
        <v>45250.470804010954</v>
      </c>
      <c r="L2364" s="95">
        <f>+VLOOKUP(E2364,MARGEN!A:B,2,FALSE)</f>
        <v>0.1</v>
      </c>
      <c r="M2364" s="112">
        <f t="shared" si="145"/>
        <v>4525.0470804010956</v>
      </c>
      <c r="N2364" s="113">
        <f t="shared" si="146"/>
        <v>181.00188321604381</v>
      </c>
      <c r="O2364" s="113">
        <f t="shared" si="147"/>
        <v>40544.421840393814</v>
      </c>
    </row>
    <row r="2365" spans="1:15" x14ac:dyDescent="0.25">
      <c r="A2365" s="13">
        <v>44450</v>
      </c>
      <c r="B2365" s="97">
        <v>1727</v>
      </c>
      <c r="C2365" t="s">
        <v>170</v>
      </c>
      <c r="D2365" s="94" t="s">
        <v>437</v>
      </c>
      <c r="E2365" t="s">
        <v>17</v>
      </c>
      <c r="F2365" t="s">
        <v>562</v>
      </c>
      <c r="G2365" s="50" t="s">
        <v>559</v>
      </c>
      <c r="H2365" s="50">
        <v>2</v>
      </c>
      <c r="I2365" s="100">
        <v>6.7391919697301583</v>
      </c>
      <c r="J2365" s="52">
        <v>3834.68</v>
      </c>
      <c r="K2365" s="67">
        <f t="shared" si="148"/>
        <v>44630.247332111321</v>
      </c>
      <c r="L2365" s="95">
        <f>+VLOOKUP(E2365,MARGEN!A:B,2,FALSE)</f>
        <v>0.1</v>
      </c>
      <c r="M2365" s="112">
        <f t="shared" si="145"/>
        <v>4463.0247332111321</v>
      </c>
      <c r="N2365" s="113">
        <f t="shared" si="146"/>
        <v>178.5209893284453</v>
      </c>
      <c r="O2365" s="113">
        <f t="shared" si="147"/>
        <v>39988.701609571741</v>
      </c>
    </row>
    <row r="2366" spans="1:15" x14ac:dyDescent="0.25">
      <c r="A2366" s="13">
        <v>44450</v>
      </c>
      <c r="B2366" s="97">
        <v>1727</v>
      </c>
      <c r="C2366" t="s">
        <v>174</v>
      </c>
      <c r="D2366" s="94" t="s">
        <v>395</v>
      </c>
      <c r="E2366" t="s">
        <v>17</v>
      </c>
      <c r="F2366" t="s">
        <v>562</v>
      </c>
      <c r="G2366" s="50" t="s">
        <v>559</v>
      </c>
      <c r="H2366" s="50">
        <v>2</v>
      </c>
      <c r="I2366" s="100">
        <v>6.7391919697301583</v>
      </c>
      <c r="J2366" s="52">
        <v>3834.68</v>
      </c>
      <c r="K2366" s="67">
        <f t="shared" si="148"/>
        <v>44630.247332111321</v>
      </c>
      <c r="L2366" s="95">
        <f>+VLOOKUP(E2366,MARGEN!A:B,2,FALSE)</f>
        <v>0.1</v>
      </c>
      <c r="M2366" s="112">
        <f t="shared" si="145"/>
        <v>4463.0247332111321</v>
      </c>
      <c r="N2366" s="113">
        <f t="shared" si="146"/>
        <v>178.5209893284453</v>
      </c>
      <c r="O2366" s="113">
        <f t="shared" si="147"/>
        <v>39988.701609571741</v>
      </c>
    </row>
    <row r="2367" spans="1:15" x14ac:dyDescent="0.25">
      <c r="A2367" s="13">
        <v>44450</v>
      </c>
      <c r="B2367" s="97">
        <v>1703</v>
      </c>
      <c r="C2367" t="s">
        <v>296</v>
      </c>
      <c r="D2367" s="94" t="s">
        <v>498</v>
      </c>
      <c r="E2367" t="s">
        <v>17</v>
      </c>
      <c r="F2367" t="s">
        <v>562</v>
      </c>
      <c r="G2367" s="50" t="s">
        <v>559</v>
      </c>
      <c r="H2367" s="50">
        <v>2</v>
      </c>
      <c r="I2367" s="100">
        <v>6.7391919697301583</v>
      </c>
      <c r="J2367" s="52">
        <v>3834.68</v>
      </c>
      <c r="K2367" s="67">
        <f t="shared" si="148"/>
        <v>44010.023860211688</v>
      </c>
      <c r="L2367" s="95">
        <f>+VLOOKUP(E2367,MARGEN!A:B,2,FALSE)</f>
        <v>0.1</v>
      </c>
      <c r="M2367" s="112">
        <f t="shared" si="145"/>
        <v>4401.0023860211686</v>
      </c>
      <c r="N2367" s="113">
        <f t="shared" si="146"/>
        <v>176.04009544084676</v>
      </c>
      <c r="O2367" s="113">
        <f t="shared" si="147"/>
        <v>39432.981378749675</v>
      </c>
    </row>
    <row r="2368" spans="1:15" x14ac:dyDescent="0.25">
      <c r="A2368" s="13">
        <v>44450</v>
      </c>
      <c r="B2368" s="97">
        <v>1703</v>
      </c>
      <c r="C2368" t="s">
        <v>286</v>
      </c>
      <c r="D2368" t="s">
        <v>531</v>
      </c>
      <c r="E2368" t="s">
        <v>17</v>
      </c>
      <c r="F2368" t="s">
        <v>566</v>
      </c>
      <c r="G2368" s="50" t="s">
        <v>559</v>
      </c>
      <c r="H2368" s="50">
        <v>2</v>
      </c>
      <c r="I2368" s="100">
        <v>6.7391919697301583</v>
      </c>
      <c r="J2368" s="52">
        <v>3834.68</v>
      </c>
      <c r="K2368" s="67">
        <f t="shared" si="148"/>
        <v>44010.023860211688</v>
      </c>
      <c r="L2368" s="95">
        <f>+VLOOKUP(E2368,MARGEN!A:B,2,FALSE)</f>
        <v>0.1</v>
      </c>
      <c r="M2368" s="112">
        <f t="shared" si="145"/>
        <v>4401.0023860211686</v>
      </c>
      <c r="N2368" s="113">
        <f t="shared" si="146"/>
        <v>176.04009544084676</v>
      </c>
      <c r="O2368" s="113">
        <f t="shared" si="147"/>
        <v>39432.981378749675</v>
      </c>
    </row>
    <row r="2369" spans="1:15" x14ac:dyDescent="0.25">
      <c r="A2369" s="13">
        <v>44450</v>
      </c>
      <c r="B2369" s="97">
        <v>1679</v>
      </c>
      <c r="C2369" t="s">
        <v>194</v>
      </c>
      <c r="D2369" s="94" t="s">
        <v>417</v>
      </c>
      <c r="E2369" t="s">
        <v>17</v>
      </c>
      <c r="F2369" t="s">
        <v>562</v>
      </c>
      <c r="G2369" s="50" t="s">
        <v>559</v>
      </c>
      <c r="H2369" s="50">
        <v>2</v>
      </c>
      <c r="I2369" s="100">
        <v>6.7391919697301583</v>
      </c>
      <c r="J2369" s="52">
        <v>3834.68</v>
      </c>
      <c r="K2369" s="67">
        <f t="shared" si="148"/>
        <v>43389.800388312047</v>
      </c>
      <c r="L2369" s="95">
        <f>+VLOOKUP(E2369,MARGEN!A:B,2,FALSE)</f>
        <v>0.1</v>
      </c>
      <c r="M2369" s="112">
        <f t="shared" si="145"/>
        <v>4338.9800388312051</v>
      </c>
      <c r="N2369" s="113">
        <f t="shared" si="146"/>
        <v>173.55920155324819</v>
      </c>
      <c r="O2369" s="113">
        <f t="shared" si="147"/>
        <v>38877.261147927595</v>
      </c>
    </row>
    <row r="2370" spans="1:15" x14ac:dyDescent="0.25">
      <c r="A2370" s="13">
        <v>44450</v>
      </c>
      <c r="B2370" s="97">
        <v>1679</v>
      </c>
      <c r="C2370" t="s">
        <v>121</v>
      </c>
      <c r="D2370" s="94" t="s">
        <v>381</v>
      </c>
      <c r="E2370" t="s">
        <v>17</v>
      </c>
      <c r="F2370" t="s">
        <v>562</v>
      </c>
      <c r="G2370" s="50" t="s">
        <v>559</v>
      </c>
      <c r="H2370" s="50">
        <v>2</v>
      </c>
      <c r="I2370" s="100">
        <v>6.7391919697301583</v>
      </c>
      <c r="J2370" s="52">
        <v>3834.68</v>
      </c>
      <c r="K2370" s="67">
        <f t="shared" si="148"/>
        <v>43389.800388312047</v>
      </c>
      <c r="L2370" s="95">
        <f>+VLOOKUP(E2370,MARGEN!A:B,2,FALSE)</f>
        <v>0.1</v>
      </c>
      <c r="M2370" s="112">
        <f t="shared" si="145"/>
        <v>4338.9800388312051</v>
      </c>
      <c r="N2370" s="113">
        <f t="shared" si="146"/>
        <v>173.55920155324819</v>
      </c>
      <c r="O2370" s="113">
        <f t="shared" si="147"/>
        <v>38877.261147927595</v>
      </c>
    </row>
    <row r="2371" spans="1:15" x14ac:dyDescent="0.25">
      <c r="A2371" s="13">
        <v>44450</v>
      </c>
      <c r="B2371" s="97">
        <v>1679</v>
      </c>
      <c r="C2371" t="s">
        <v>288</v>
      </c>
      <c r="D2371" s="94" t="s">
        <v>530</v>
      </c>
      <c r="E2371" t="s">
        <v>17</v>
      </c>
      <c r="F2371" t="s">
        <v>566</v>
      </c>
      <c r="G2371" s="50" t="s">
        <v>559</v>
      </c>
      <c r="H2371" s="50">
        <v>2</v>
      </c>
      <c r="I2371" s="100">
        <v>6.7391919697301583</v>
      </c>
      <c r="J2371" s="52">
        <v>3834.68</v>
      </c>
      <c r="K2371" s="67">
        <f t="shared" si="148"/>
        <v>43389.800388312047</v>
      </c>
      <c r="L2371" s="95">
        <f>+VLOOKUP(E2371,MARGEN!A:B,2,FALSE)</f>
        <v>0.1</v>
      </c>
      <c r="M2371" s="112">
        <f t="shared" ref="M2371:M2434" si="149">+K2371*L2371</f>
        <v>4338.9800388312051</v>
      </c>
      <c r="N2371" s="113">
        <f t="shared" ref="N2371:N2434" si="150">+K2371*4/1000</f>
        <v>173.55920155324819</v>
      </c>
      <c r="O2371" s="113">
        <f t="shared" ref="O2371:O2434" si="151">+K2371-M2371-N2371</f>
        <v>38877.261147927595</v>
      </c>
    </row>
    <row r="2372" spans="1:15" x14ac:dyDescent="0.25">
      <c r="A2372" s="13">
        <v>44450</v>
      </c>
      <c r="B2372" s="97">
        <v>1655</v>
      </c>
      <c r="C2372" t="s">
        <v>209</v>
      </c>
      <c r="D2372" s="94" t="s">
        <v>441</v>
      </c>
      <c r="E2372" t="s">
        <v>17</v>
      </c>
      <c r="F2372" t="s">
        <v>562</v>
      </c>
      <c r="G2372" s="50" t="s">
        <v>559</v>
      </c>
      <c r="H2372" s="50">
        <v>2</v>
      </c>
      <c r="I2372" s="100">
        <v>6.7391919697301583</v>
      </c>
      <c r="J2372" s="52">
        <v>3834.68</v>
      </c>
      <c r="K2372" s="67">
        <f t="shared" si="148"/>
        <v>42769.576916412421</v>
      </c>
      <c r="L2372" s="95">
        <f>+VLOOKUP(E2372,MARGEN!A:B,2,FALSE)</f>
        <v>0.1</v>
      </c>
      <c r="M2372" s="112">
        <f t="shared" si="149"/>
        <v>4276.9576916412425</v>
      </c>
      <c r="N2372" s="113">
        <f t="shared" si="150"/>
        <v>171.07830766564967</v>
      </c>
      <c r="O2372" s="113">
        <f t="shared" si="151"/>
        <v>38321.540917105529</v>
      </c>
    </row>
    <row r="2373" spans="1:15" x14ac:dyDescent="0.25">
      <c r="A2373" s="13">
        <v>44450</v>
      </c>
      <c r="B2373" s="97">
        <v>1655</v>
      </c>
      <c r="C2373" t="s">
        <v>285</v>
      </c>
      <c r="D2373" s="94" t="s">
        <v>534</v>
      </c>
      <c r="E2373" t="s">
        <v>17</v>
      </c>
      <c r="F2373" t="s">
        <v>566</v>
      </c>
      <c r="G2373" s="50" t="s">
        <v>559</v>
      </c>
      <c r="H2373" s="50">
        <v>2</v>
      </c>
      <c r="I2373" s="100">
        <v>6.7391919697301583</v>
      </c>
      <c r="J2373" s="52">
        <v>3834.68</v>
      </c>
      <c r="K2373" s="67">
        <f t="shared" si="148"/>
        <v>42769.576916412421</v>
      </c>
      <c r="L2373" s="95">
        <f>+VLOOKUP(E2373,MARGEN!A:B,2,FALSE)</f>
        <v>0.1</v>
      </c>
      <c r="M2373" s="112">
        <f t="shared" si="149"/>
        <v>4276.9576916412425</v>
      </c>
      <c r="N2373" s="113">
        <f t="shared" si="150"/>
        <v>171.07830766564967</v>
      </c>
      <c r="O2373" s="113">
        <f t="shared" si="151"/>
        <v>38321.540917105529</v>
      </c>
    </row>
    <row r="2374" spans="1:15" x14ac:dyDescent="0.25">
      <c r="A2374" s="13">
        <v>44450</v>
      </c>
      <c r="B2374" s="97">
        <v>1631</v>
      </c>
      <c r="C2374" t="s">
        <v>196</v>
      </c>
      <c r="D2374" s="94" t="s">
        <v>413</v>
      </c>
      <c r="E2374" t="s">
        <v>17</v>
      </c>
      <c r="F2374" t="s">
        <v>562</v>
      </c>
      <c r="G2374" s="50" t="s">
        <v>559</v>
      </c>
      <c r="H2374" s="50">
        <v>2</v>
      </c>
      <c r="I2374" s="100">
        <v>6.7391919697301583</v>
      </c>
      <c r="J2374" s="52">
        <v>3834.68</v>
      </c>
      <c r="K2374" s="67">
        <f t="shared" si="148"/>
        <v>42149.353444512773</v>
      </c>
      <c r="L2374" s="95">
        <f>+VLOOKUP(E2374,MARGEN!A:B,2,FALSE)</f>
        <v>0.1</v>
      </c>
      <c r="M2374" s="112">
        <f t="shared" si="149"/>
        <v>4214.9353444512772</v>
      </c>
      <c r="N2374" s="113">
        <f t="shared" si="150"/>
        <v>168.59741377805111</v>
      </c>
      <c r="O2374" s="113">
        <f t="shared" si="151"/>
        <v>37765.820686283449</v>
      </c>
    </row>
    <row r="2375" spans="1:15" x14ac:dyDescent="0.25">
      <c r="A2375" s="13">
        <v>44450</v>
      </c>
      <c r="B2375" s="97">
        <v>1631</v>
      </c>
      <c r="C2375" t="s">
        <v>171</v>
      </c>
      <c r="D2375" s="94" t="s">
        <v>387</v>
      </c>
      <c r="E2375" t="s">
        <v>17</v>
      </c>
      <c r="F2375" t="s">
        <v>566</v>
      </c>
      <c r="G2375" s="50" t="s">
        <v>559</v>
      </c>
      <c r="H2375" s="50">
        <v>2</v>
      </c>
      <c r="I2375" s="100">
        <v>6.7391919697301583</v>
      </c>
      <c r="J2375" s="52">
        <v>3834.68</v>
      </c>
      <c r="K2375" s="67">
        <f t="shared" si="148"/>
        <v>42149.353444512773</v>
      </c>
      <c r="L2375" s="95">
        <f>+VLOOKUP(E2375,MARGEN!A:B,2,FALSE)</f>
        <v>0.1</v>
      </c>
      <c r="M2375" s="112">
        <f t="shared" si="149"/>
        <v>4214.9353444512772</v>
      </c>
      <c r="N2375" s="113">
        <f t="shared" si="150"/>
        <v>168.59741377805111</v>
      </c>
      <c r="O2375" s="113">
        <f t="shared" si="151"/>
        <v>37765.820686283449</v>
      </c>
    </row>
    <row r="2376" spans="1:15" x14ac:dyDescent="0.25">
      <c r="A2376" s="13">
        <v>44450</v>
      </c>
      <c r="B2376" s="97">
        <v>1607</v>
      </c>
      <c r="C2376" t="s">
        <v>180</v>
      </c>
      <c r="D2376" s="94" t="s">
        <v>447</v>
      </c>
      <c r="E2376" t="s">
        <v>17</v>
      </c>
      <c r="F2376" t="s">
        <v>566</v>
      </c>
      <c r="G2376" s="50" t="s">
        <v>559</v>
      </c>
      <c r="H2376" s="50">
        <v>2</v>
      </c>
      <c r="I2376" s="100">
        <v>6.7391919697301583</v>
      </c>
      <c r="J2376" s="52">
        <v>3834.68</v>
      </c>
      <c r="K2376" s="67">
        <f t="shared" si="148"/>
        <v>41529.12997261314</v>
      </c>
      <c r="L2376" s="95">
        <f>+VLOOKUP(E2376,MARGEN!A:B,2,FALSE)</f>
        <v>0.1</v>
      </c>
      <c r="M2376" s="112">
        <f t="shared" si="149"/>
        <v>4152.9129972613146</v>
      </c>
      <c r="N2376" s="113">
        <f t="shared" si="150"/>
        <v>166.11651989045257</v>
      </c>
      <c r="O2376" s="113">
        <f t="shared" si="151"/>
        <v>37210.100455461376</v>
      </c>
    </row>
    <row r="2377" spans="1:15" x14ac:dyDescent="0.25">
      <c r="A2377" s="13">
        <v>44450</v>
      </c>
      <c r="B2377" s="97">
        <v>1559</v>
      </c>
      <c r="C2377" t="s">
        <v>176</v>
      </c>
      <c r="D2377" s="94" t="s">
        <v>430</v>
      </c>
      <c r="E2377" t="s">
        <v>17</v>
      </c>
      <c r="F2377" t="s">
        <v>562</v>
      </c>
      <c r="G2377" s="50" t="s">
        <v>559</v>
      </c>
      <c r="H2377" s="50">
        <v>2</v>
      </c>
      <c r="I2377" s="100">
        <v>6.7391919697301583</v>
      </c>
      <c r="J2377" s="52">
        <v>3834.68</v>
      </c>
      <c r="K2377" s="67">
        <f t="shared" ref="K2377:K2440" si="152">+B2377*I2377*J2377/1000</f>
        <v>40288.683028813866</v>
      </c>
      <c r="L2377" s="95">
        <f>+VLOOKUP(E2377,MARGEN!A:B,2,FALSE)</f>
        <v>0.1</v>
      </c>
      <c r="M2377" s="112">
        <f t="shared" si="149"/>
        <v>4028.8683028813866</v>
      </c>
      <c r="N2377" s="113">
        <f t="shared" si="150"/>
        <v>161.15473211525546</v>
      </c>
      <c r="O2377" s="113">
        <f t="shared" si="151"/>
        <v>36098.659993817222</v>
      </c>
    </row>
    <row r="2378" spans="1:15" x14ac:dyDescent="0.25">
      <c r="A2378" s="13">
        <v>44450</v>
      </c>
      <c r="B2378" s="97">
        <v>1559</v>
      </c>
      <c r="C2378" t="s">
        <v>152</v>
      </c>
      <c r="D2378" t="s">
        <v>425</v>
      </c>
      <c r="E2378" t="s">
        <v>17</v>
      </c>
      <c r="F2378" t="s">
        <v>566</v>
      </c>
      <c r="G2378" s="50" t="s">
        <v>559</v>
      </c>
      <c r="H2378" s="50">
        <v>2</v>
      </c>
      <c r="I2378" s="100">
        <v>6.7391919697301583</v>
      </c>
      <c r="J2378" s="52">
        <v>3834.68</v>
      </c>
      <c r="K2378" s="67">
        <f t="shared" si="152"/>
        <v>40288.683028813866</v>
      </c>
      <c r="L2378" s="95">
        <f>+VLOOKUP(E2378,MARGEN!A:B,2,FALSE)</f>
        <v>0.1</v>
      </c>
      <c r="M2378" s="112">
        <f t="shared" si="149"/>
        <v>4028.8683028813866</v>
      </c>
      <c r="N2378" s="113">
        <f t="shared" si="150"/>
        <v>161.15473211525546</v>
      </c>
      <c r="O2378" s="113">
        <f t="shared" si="151"/>
        <v>36098.659993817222</v>
      </c>
    </row>
    <row r="2379" spans="1:15" x14ac:dyDescent="0.25">
      <c r="A2379" s="13">
        <v>44450</v>
      </c>
      <c r="B2379" s="97">
        <v>1559</v>
      </c>
      <c r="C2379" t="s">
        <v>294</v>
      </c>
      <c r="D2379" t="s">
        <v>527</v>
      </c>
      <c r="E2379" t="s">
        <v>17</v>
      </c>
      <c r="F2379" t="s">
        <v>566</v>
      </c>
      <c r="G2379" s="50" t="s">
        <v>559</v>
      </c>
      <c r="H2379" s="50">
        <v>2</v>
      </c>
      <c r="I2379" s="100">
        <v>6.7391919697301583</v>
      </c>
      <c r="J2379" s="52">
        <v>3834.68</v>
      </c>
      <c r="K2379" s="67">
        <f t="shared" si="152"/>
        <v>40288.683028813866</v>
      </c>
      <c r="L2379" s="95">
        <f>+VLOOKUP(E2379,MARGEN!A:B,2,FALSE)</f>
        <v>0.1</v>
      </c>
      <c r="M2379" s="112">
        <f t="shared" si="149"/>
        <v>4028.8683028813866</v>
      </c>
      <c r="N2379" s="113">
        <f t="shared" si="150"/>
        <v>161.15473211525546</v>
      </c>
      <c r="O2379" s="113">
        <f t="shared" si="151"/>
        <v>36098.659993817222</v>
      </c>
    </row>
    <row r="2380" spans="1:15" x14ac:dyDescent="0.25">
      <c r="A2380" s="13">
        <v>44450</v>
      </c>
      <c r="B2380" s="97">
        <v>1535</v>
      </c>
      <c r="C2380" t="s">
        <v>137</v>
      </c>
      <c r="D2380" s="94" t="s">
        <v>418</v>
      </c>
      <c r="E2380" t="s">
        <v>17</v>
      </c>
      <c r="F2380" t="s">
        <v>558</v>
      </c>
      <c r="G2380" s="50" t="s">
        <v>559</v>
      </c>
      <c r="H2380" s="50">
        <v>2</v>
      </c>
      <c r="I2380" s="100">
        <v>6.7391919697301583</v>
      </c>
      <c r="J2380" s="52">
        <v>3834.68</v>
      </c>
      <c r="K2380" s="67">
        <f t="shared" si="152"/>
        <v>39668.459556914233</v>
      </c>
      <c r="L2380" s="95">
        <f>+VLOOKUP(E2380,MARGEN!A:B,2,FALSE)</f>
        <v>0.1</v>
      </c>
      <c r="M2380" s="112">
        <f t="shared" si="149"/>
        <v>3966.8459556914236</v>
      </c>
      <c r="N2380" s="113">
        <f t="shared" si="150"/>
        <v>158.67383822765694</v>
      </c>
      <c r="O2380" s="113">
        <f t="shared" si="151"/>
        <v>35542.939762995149</v>
      </c>
    </row>
    <row r="2381" spans="1:15" x14ac:dyDescent="0.25">
      <c r="A2381" s="13">
        <v>44450</v>
      </c>
      <c r="B2381" s="97">
        <v>1511</v>
      </c>
      <c r="C2381" t="s">
        <v>291</v>
      </c>
      <c r="D2381" s="94" t="s">
        <v>492</v>
      </c>
      <c r="E2381" t="s">
        <v>17</v>
      </c>
      <c r="F2381" t="s">
        <v>566</v>
      </c>
      <c r="G2381" s="50" t="s">
        <v>559</v>
      </c>
      <c r="H2381" s="50">
        <v>2</v>
      </c>
      <c r="I2381" s="100">
        <v>6.7391919697301583</v>
      </c>
      <c r="J2381" s="52">
        <v>3834.68</v>
      </c>
      <c r="K2381" s="67">
        <f t="shared" si="152"/>
        <v>39048.2360850146</v>
      </c>
      <c r="L2381" s="95">
        <f>+VLOOKUP(E2381,MARGEN!A:B,2,FALSE)</f>
        <v>0.1</v>
      </c>
      <c r="M2381" s="112">
        <f t="shared" si="149"/>
        <v>3904.8236085014601</v>
      </c>
      <c r="N2381" s="113">
        <f t="shared" si="150"/>
        <v>156.1929443400584</v>
      </c>
      <c r="O2381" s="113">
        <f t="shared" si="151"/>
        <v>34987.219532173083</v>
      </c>
    </row>
    <row r="2382" spans="1:15" x14ac:dyDescent="0.25">
      <c r="A2382" s="13">
        <v>44450</v>
      </c>
      <c r="B2382" s="97">
        <v>1487</v>
      </c>
      <c r="C2382" t="s">
        <v>169</v>
      </c>
      <c r="D2382" s="94" t="s">
        <v>351</v>
      </c>
      <c r="E2382" t="s">
        <v>17</v>
      </c>
      <c r="F2382" t="s">
        <v>558</v>
      </c>
      <c r="G2382" s="50" t="s">
        <v>559</v>
      </c>
      <c r="H2382" s="50">
        <v>2</v>
      </c>
      <c r="I2382" s="100">
        <v>6.7391919697301583</v>
      </c>
      <c r="J2382" s="52">
        <v>3834.68</v>
      </c>
      <c r="K2382" s="67">
        <f t="shared" si="152"/>
        <v>38428.012613114959</v>
      </c>
      <c r="L2382" s="95">
        <f>+VLOOKUP(E2382,MARGEN!A:B,2,FALSE)</f>
        <v>0.1</v>
      </c>
      <c r="M2382" s="112">
        <f t="shared" si="149"/>
        <v>3842.8012613114961</v>
      </c>
      <c r="N2382" s="113">
        <f t="shared" si="150"/>
        <v>153.71205045245983</v>
      </c>
      <c r="O2382" s="113">
        <f t="shared" si="151"/>
        <v>34431.499301351003</v>
      </c>
    </row>
    <row r="2383" spans="1:15" x14ac:dyDescent="0.25">
      <c r="A2383" s="13">
        <v>44450</v>
      </c>
      <c r="B2383" s="97">
        <v>1487</v>
      </c>
      <c r="C2383" t="s">
        <v>202</v>
      </c>
      <c r="D2383" s="94" t="s">
        <v>436</v>
      </c>
      <c r="E2383" t="s">
        <v>17</v>
      </c>
      <c r="F2383" t="s">
        <v>566</v>
      </c>
      <c r="G2383" s="50" t="s">
        <v>559</v>
      </c>
      <c r="H2383" s="50">
        <v>2</v>
      </c>
      <c r="I2383" s="100">
        <v>6.7391919697301583</v>
      </c>
      <c r="J2383" s="52">
        <v>3834.68</v>
      </c>
      <c r="K2383" s="67">
        <f t="shared" si="152"/>
        <v>38428.012613114959</v>
      </c>
      <c r="L2383" s="95">
        <f>+VLOOKUP(E2383,MARGEN!A:B,2,FALSE)</f>
        <v>0.1</v>
      </c>
      <c r="M2383" s="112">
        <f t="shared" si="149"/>
        <v>3842.8012613114961</v>
      </c>
      <c r="N2383" s="113">
        <f t="shared" si="150"/>
        <v>153.71205045245983</v>
      </c>
      <c r="O2383" s="113">
        <f t="shared" si="151"/>
        <v>34431.499301351003</v>
      </c>
    </row>
    <row r="2384" spans="1:15" x14ac:dyDescent="0.25">
      <c r="A2384" s="13">
        <v>44450</v>
      </c>
      <c r="B2384" s="97">
        <v>1487</v>
      </c>
      <c r="C2384" t="s">
        <v>119</v>
      </c>
      <c r="D2384" s="94" t="s">
        <v>377</v>
      </c>
      <c r="E2384" t="s">
        <v>17</v>
      </c>
      <c r="F2384" t="s">
        <v>562</v>
      </c>
      <c r="G2384" s="50" t="s">
        <v>559</v>
      </c>
      <c r="H2384" s="50">
        <v>2</v>
      </c>
      <c r="I2384" s="100">
        <v>6.7391919697301583</v>
      </c>
      <c r="J2384" s="52">
        <v>3834.68</v>
      </c>
      <c r="K2384" s="67">
        <f t="shared" si="152"/>
        <v>38428.012613114959</v>
      </c>
      <c r="L2384" s="95">
        <f>+VLOOKUP(E2384,MARGEN!A:B,2,FALSE)</f>
        <v>0.1</v>
      </c>
      <c r="M2384" s="112">
        <f t="shared" si="149"/>
        <v>3842.8012613114961</v>
      </c>
      <c r="N2384" s="113">
        <f t="shared" si="150"/>
        <v>153.71205045245983</v>
      </c>
      <c r="O2384" s="113">
        <f t="shared" si="151"/>
        <v>34431.499301351003</v>
      </c>
    </row>
    <row r="2385" spans="1:15" x14ac:dyDescent="0.25">
      <c r="A2385" s="13">
        <v>44450</v>
      </c>
      <c r="B2385" s="51">
        <v>1463</v>
      </c>
      <c r="C2385" s="66" t="s">
        <v>297</v>
      </c>
      <c r="D2385" s="66" t="s">
        <v>526</v>
      </c>
      <c r="E2385" t="s">
        <v>17</v>
      </c>
      <c r="F2385" s="50" t="s">
        <v>558</v>
      </c>
      <c r="G2385" s="50" t="s">
        <v>559</v>
      </c>
      <c r="H2385" s="50">
        <v>2</v>
      </c>
      <c r="I2385" s="100">
        <v>6.7391919697301583</v>
      </c>
      <c r="J2385" s="52">
        <v>3834.68</v>
      </c>
      <c r="K2385" s="67">
        <f t="shared" si="152"/>
        <v>37807.789141215326</v>
      </c>
      <c r="L2385" s="95">
        <f>+VLOOKUP(E2385,MARGEN!A:B,2,FALSE)</f>
        <v>0.1</v>
      </c>
      <c r="M2385" s="112">
        <f t="shared" si="149"/>
        <v>3780.7789141215326</v>
      </c>
      <c r="N2385" s="113">
        <f t="shared" si="150"/>
        <v>151.23115656486129</v>
      </c>
      <c r="O2385" s="113">
        <f t="shared" si="151"/>
        <v>33875.77907052893</v>
      </c>
    </row>
    <row r="2386" spans="1:15" x14ac:dyDescent="0.25">
      <c r="A2386" s="13">
        <v>44450</v>
      </c>
      <c r="B2386" s="97">
        <v>1439</v>
      </c>
      <c r="C2386" t="s">
        <v>210</v>
      </c>
      <c r="D2386" s="94" t="s">
        <v>402</v>
      </c>
      <c r="E2386" t="s">
        <v>17</v>
      </c>
      <c r="F2386" t="s">
        <v>558</v>
      </c>
      <c r="G2386" s="50" t="s">
        <v>559</v>
      </c>
      <c r="H2386" s="50">
        <v>2</v>
      </c>
      <c r="I2386" s="100">
        <v>6.7391919697301583</v>
      </c>
      <c r="J2386" s="52">
        <v>3834.68</v>
      </c>
      <c r="K2386" s="67">
        <f t="shared" si="152"/>
        <v>37187.565669315685</v>
      </c>
      <c r="L2386" s="95">
        <f>+VLOOKUP(E2386,MARGEN!A:B,2,FALSE)</f>
        <v>0.1</v>
      </c>
      <c r="M2386" s="112">
        <f t="shared" si="149"/>
        <v>3718.7565669315686</v>
      </c>
      <c r="N2386" s="113">
        <f t="shared" si="150"/>
        <v>148.75026267726275</v>
      </c>
      <c r="O2386" s="113">
        <f t="shared" si="151"/>
        <v>33320.058839706857</v>
      </c>
    </row>
    <row r="2387" spans="1:15" x14ac:dyDescent="0.25">
      <c r="A2387" s="13">
        <v>44450</v>
      </c>
      <c r="B2387" s="97">
        <v>1439</v>
      </c>
      <c r="C2387" t="s">
        <v>168</v>
      </c>
      <c r="D2387" s="94" t="s">
        <v>352</v>
      </c>
      <c r="E2387" t="s">
        <v>17</v>
      </c>
      <c r="F2387" t="s">
        <v>562</v>
      </c>
      <c r="G2387" s="50" t="s">
        <v>559</v>
      </c>
      <c r="H2387" s="50">
        <v>2</v>
      </c>
      <c r="I2387" s="100">
        <v>6.7391919697301583</v>
      </c>
      <c r="J2387" s="52">
        <v>3834.68</v>
      </c>
      <c r="K2387" s="67">
        <f t="shared" si="152"/>
        <v>37187.565669315685</v>
      </c>
      <c r="L2387" s="95">
        <f>+VLOOKUP(E2387,MARGEN!A:B,2,FALSE)</f>
        <v>0.1</v>
      </c>
      <c r="M2387" s="112">
        <f t="shared" si="149"/>
        <v>3718.7565669315686</v>
      </c>
      <c r="N2387" s="113">
        <f t="shared" si="150"/>
        <v>148.75026267726275</v>
      </c>
      <c r="O2387" s="113">
        <f t="shared" si="151"/>
        <v>33320.058839706857</v>
      </c>
    </row>
    <row r="2388" spans="1:15" x14ac:dyDescent="0.25">
      <c r="A2388" s="13">
        <v>44450</v>
      </c>
      <c r="B2388" s="97">
        <v>1439</v>
      </c>
      <c r="C2388" t="s">
        <v>200</v>
      </c>
      <c r="D2388" s="94" t="s">
        <v>428</v>
      </c>
      <c r="E2388" t="s">
        <v>17</v>
      </c>
      <c r="F2388" t="s">
        <v>566</v>
      </c>
      <c r="G2388" s="50" t="s">
        <v>559</v>
      </c>
      <c r="H2388" s="50">
        <v>2</v>
      </c>
      <c r="I2388" s="100">
        <v>6.7391919697301583</v>
      </c>
      <c r="J2388" s="52">
        <v>3834.68</v>
      </c>
      <c r="K2388" s="67">
        <f t="shared" si="152"/>
        <v>37187.565669315685</v>
      </c>
      <c r="L2388" s="95">
        <f>+VLOOKUP(E2388,MARGEN!A:B,2,FALSE)</f>
        <v>0.1</v>
      </c>
      <c r="M2388" s="112">
        <f t="shared" si="149"/>
        <v>3718.7565669315686</v>
      </c>
      <c r="N2388" s="113">
        <f t="shared" si="150"/>
        <v>148.75026267726275</v>
      </c>
      <c r="O2388" s="113">
        <f t="shared" si="151"/>
        <v>33320.058839706857</v>
      </c>
    </row>
    <row r="2389" spans="1:15" x14ac:dyDescent="0.25">
      <c r="A2389" s="13">
        <v>44450</v>
      </c>
      <c r="B2389" s="97">
        <v>1367</v>
      </c>
      <c r="C2389" t="s">
        <v>173</v>
      </c>
      <c r="D2389" s="94" t="s">
        <v>451</v>
      </c>
      <c r="E2389" t="s">
        <v>17</v>
      </c>
      <c r="F2389" t="s">
        <v>562</v>
      </c>
      <c r="G2389" s="50" t="s">
        <v>559</v>
      </c>
      <c r="H2389" s="50">
        <v>2</v>
      </c>
      <c r="I2389" s="100">
        <v>6.7391919697301583</v>
      </c>
      <c r="J2389" s="52">
        <v>3834.68</v>
      </c>
      <c r="K2389" s="67">
        <f t="shared" si="152"/>
        <v>35326.895253616778</v>
      </c>
      <c r="L2389" s="95">
        <f>+VLOOKUP(E2389,MARGEN!A:B,2,FALSE)</f>
        <v>0.1</v>
      </c>
      <c r="M2389" s="112">
        <f t="shared" si="149"/>
        <v>3532.6895253616781</v>
      </c>
      <c r="N2389" s="113">
        <f t="shared" si="150"/>
        <v>141.3075810144671</v>
      </c>
      <c r="O2389" s="113">
        <f t="shared" si="151"/>
        <v>31652.898147240634</v>
      </c>
    </row>
    <row r="2390" spans="1:15" x14ac:dyDescent="0.25">
      <c r="A2390" s="13">
        <v>44450</v>
      </c>
      <c r="B2390" s="97">
        <v>1343</v>
      </c>
      <c r="C2390" t="s">
        <v>292</v>
      </c>
      <c r="D2390" s="94" t="s">
        <v>535</v>
      </c>
      <c r="E2390" t="s">
        <v>17</v>
      </c>
      <c r="F2390" t="s">
        <v>558</v>
      </c>
      <c r="G2390" s="50" t="s">
        <v>559</v>
      </c>
      <c r="H2390" s="50">
        <v>2</v>
      </c>
      <c r="I2390" s="100">
        <v>6.7391919697301583</v>
      </c>
      <c r="J2390" s="52">
        <v>3834.68</v>
      </c>
      <c r="K2390" s="67">
        <f t="shared" si="152"/>
        <v>34706.671781717145</v>
      </c>
      <c r="L2390" s="95">
        <f>+VLOOKUP(E2390,MARGEN!A:B,2,FALSE)</f>
        <v>0.1</v>
      </c>
      <c r="M2390" s="112">
        <f t="shared" si="149"/>
        <v>3470.6671781717146</v>
      </c>
      <c r="N2390" s="113">
        <f t="shared" si="150"/>
        <v>138.82668712686859</v>
      </c>
      <c r="O2390" s="113">
        <f t="shared" si="151"/>
        <v>31097.177916418561</v>
      </c>
    </row>
    <row r="2391" spans="1:15" x14ac:dyDescent="0.25">
      <c r="A2391" s="13">
        <v>44450</v>
      </c>
      <c r="B2391" s="97">
        <v>1343</v>
      </c>
      <c r="C2391" s="88" t="s">
        <v>298</v>
      </c>
      <c r="D2391" t="s">
        <v>536</v>
      </c>
      <c r="E2391" t="s">
        <v>17</v>
      </c>
      <c r="F2391" t="s">
        <v>562</v>
      </c>
      <c r="G2391" s="50" t="s">
        <v>559</v>
      </c>
      <c r="H2391" s="50">
        <v>2</v>
      </c>
      <c r="I2391" s="100">
        <v>6.7391919697301583</v>
      </c>
      <c r="J2391" s="52">
        <v>3834.68</v>
      </c>
      <c r="K2391" s="67">
        <f t="shared" si="152"/>
        <v>34706.671781717145</v>
      </c>
      <c r="L2391" s="95">
        <f>+VLOOKUP(E2391,MARGEN!A:B,2,FALSE)</f>
        <v>0.1</v>
      </c>
      <c r="M2391" s="112">
        <f t="shared" si="149"/>
        <v>3470.6671781717146</v>
      </c>
      <c r="N2391" s="113">
        <f t="shared" si="150"/>
        <v>138.82668712686859</v>
      </c>
      <c r="O2391" s="113">
        <f t="shared" si="151"/>
        <v>31097.177916418561</v>
      </c>
    </row>
    <row r="2392" spans="1:15" x14ac:dyDescent="0.25">
      <c r="A2392" s="13">
        <v>44450</v>
      </c>
      <c r="B2392" s="97">
        <v>1295</v>
      </c>
      <c r="C2392" t="s">
        <v>151</v>
      </c>
      <c r="D2392" s="94" t="s">
        <v>394</v>
      </c>
      <c r="E2392" t="s">
        <v>17</v>
      </c>
      <c r="F2392" t="s">
        <v>558</v>
      </c>
      <c r="G2392" s="50" t="s">
        <v>559</v>
      </c>
      <c r="H2392" s="50">
        <v>2</v>
      </c>
      <c r="I2392" s="100">
        <v>6.7391919697301583</v>
      </c>
      <c r="J2392" s="52">
        <v>3834.68</v>
      </c>
      <c r="K2392" s="67">
        <f t="shared" si="152"/>
        <v>33466.224837917871</v>
      </c>
      <c r="L2392" s="95">
        <f>+VLOOKUP(E2392,MARGEN!A:B,2,FALSE)</f>
        <v>0.1</v>
      </c>
      <c r="M2392" s="112">
        <f t="shared" si="149"/>
        <v>3346.6224837917871</v>
      </c>
      <c r="N2392" s="113">
        <f t="shared" si="150"/>
        <v>133.86489935167148</v>
      </c>
      <c r="O2392" s="113">
        <f t="shared" si="151"/>
        <v>29985.737454774411</v>
      </c>
    </row>
    <row r="2393" spans="1:15" x14ac:dyDescent="0.25">
      <c r="A2393" s="13">
        <v>44450</v>
      </c>
      <c r="B2393" s="97">
        <v>1295</v>
      </c>
      <c r="C2393" t="s">
        <v>183</v>
      </c>
      <c r="D2393" s="94" t="s">
        <v>390</v>
      </c>
      <c r="E2393" t="s">
        <v>17</v>
      </c>
      <c r="F2393" t="s">
        <v>562</v>
      </c>
      <c r="G2393" s="50" t="s">
        <v>559</v>
      </c>
      <c r="H2393" s="50">
        <v>2</v>
      </c>
      <c r="I2393" s="100">
        <v>6.7391919697301583</v>
      </c>
      <c r="J2393" s="52">
        <v>3834.68</v>
      </c>
      <c r="K2393" s="67">
        <f t="shared" si="152"/>
        <v>33466.224837917871</v>
      </c>
      <c r="L2393" s="95">
        <f>+VLOOKUP(E2393,MARGEN!A:B,2,FALSE)</f>
        <v>0.1</v>
      </c>
      <c r="M2393" s="112">
        <f t="shared" si="149"/>
        <v>3346.6224837917871</v>
      </c>
      <c r="N2393" s="113">
        <f t="shared" si="150"/>
        <v>133.86489935167148</v>
      </c>
      <c r="O2393" s="113">
        <f t="shared" si="151"/>
        <v>29985.737454774411</v>
      </c>
    </row>
    <row r="2394" spans="1:15" x14ac:dyDescent="0.25">
      <c r="A2394" s="13">
        <v>44450</v>
      </c>
      <c r="B2394" s="97">
        <v>1295</v>
      </c>
      <c r="C2394" t="s">
        <v>302</v>
      </c>
      <c r="D2394" s="94" t="s">
        <v>538</v>
      </c>
      <c r="E2394" t="s">
        <v>17</v>
      </c>
      <c r="F2394" t="s">
        <v>562</v>
      </c>
      <c r="G2394" s="50" t="s">
        <v>559</v>
      </c>
      <c r="H2394" s="50">
        <v>2</v>
      </c>
      <c r="I2394" s="100">
        <v>6.7391919697301583</v>
      </c>
      <c r="J2394" s="52">
        <v>3834.68</v>
      </c>
      <c r="K2394" s="67">
        <f t="shared" si="152"/>
        <v>33466.224837917871</v>
      </c>
      <c r="L2394" s="95">
        <f>+VLOOKUP(E2394,MARGEN!A:B,2,FALSE)</f>
        <v>0.1</v>
      </c>
      <c r="M2394" s="112">
        <f t="shared" si="149"/>
        <v>3346.6224837917871</v>
      </c>
      <c r="N2394" s="113">
        <f t="shared" si="150"/>
        <v>133.86489935167148</v>
      </c>
      <c r="O2394" s="113">
        <f t="shared" si="151"/>
        <v>29985.737454774411</v>
      </c>
    </row>
    <row r="2395" spans="1:15" x14ac:dyDescent="0.25">
      <c r="A2395" s="13">
        <v>44450</v>
      </c>
      <c r="B2395" s="97">
        <v>1295</v>
      </c>
      <c r="C2395" t="s">
        <v>303</v>
      </c>
      <c r="D2395" s="94" t="s">
        <v>539</v>
      </c>
      <c r="E2395" t="s">
        <v>17</v>
      </c>
      <c r="F2395" t="s">
        <v>566</v>
      </c>
      <c r="G2395" s="50" t="s">
        <v>559</v>
      </c>
      <c r="H2395" s="50">
        <v>2</v>
      </c>
      <c r="I2395" s="100">
        <v>6.7391919697301583</v>
      </c>
      <c r="J2395" s="52">
        <v>3834.68</v>
      </c>
      <c r="K2395" s="67">
        <f t="shared" si="152"/>
        <v>33466.224837917871</v>
      </c>
      <c r="L2395" s="95">
        <f>+VLOOKUP(E2395,MARGEN!A:B,2,FALSE)</f>
        <v>0.1</v>
      </c>
      <c r="M2395" s="112">
        <f t="shared" si="149"/>
        <v>3346.6224837917871</v>
      </c>
      <c r="N2395" s="113">
        <f t="shared" si="150"/>
        <v>133.86489935167148</v>
      </c>
      <c r="O2395" s="113">
        <f t="shared" si="151"/>
        <v>29985.737454774411</v>
      </c>
    </row>
    <row r="2396" spans="1:15" x14ac:dyDescent="0.25">
      <c r="A2396" s="13">
        <v>44450</v>
      </c>
      <c r="B2396" s="97">
        <v>1247</v>
      </c>
      <c r="C2396" t="s">
        <v>308</v>
      </c>
      <c r="D2396" t="s">
        <v>500</v>
      </c>
      <c r="E2396" t="s">
        <v>17</v>
      </c>
      <c r="F2396" t="s">
        <v>566</v>
      </c>
      <c r="G2396" s="50" t="s">
        <v>559</v>
      </c>
      <c r="H2396" s="50">
        <v>2</v>
      </c>
      <c r="I2396" s="100">
        <v>6.7391919697301583</v>
      </c>
      <c r="J2396" s="52">
        <v>3834.68</v>
      </c>
      <c r="K2396" s="67">
        <f t="shared" si="152"/>
        <v>32225.777894118601</v>
      </c>
      <c r="L2396" s="95">
        <f>+VLOOKUP(E2396,MARGEN!A:B,2,FALSE)</f>
        <v>0.1</v>
      </c>
      <c r="M2396" s="112">
        <f t="shared" si="149"/>
        <v>3222.5777894118601</v>
      </c>
      <c r="N2396" s="113">
        <f t="shared" si="150"/>
        <v>128.9031115764744</v>
      </c>
      <c r="O2396" s="113">
        <f t="shared" si="151"/>
        <v>28874.296993130265</v>
      </c>
    </row>
    <row r="2397" spans="1:15" x14ac:dyDescent="0.25">
      <c r="A2397" s="13">
        <v>44450</v>
      </c>
      <c r="B2397" s="97">
        <v>1223</v>
      </c>
      <c r="C2397" t="s">
        <v>199</v>
      </c>
      <c r="D2397" s="94" t="s">
        <v>414</v>
      </c>
      <c r="E2397" t="s">
        <v>17</v>
      </c>
      <c r="F2397" t="s">
        <v>558</v>
      </c>
      <c r="G2397" s="50" t="s">
        <v>559</v>
      </c>
      <c r="H2397" s="50">
        <v>2</v>
      </c>
      <c r="I2397" s="100">
        <v>6.7391919697301583</v>
      </c>
      <c r="J2397" s="52">
        <v>3834.68</v>
      </c>
      <c r="K2397" s="67">
        <f t="shared" si="152"/>
        <v>31605.55442221896</v>
      </c>
      <c r="L2397" s="95">
        <f>+VLOOKUP(E2397,MARGEN!A:B,2,FALSE)</f>
        <v>0.1</v>
      </c>
      <c r="M2397" s="112">
        <f t="shared" si="149"/>
        <v>3160.5554422218961</v>
      </c>
      <c r="N2397" s="113">
        <f t="shared" si="150"/>
        <v>126.42221768887585</v>
      </c>
      <c r="O2397" s="113">
        <f t="shared" si="151"/>
        <v>28318.576762308188</v>
      </c>
    </row>
    <row r="2398" spans="1:15" x14ac:dyDescent="0.25">
      <c r="A2398" s="13">
        <v>44450</v>
      </c>
      <c r="B2398" s="97">
        <v>1175</v>
      </c>
      <c r="C2398" t="s">
        <v>201</v>
      </c>
      <c r="D2398" s="94" t="s">
        <v>374</v>
      </c>
      <c r="E2398" t="s">
        <v>17</v>
      </c>
      <c r="F2398" t="s">
        <v>566</v>
      </c>
      <c r="G2398" s="50" t="s">
        <v>559</v>
      </c>
      <c r="H2398" s="50">
        <v>2</v>
      </c>
      <c r="I2398" s="100">
        <v>6.7391919697301583</v>
      </c>
      <c r="J2398" s="52">
        <v>3834.68</v>
      </c>
      <c r="K2398" s="67">
        <f t="shared" si="152"/>
        <v>30365.10747841969</v>
      </c>
      <c r="L2398" s="95">
        <f>+VLOOKUP(E2398,MARGEN!A:B,2,FALSE)</f>
        <v>0.1</v>
      </c>
      <c r="M2398" s="112">
        <f t="shared" si="149"/>
        <v>3036.5107478419691</v>
      </c>
      <c r="N2398" s="113">
        <f t="shared" si="150"/>
        <v>121.46042991367877</v>
      </c>
      <c r="O2398" s="113">
        <f t="shared" si="151"/>
        <v>27207.136300664042</v>
      </c>
    </row>
    <row r="2399" spans="1:15" x14ac:dyDescent="0.25">
      <c r="A2399" s="13">
        <v>44450</v>
      </c>
      <c r="B2399" s="97">
        <v>1151</v>
      </c>
      <c r="C2399" t="s">
        <v>184</v>
      </c>
      <c r="D2399" s="94" t="s">
        <v>443</v>
      </c>
      <c r="E2399" t="s">
        <v>17</v>
      </c>
      <c r="F2399" t="s">
        <v>562</v>
      </c>
      <c r="G2399" s="50" t="s">
        <v>559</v>
      </c>
      <c r="H2399" s="50">
        <v>2</v>
      </c>
      <c r="I2399" s="100">
        <v>6.7391919697301583</v>
      </c>
      <c r="J2399" s="52">
        <v>3834.68</v>
      </c>
      <c r="K2399" s="67">
        <f t="shared" si="152"/>
        <v>29744.884006520053</v>
      </c>
      <c r="L2399" s="95">
        <f>+VLOOKUP(E2399,MARGEN!A:B,2,FALSE)</f>
        <v>0.1</v>
      </c>
      <c r="M2399" s="112">
        <f t="shared" si="149"/>
        <v>2974.4884006520056</v>
      </c>
      <c r="N2399" s="113">
        <f t="shared" si="150"/>
        <v>118.97953602608021</v>
      </c>
      <c r="O2399" s="113">
        <f t="shared" si="151"/>
        <v>26651.416069841969</v>
      </c>
    </row>
    <row r="2400" spans="1:15" x14ac:dyDescent="0.25">
      <c r="A2400" s="13">
        <v>44450</v>
      </c>
      <c r="B2400" s="97">
        <v>1079</v>
      </c>
      <c r="C2400" t="s">
        <v>153</v>
      </c>
      <c r="D2400" s="94" t="s">
        <v>444</v>
      </c>
      <c r="E2400" t="s">
        <v>17</v>
      </c>
      <c r="F2400" t="s">
        <v>566</v>
      </c>
      <c r="G2400" s="50" t="s">
        <v>559</v>
      </c>
      <c r="H2400" s="50">
        <v>2</v>
      </c>
      <c r="I2400" s="100">
        <v>6.7391919697301583</v>
      </c>
      <c r="J2400" s="52">
        <v>3834.68</v>
      </c>
      <c r="K2400" s="67">
        <f t="shared" si="152"/>
        <v>27884.213590821142</v>
      </c>
      <c r="L2400" s="95">
        <f>+VLOOKUP(E2400,MARGEN!A:B,2,FALSE)</f>
        <v>0.1</v>
      </c>
      <c r="M2400" s="112">
        <f t="shared" si="149"/>
        <v>2788.4213590821146</v>
      </c>
      <c r="N2400" s="113">
        <f t="shared" si="150"/>
        <v>111.53685436328456</v>
      </c>
      <c r="O2400" s="113">
        <f t="shared" si="151"/>
        <v>24984.255377375743</v>
      </c>
    </row>
    <row r="2401" spans="1:15" x14ac:dyDescent="0.25">
      <c r="A2401" s="13">
        <v>44450</v>
      </c>
      <c r="B2401" s="97">
        <v>767</v>
      </c>
      <c r="C2401" t="s">
        <v>181</v>
      </c>
      <c r="D2401" s="94" t="s">
        <v>415</v>
      </c>
      <c r="E2401" t="s">
        <v>17</v>
      </c>
      <c r="F2401" t="s">
        <v>558</v>
      </c>
      <c r="G2401" s="50" t="s">
        <v>559</v>
      </c>
      <c r="H2401" s="50">
        <v>2</v>
      </c>
      <c r="I2401" s="100">
        <v>6.7391919697301583</v>
      </c>
      <c r="J2401" s="52">
        <v>3834.68</v>
      </c>
      <c r="K2401" s="67">
        <f t="shared" si="152"/>
        <v>19821.308456125873</v>
      </c>
      <c r="L2401" s="95">
        <f>+VLOOKUP(E2401,MARGEN!A:B,2,FALSE)</f>
        <v>0.1</v>
      </c>
      <c r="M2401" s="112">
        <f t="shared" si="149"/>
        <v>1982.1308456125873</v>
      </c>
      <c r="N2401" s="113">
        <f t="shared" si="150"/>
        <v>79.285233824503493</v>
      </c>
      <c r="O2401" s="113">
        <f t="shared" si="151"/>
        <v>17759.892376688782</v>
      </c>
    </row>
    <row r="2402" spans="1:15" x14ac:dyDescent="0.25">
      <c r="A2402" s="13">
        <v>44451</v>
      </c>
      <c r="B2402" s="51">
        <v>7150</v>
      </c>
      <c r="C2402" s="66" t="s">
        <v>164</v>
      </c>
      <c r="D2402" s="66" t="s">
        <v>445</v>
      </c>
      <c r="E2402" t="s">
        <v>17</v>
      </c>
      <c r="F2402" s="50" t="s">
        <v>562</v>
      </c>
      <c r="G2402" s="50" t="s">
        <v>559</v>
      </c>
      <c r="H2402" s="50">
        <v>2</v>
      </c>
      <c r="I2402" s="100">
        <v>6.7391919697301583</v>
      </c>
      <c r="J2402" s="52">
        <v>3834.68</v>
      </c>
      <c r="K2402" s="67">
        <f t="shared" si="152"/>
        <v>184774.90933676664</v>
      </c>
      <c r="L2402" s="95">
        <f>+VLOOKUP(E2402,MARGEN!A:B,2,FALSE)</f>
        <v>0.1</v>
      </c>
      <c r="M2402" s="112">
        <f t="shared" si="149"/>
        <v>18477.490933676665</v>
      </c>
      <c r="N2402" s="113">
        <f t="shared" si="150"/>
        <v>739.0996373470665</v>
      </c>
      <c r="O2402" s="113">
        <f t="shared" si="151"/>
        <v>165558.31876574291</v>
      </c>
    </row>
    <row r="2403" spans="1:15" x14ac:dyDescent="0.25">
      <c r="A2403" s="13">
        <v>44451</v>
      </c>
      <c r="B2403" s="97">
        <v>6118</v>
      </c>
      <c r="C2403" t="s">
        <v>150</v>
      </c>
      <c r="D2403" s="94" t="s">
        <v>357</v>
      </c>
      <c r="E2403" t="s">
        <v>17</v>
      </c>
      <c r="F2403" t="s">
        <v>562</v>
      </c>
      <c r="G2403" s="50" t="s">
        <v>559</v>
      </c>
      <c r="H2403" s="50">
        <v>2</v>
      </c>
      <c r="I2403" s="100">
        <v>6.7391919697301583</v>
      </c>
      <c r="J2403" s="52">
        <v>3834.68</v>
      </c>
      <c r="K2403" s="67">
        <f t="shared" si="152"/>
        <v>158105.30004508226</v>
      </c>
      <c r="L2403" s="95">
        <f>+VLOOKUP(E2403,MARGEN!A:B,2,FALSE)</f>
        <v>0.1</v>
      </c>
      <c r="M2403" s="112">
        <f t="shared" si="149"/>
        <v>15810.530004508226</v>
      </c>
      <c r="N2403" s="113">
        <f t="shared" si="150"/>
        <v>632.42120018032904</v>
      </c>
      <c r="O2403" s="113">
        <f t="shared" si="151"/>
        <v>141662.34884039368</v>
      </c>
    </row>
    <row r="2404" spans="1:15" x14ac:dyDescent="0.25">
      <c r="A2404" s="13">
        <v>44451</v>
      </c>
      <c r="B2404" s="97">
        <v>4918</v>
      </c>
      <c r="C2404" t="s">
        <v>278</v>
      </c>
      <c r="D2404" s="94" t="s">
        <v>453</v>
      </c>
      <c r="E2404" t="s">
        <v>17</v>
      </c>
      <c r="F2404" t="s">
        <v>562</v>
      </c>
      <c r="G2404" s="50" t="s">
        <v>559</v>
      </c>
      <c r="H2404" s="50">
        <v>2</v>
      </c>
      <c r="I2404" s="100">
        <v>6.7391919697301583</v>
      </c>
      <c r="J2404" s="52">
        <v>3834.68</v>
      </c>
      <c r="K2404" s="67">
        <f t="shared" si="152"/>
        <v>127094.12645010046</v>
      </c>
      <c r="L2404" s="95">
        <f>+VLOOKUP(E2404,MARGEN!A:B,2,FALSE)</f>
        <v>0.1</v>
      </c>
      <c r="M2404" s="112">
        <f t="shared" si="149"/>
        <v>12709.412645010047</v>
      </c>
      <c r="N2404" s="113">
        <f t="shared" si="150"/>
        <v>508.37650580040184</v>
      </c>
      <c r="O2404" s="113">
        <f t="shared" si="151"/>
        <v>113876.33729929001</v>
      </c>
    </row>
    <row r="2405" spans="1:15" x14ac:dyDescent="0.25">
      <c r="A2405" s="13">
        <v>44451</v>
      </c>
      <c r="B2405" s="97">
        <v>4606</v>
      </c>
      <c r="C2405" t="s">
        <v>279</v>
      </c>
      <c r="D2405" t="s">
        <v>493</v>
      </c>
      <c r="E2405" t="s">
        <v>17</v>
      </c>
      <c r="F2405" t="s">
        <v>562</v>
      </c>
      <c r="G2405" s="50" t="s">
        <v>559</v>
      </c>
      <c r="H2405" s="50">
        <v>2</v>
      </c>
      <c r="I2405" s="100">
        <v>6.7391919697301583</v>
      </c>
      <c r="J2405" s="52">
        <v>3834.68</v>
      </c>
      <c r="K2405" s="67">
        <f t="shared" si="152"/>
        <v>119031.22131540519</v>
      </c>
      <c r="L2405" s="95">
        <f>+VLOOKUP(E2405,MARGEN!A:B,2,FALSE)</f>
        <v>0.1</v>
      </c>
      <c r="M2405" s="112">
        <f t="shared" si="149"/>
        <v>11903.12213154052</v>
      </c>
      <c r="N2405" s="113">
        <f t="shared" si="150"/>
        <v>476.12488526162076</v>
      </c>
      <c r="O2405" s="113">
        <f t="shared" si="151"/>
        <v>106651.97429860303</v>
      </c>
    </row>
    <row r="2406" spans="1:15" x14ac:dyDescent="0.25">
      <c r="A2406" s="13">
        <v>44451</v>
      </c>
      <c r="B2406" s="97">
        <v>4271</v>
      </c>
      <c r="C2406" t="s">
        <v>193</v>
      </c>
      <c r="D2406" s="94" t="s">
        <v>380</v>
      </c>
      <c r="E2406" t="s">
        <v>17</v>
      </c>
      <c r="F2406" t="s">
        <v>562</v>
      </c>
      <c r="G2406" s="50" t="s">
        <v>559</v>
      </c>
      <c r="H2406" s="50">
        <v>2</v>
      </c>
      <c r="I2406" s="100">
        <v>6.7391919697301583</v>
      </c>
      <c r="J2406" s="52">
        <v>3834.68</v>
      </c>
      <c r="K2406" s="67">
        <f t="shared" si="152"/>
        <v>110373.93535347277</v>
      </c>
      <c r="L2406" s="95">
        <f>+VLOOKUP(E2406,MARGEN!A:B,2,FALSE)</f>
        <v>0.1</v>
      </c>
      <c r="M2406" s="112">
        <f t="shared" si="149"/>
        <v>11037.393535347277</v>
      </c>
      <c r="N2406" s="113">
        <f t="shared" si="150"/>
        <v>441.4957414138911</v>
      </c>
      <c r="O2406" s="113">
        <f t="shared" si="151"/>
        <v>98895.046076711602</v>
      </c>
    </row>
    <row r="2407" spans="1:15" x14ac:dyDescent="0.25">
      <c r="A2407" s="43">
        <v>44451</v>
      </c>
      <c r="B2407" s="97">
        <v>3863</v>
      </c>
      <c r="C2407" t="s">
        <v>148</v>
      </c>
      <c r="D2407" s="94" t="s">
        <v>323</v>
      </c>
      <c r="E2407" t="s">
        <v>17</v>
      </c>
      <c r="F2407" t="s">
        <v>562</v>
      </c>
      <c r="G2407" s="50" t="s">
        <v>559</v>
      </c>
      <c r="H2407" s="50">
        <v>2</v>
      </c>
      <c r="I2407" s="100">
        <v>6.7391919697301583</v>
      </c>
      <c r="J2407" s="52">
        <v>3834.68</v>
      </c>
      <c r="K2407" s="67">
        <f t="shared" si="152"/>
        <v>99830.136331178932</v>
      </c>
      <c r="L2407" s="95">
        <f>+VLOOKUP(E2407,MARGEN!A:B,2,FALSE)</f>
        <v>0.1</v>
      </c>
      <c r="M2407" s="112">
        <f t="shared" si="149"/>
        <v>9983.0136331178946</v>
      </c>
      <c r="N2407" s="113">
        <f t="shared" si="150"/>
        <v>399.32054532471574</v>
      </c>
      <c r="O2407" s="113">
        <f t="shared" si="151"/>
        <v>89447.802152736316</v>
      </c>
    </row>
    <row r="2408" spans="1:15" x14ac:dyDescent="0.25">
      <c r="A2408" s="13">
        <v>44451</v>
      </c>
      <c r="B2408" s="97">
        <v>3599</v>
      </c>
      <c r="C2408" t="s">
        <v>192</v>
      </c>
      <c r="D2408" s="94" t="s">
        <v>347</v>
      </c>
      <c r="E2408" t="s">
        <v>17</v>
      </c>
      <c r="F2408" t="s">
        <v>562</v>
      </c>
      <c r="G2408" s="50" t="s">
        <v>559</v>
      </c>
      <c r="H2408" s="50">
        <v>2</v>
      </c>
      <c r="I2408" s="100">
        <v>6.7391919697301583</v>
      </c>
      <c r="J2408" s="52">
        <v>3834.68</v>
      </c>
      <c r="K2408" s="67">
        <f t="shared" si="152"/>
        <v>93007.678140282951</v>
      </c>
      <c r="L2408" s="95">
        <f>+VLOOKUP(E2408,MARGEN!A:B,2,FALSE)</f>
        <v>0.1</v>
      </c>
      <c r="M2408" s="112">
        <f t="shared" si="149"/>
        <v>9300.7678140282951</v>
      </c>
      <c r="N2408" s="113">
        <f t="shared" si="150"/>
        <v>372.03071256113179</v>
      </c>
      <c r="O2408" s="113">
        <f t="shared" si="151"/>
        <v>83334.879613693527</v>
      </c>
    </row>
    <row r="2409" spans="1:15" x14ac:dyDescent="0.25">
      <c r="A2409" s="13">
        <v>44451</v>
      </c>
      <c r="B2409" s="97">
        <v>3335</v>
      </c>
      <c r="C2409" t="s">
        <v>149</v>
      </c>
      <c r="D2409" s="94" t="s">
        <v>325</v>
      </c>
      <c r="E2409" t="s">
        <v>17</v>
      </c>
      <c r="F2409" t="s">
        <v>562</v>
      </c>
      <c r="G2409" s="50" t="s">
        <v>559</v>
      </c>
      <c r="H2409" s="50">
        <v>2</v>
      </c>
      <c r="I2409" s="100">
        <v>6.7391919697301583</v>
      </c>
      <c r="J2409" s="52">
        <v>3834.68</v>
      </c>
      <c r="K2409" s="67">
        <f t="shared" si="152"/>
        <v>86185.219949386941</v>
      </c>
      <c r="L2409" s="95">
        <f>+VLOOKUP(E2409,MARGEN!A:B,2,FALSE)</f>
        <v>0.1</v>
      </c>
      <c r="M2409" s="112">
        <f t="shared" si="149"/>
        <v>8618.5219949386938</v>
      </c>
      <c r="N2409" s="113">
        <f t="shared" si="150"/>
        <v>344.74087979754779</v>
      </c>
      <c r="O2409" s="113">
        <f t="shared" si="151"/>
        <v>77221.957074650694</v>
      </c>
    </row>
    <row r="2410" spans="1:15" x14ac:dyDescent="0.25">
      <c r="A2410" s="13">
        <v>44451</v>
      </c>
      <c r="B2410" s="97">
        <v>3311</v>
      </c>
      <c r="C2410" t="s">
        <v>309</v>
      </c>
      <c r="D2410" t="s">
        <v>544</v>
      </c>
      <c r="E2410" t="s">
        <v>17</v>
      </c>
      <c r="F2410" t="s">
        <v>566</v>
      </c>
      <c r="G2410" s="50" t="s">
        <v>559</v>
      </c>
      <c r="H2410" s="50">
        <v>2</v>
      </c>
      <c r="I2410" s="100">
        <v>6.7391919697301583</v>
      </c>
      <c r="J2410" s="52">
        <v>3834.68</v>
      </c>
      <c r="K2410" s="67">
        <f t="shared" si="152"/>
        <v>85564.996477487308</v>
      </c>
      <c r="L2410" s="95">
        <f>+VLOOKUP(E2410,MARGEN!A:B,2,FALSE)</f>
        <v>0.1</v>
      </c>
      <c r="M2410" s="112">
        <f t="shared" si="149"/>
        <v>8556.4996477487311</v>
      </c>
      <c r="N2410" s="113">
        <f t="shared" si="150"/>
        <v>342.25998590994925</v>
      </c>
      <c r="O2410" s="113">
        <f t="shared" si="151"/>
        <v>76666.236843828636</v>
      </c>
    </row>
    <row r="2411" spans="1:15" x14ac:dyDescent="0.25">
      <c r="A2411" s="13">
        <v>44451</v>
      </c>
      <c r="B2411" s="97">
        <v>3023</v>
      </c>
      <c r="C2411" t="s">
        <v>135</v>
      </c>
      <c r="D2411" t="s">
        <v>533</v>
      </c>
      <c r="E2411" t="s">
        <v>17</v>
      </c>
      <c r="F2411" t="s">
        <v>562</v>
      </c>
      <c r="G2411" s="50" t="s">
        <v>559</v>
      </c>
      <c r="H2411" s="50">
        <v>2</v>
      </c>
      <c r="I2411" s="100">
        <v>6.7391919697301583</v>
      </c>
      <c r="J2411" s="52">
        <v>3834.68</v>
      </c>
      <c r="K2411" s="67">
        <f t="shared" si="152"/>
        <v>78122.314814691679</v>
      </c>
      <c r="L2411" s="95">
        <f>+VLOOKUP(E2411,MARGEN!A:B,2,FALSE)</f>
        <v>0.1</v>
      </c>
      <c r="M2411" s="112">
        <f t="shared" si="149"/>
        <v>7812.2314814691681</v>
      </c>
      <c r="N2411" s="113">
        <f t="shared" si="150"/>
        <v>312.48925925876671</v>
      </c>
      <c r="O2411" s="113">
        <f t="shared" si="151"/>
        <v>69997.594073963744</v>
      </c>
    </row>
    <row r="2412" spans="1:15" x14ac:dyDescent="0.25">
      <c r="A2412" s="13">
        <v>44451</v>
      </c>
      <c r="B2412" s="97">
        <v>2903</v>
      </c>
      <c r="C2412" t="s">
        <v>134</v>
      </c>
      <c r="D2412" s="94" t="s">
        <v>362</v>
      </c>
      <c r="E2412" t="s">
        <v>17</v>
      </c>
      <c r="F2412" t="s">
        <v>562</v>
      </c>
      <c r="G2412" s="50" t="s">
        <v>559</v>
      </c>
      <c r="H2412" s="50">
        <v>2</v>
      </c>
      <c r="I2412" s="100">
        <v>6.7391919697301583</v>
      </c>
      <c r="J2412" s="52">
        <v>3834.68</v>
      </c>
      <c r="K2412" s="67">
        <f t="shared" si="152"/>
        <v>75021.197455193484</v>
      </c>
      <c r="L2412" s="95">
        <f>+VLOOKUP(E2412,MARGEN!A:B,2,FALSE)</f>
        <v>0.1</v>
      </c>
      <c r="M2412" s="112">
        <f t="shared" si="149"/>
        <v>7502.1197455193487</v>
      </c>
      <c r="N2412" s="113">
        <f t="shared" si="150"/>
        <v>300.08478982077395</v>
      </c>
      <c r="O2412" s="113">
        <f t="shared" si="151"/>
        <v>67218.992919853365</v>
      </c>
    </row>
    <row r="2413" spans="1:15" x14ac:dyDescent="0.25">
      <c r="A2413" s="13">
        <v>44451</v>
      </c>
      <c r="B2413" s="97">
        <v>2759</v>
      </c>
      <c r="C2413" t="s">
        <v>131</v>
      </c>
      <c r="D2413" s="94" t="s">
        <v>344</v>
      </c>
      <c r="E2413" t="s">
        <v>17</v>
      </c>
      <c r="F2413" t="s">
        <v>562</v>
      </c>
      <c r="G2413" s="50" t="s">
        <v>559</v>
      </c>
      <c r="H2413" s="50">
        <v>2</v>
      </c>
      <c r="I2413" s="100">
        <v>6.7391919697301583</v>
      </c>
      <c r="J2413" s="52">
        <v>3834.68</v>
      </c>
      <c r="K2413" s="67">
        <f t="shared" si="152"/>
        <v>71299.856623795669</v>
      </c>
      <c r="L2413" s="95">
        <f>+VLOOKUP(E2413,MARGEN!A:B,2,FALSE)</f>
        <v>0.1</v>
      </c>
      <c r="M2413" s="112">
        <f t="shared" si="149"/>
        <v>7129.9856623795677</v>
      </c>
      <c r="N2413" s="113">
        <f t="shared" si="150"/>
        <v>285.19942649518265</v>
      </c>
      <c r="O2413" s="113">
        <f t="shared" si="151"/>
        <v>63884.671534920926</v>
      </c>
    </row>
    <row r="2414" spans="1:15" x14ac:dyDescent="0.25">
      <c r="A2414" s="13">
        <v>44451</v>
      </c>
      <c r="B2414" s="97">
        <v>2567</v>
      </c>
      <c r="C2414" t="s">
        <v>310</v>
      </c>
      <c r="D2414" s="94" t="s">
        <v>540</v>
      </c>
      <c r="E2414" t="s">
        <v>17</v>
      </c>
      <c r="F2414" t="s">
        <v>566</v>
      </c>
      <c r="G2414" s="50" t="s">
        <v>559</v>
      </c>
      <c r="H2414" s="50">
        <v>2</v>
      </c>
      <c r="I2414" s="100">
        <v>6.7391919697301583</v>
      </c>
      <c r="J2414" s="52">
        <v>3834.68</v>
      </c>
      <c r="K2414" s="67">
        <f t="shared" si="152"/>
        <v>66338.068848598588</v>
      </c>
      <c r="L2414" s="95">
        <f>+VLOOKUP(E2414,MARGEN!A:B,2,FALSE)</f>
        <v>0.1</v>
      </c>
      <c r="M2414" s="112">
        <f t="shared" si="149"/>
        <v>6633.8068848598596</v>
      </c>
      <c r="N2414" s="113">
        <f t="shared" si="150"/>
        <v>265.35227539439433</v>
      </c>
      <c r="O2414" s="113">
        <f t="shared" si="151"/>
        <v>59438.909688344334</v>
      </c>
    </row>
    <row r="2415" spans="1:15" x14ac:dyDescent="0.25">
      <c r="A2415" s="13">
        <v>44451</v>
      </c>
      <c r="B2415" s="97">
        <v>2567</v>
      </c>
      <c r="C2415" t="s">
        <v>132</v>
      </c>
      <c r="D2415" s="94" t="s">
        <v>376</v>
      </c>
      <c r="E2415" t="s">
        <v>17</v>
      </c>
      <c r="F2415" t="s">
        <v>562</v>
      </c>
      <c r="G2415" s="50" t="s">
        <v>559</v>
      </c>
      <c r="H2415" s="50">
        <v>2</v>
      </c>
      <c r="I2415" s="100">
        <v>6.7391919697301583</v>
      </c>
      <c r="J2415" s="52">
        <v>3834.68</v>
      </c>
      <c r="K2415" s="67">
        <f t="shared" si="152"/>
        <v>66338.068848598588</v>
      </c>
      <c r="L2415" s="95">
        <f>+VLOOKUP(E2415,MARGEN!A:B,2,FALSE)</f>
        <v>0.1</v>
      </c>
      <c r="M2415" s="112">
        <f t="shared" si="149"/>
        <v>6633.8068848598596</v>
      </c>
      <c r="N2415" s="113">
        <f t="shared" si="150"/>
        <v>265.35227539439433</v>
      </c>
      <c r="O2415" s="113">
        <f t="shared" si="151"/>
        <v>59438.909688344334</v>
      </c>
    </row>
    <row r="2416" spans="1:15" x14ac:dyDescent="0.25">
      <c r="A2416" s="13">
        <v>44451</v>
      </c>
      <c r="B2416" s="97">
        <v>2495</v>
      </c>
      <c r="C2416" t="s">
        <v>189</v>
      </c>
      <c r="D2416" s="94" t="s">
        <v>431</v>
      </c>
      <c r="E2416" t="s">
        <v>17</v>
      </c>
      <c r="F2416" t="s">
        <v>562</v>
      </c>
      <c r="G2416" s="50" t="s">
        <v>559</v>
      </c>
      <c r="H2416" s="50">
        <v>2</v>
      </c>
      <c r="I2416" s="100">
        <v>6.7391919697301583</v>
      </c>
      <c r="J2416" s="52">
        <v>3834.68</v>
      </c>
      <c r="K2416" s="67">
        <f t="shared" si="152"/>
        <v>64477.398432899681</v>
      </c>
      <c r="L2416" s="95">
        <f>+VLOOKUP(E2416,MARGEN!A:B,2,FALSE)</f>
        <v>0.1</v>
      </c>
      <c r="M2416" s="112">
        <f t="shared" si="149"/>
        <v>6447.7398432899681</v>
      </c>
      <c r="N2416" s="113">
        <f t="shared" si="150"/>
        <v>257.9095937315987</v>
      </c>
      <c r="O2416" s="113">
        <f t="shared" si="151"/>
        <v>57771.748995878108</v>
      </c>
    </row>
    <row r="2417" spans="1:15" x14ac:dyDescent="0.25">
      <c r="A2417" s="13">
        <v>44451</v>
      </c>
      <c r="B2417" s="97">
        <v>2471</v>
      </c>
      <c r="C2417" t="s">
        <v>127</v>
      </c>
      <c r="D2417" s="94" t="s">
        <v>411</v>
      </c>
      <c r="E2417" t="s">
        <v>17</v>
      </c>
      <c r="F2417" t="s">
        <v>562</v>
      </c>
      <c r="G2417" s="50" t="s">
        <v>559</v>
      </c>
      <c r="H2417" s="50">
        <v>2</v>
      </c>
      <c r="I2417" s="100">
        <v>6.7391919697301583</v>
      </c>
      <c r="J2417" s="52">
        <v>3834.68</v>
      </c>
      <c r="K2417" s="67">
        <f t="shared" si="152"/>
        <v>63857.174961000041</v>
      </c>
      <c r="L2417" s="95">
        <f>+VLOOKUP(E2417,MARGEN!A:B,2,FALSE)</f>
        <v>0.1</v>
      </c>
      <c r="M2417" s="112">
        <f t="shared" si="149"/>
        <v>6385.7174961000046</v>
      </c>
      <c r="N2417" s="113">
        <f t="shared" si="150"/>
        <v>255.42869984400016</v>
      </c>
      <c r="O2417" s="113">
        <f t="shared" si="151"/>
        <v>57216.028765056035</v>
      </c>
    </row>
    <row r="2418" spans="1:15" x14ac:dyDescent="0.25">
      <c r="A2418" s="13">
        <v>44451</v>
      </c>
      <c r="B2418" s="97">
        <v>2399</v>
      </c>
      <c r="C2418" t="s">
        <v>186</v>
      </c>
      <c r="D2418" s="94" t="s">
        <v>440</v>
      </c>
      <c r="E2418" t="s">
        <v>17</v>
      </c>
      <c r="F2418" t="s">
        <v>566</v>
      </c>
      <c r="G2418" s="50" t="s">
        <v>559</v>
      </c>
      <c r="H2418" s="50">
        <v>2</v>
      </c>
      <c r="I2418" s="100">
        <v>6.7391919697301583</v>
      </c>
      <c r="J2418" s="52">
        <v>3834.68</v>
      </c>
      <c r="K2418" s="67">
        <f t="shared" si="152"/>
        <v>61996.504545301133</v>
      </c>
      <c r="L2418" s="95">
        <f>+VLOOKUP(E2418,MARGEN!A:B,2,FALSE)</f>
        <v>0.1</v>
      </c>
      <c r="M2418" s="112">
        <f t="shared" si="149"/>
        <v>6199.6504545301141</v>
      </c>
      <c r="N2418" s="113">
        <f t="shared" si="150"/>
        <v>247.98601818120454</v>
      </c>
      <c r="O2418" s="113">
        <f t="shared" si="151"/>
        <v>55548.868072589816</v>
      </c>
    </row>
    <row r="2419" spans="1:15" x14ac:dyDescent="0.25">
      <c r="A2419" s="13">
        <v>44451</v>
      </c>
      <c r="B2419" s="97">
        <v>2303</v>
      </c>
      <c r="C2419" t="s">
        <v>128</v>
      </c>
      <c r="D2419" s="94" t="s">
        <v>416</v>
      </c>
      <c r="E2419" t="s">
        <v>17</v>
      </c>
      <c r="F2419" t="s">
        <v>562</v>
      </c>
      <c r="G2419" s="50" t="s">
        <v>559</v>
      </c>
      <c r="H2419" s="50">
        <v>2</v>
      </c>
      <c r="I2419" s="100">
        <v>6.7391919697301583</v>
      </c>
      <c r="J2419" s="52">
        <v>3834.68</v>
      </c>
      <c r="K2419" s="67">
        <f t="shared" si="152"/>
        <v>59515.610657702593</v>
      </c>
      <c r="L2419" s="95">
        <f>+VLOOKUP(E2419,MARGEN!A:B,2,FALSE)</f>
        <v>0.1</v>
      </c>
      <c r="M2419" s="112">
        <f t="shared" si="149"/>
        <v>5951.56106577026</v>
      </c>
      <c r="N2419" s="113">
        <f t="shared" si="150"/>
        <v>238.06244263081038</v>
      </c>
      <c r="O2419" s="113">
        <f t="shared" si="151"/>
        <v>53325.987149301516</v>
      </c>
    </row>
    <row r="2420" spans="1:15" x14ac:dyDescent="0.25">
      <c r="A2420" s="13">
        <v>44451</v>
      </c>
      <c r="B2420" s="97">
        <v>2231</v>
      </c>
      <c r="C2420" t="s">
        <v>126</v>
      </c>
      <c r="D2420" s="94" t="s">
        <v>438</v>
      </c>
      <c r="E2420" t="s">
        <v>17</v>
      </c>
      <c r="F2420" t="s">
        <v>562</v>
      </c>
      <c r="G2420" s="50" t="s">
        <v>559</v>
      </c>
      <c r="H2420" s="50">
        <v>2</v>
      </c>
      <c r="I2420" s="100">
        <v>6.7391919697301583</v>
      </c>
      <c r="J2420" s="52">
        <v>3834.68</v>
      </c>
      <c r="K2420" s="67">
        <f t="shared" si="152"/>
        <v>57654.940242003679</v>
      </c>
      <c r="L2420" s="95">
        <f>+VLOOKUP(E2420,MARGEN!A:B,2,FALSE)</f>
        <v>0.1</v>
      </c>
      <c r="M2420" s="112">
        <f t="shared" si="149"/>
        <v>5765.4940242003686</v>
      </c>
      <c r="N2420" s="113">
        <f t="shared" si="150"/>
        <v>230.6197609680147</v>
      </c>
      <c r="O2420" s="113">
        <f t="shared" si="151"/>
        <v>51658.826456835297</v>
      </c>
    </row>
    <row r="2421" spans="1:15" x14ac:dyDescent="0.25">
      <c r="A2421" s="13">
        <v>44451</v>
      </c>
      <c r="B2421" s="97">
        <v>2159</v>
      </c>
      <c r="C2421" t="s">
        <v>281</v>
      </c>
      <c r="D2421" s="94" t="s">
        <v>495</v>
      </c>
      <c r="E2421" t="s">
        <v>17</v>
      </c>
      <c r="F2421" t="s">
        <v>566</v>
      </c>
      <c r="G2421" s="50" t="s">
        <v>559</v>
      </c>
      <c r="H2421" s="50">
        <v>2</v>
      </c>
      <c r="I2421" s="100">
        <v>6.7391919697301583</v>
      </c>
      <c r="J2421" s="52">
        <v>3834.68</v>
      </c>
      <c r="K2421" s="67">
        <f t="shared" si="152"/>
        <v>55794.269826304779</v>
      </c>
      <c r="L2421" s="95">
        <f>+VLOOKUP(E2421,MARGEN!A:B,2,FALSE)</f>
        <v>0.1</v>
      </c>
      <c r="M2421" s="112">
        <f t="shared" si="149"/>
        <v>5579.4269826304781</v>
      </c>
      <c r="N2421" s="113">
        <f t="shared" si="150"/>
        <v>223.17707930521911</v>
      </c>
      <c r="O2421" s="113">
        <f t="shared" si="151"/>
        <v>49991.665764369078</v>
      </c>
    </row>
    <row r="2422" spans="1:15" x14ac:dyDescent="0.25">
      <c r="A2422" s="13">
        <v>44451</v>
      </c>
      <c r="B2422" s="97">
        <v>2111</v>
      </c>
      <c r="C2422" t="s">
        <v>122</v>
      </c>
      <c r="D2422" s="94" t="s">
        <v>446</v>
      </c>
      <c r="E2422" t="s">
        <v>17</v>
      </c>
      <c r="F2422" t="s">
        <v>566</v>
      </c>
      <c r="G2422" s="50" t="s">
        <v>559</v>
      </c>
      <c r="H2422" s="50">
        <v>2</v>
      </c>
      <c r="I2422" s="100">
        <v>6.7391919697301583</v>
      </c>
      <c r="J2422" s="52">
        <v>3834.68</v>
      </c>
      <c r="K2422" s="67">
        <f t="shared" si="152"/>
        <v>54553.822882505498</v>
      </c>
      <c r="L2422" s="95">
        <f>+VLOOKUP(E2422,MARGEN!A:B,2,FALSE)</f>
        <v>0.1</v>
      </c>
      <c r="M2422" s="112">
        <f t="shared" si="149"/>
        <v>5455.3822882505501</v>
      </c>
      <c r="N2422" s="113">
        <f t="shared" si="150"/>
        <v>218.215291530022</v>
      </c>
      <c r="O2422" s="113">
        <f t="shared" si="151"/>
        <v>48880.225302724924</v>
      </c>
    </row>
    <row r="2423" spans="1:15" x14ac:dyDescent="0.25">
      <c r="A2423" s="13">
        <v>44451</v>
      </c>
      <c r="B2423" s="97">
        <v>2063</v>
      </c>
      <c r="C2423" t="s">
        <v>157</v>
      </c>
      <c r="D2423" s="94" t="s">
        <v>435</v>
      </c>
      <c r="E2423" t="s">
        <v>17</v>
      </c>
      <c r="F2423" t="s">
        <v>562</v>
      </c>
      <c r="G2423" s="50" t="s">
        <v>559</v>
      </c>
      <c r="H2423" s="50">
        <v>2</v>
      </c>
      <c r="I2423" s="100">
        <v>6.7391919697301583</v>
      </c>
      <c r="J2423" s="52">
        <v>3834.68</v>
      </c>
      <c r="K2423" s="67">
        <f t="shared" si="152"/>
        <v>53313.375938706224</v>
      </c>
      <c r="L2423" s="95">
        <f>+VLOOKUP(E2423,MARGEN!A:B,2,FALSE)</f>
        <v>0.1</v>
      </c>
      <c r="M2423" s="112">
        <f t="shared" si="149"/>
        <v>5331.3375938706231</v>
      </c>
      <c r="N2423" s="113">
        <f t="shared" si="150"/>
        <v>213.25350375482489</v>
      </c>
      <c r="O2423" s="113">
        <f t="shared" si="151"/>
        <v>47768.784841080778</v>
      </c>
    </row>
    <row r="2424" spans="1:15" x14ac:dyDescent="0.25">
      <c r="A2424" s="13">
        <v>44451</v>
      </c>
      <c r="B2424" s="97">
        <v>2015</v>
      </c>
      <c r="C2424" t="s">
        <v>156</v>
      </c>
      <c r="D2424" s="94" t="s">
        <v>429</v>
      </c>
      <c r="E2424" t="s">
        <v>17</v>
      </c>
      <c r="F2424" t="s">
        <v>562</v>
      </c>
      <c r="G2424" s="50" t="s">
        <v>559</v>
      </c>
      <c r="H2424" s="50">
        <v>2</v>
      </c>
      <c r="I2424" s="100">
        <v>6.7391919697301583</v>
      </c>
      <c r="J2424" s="52">
        <v>3834.68</v>
      </c>
      <c r="K2424" s="67">
        <f t="shared" si="152"/>
        <v>52072.928994906957</v>
      </c>
      <c r="L2424" s="95">
        <f>+VLOOKUP(E2424,MARGEN!A:B,2,FALSE)</f>
        <v>0.1</v>
      </c>
      <c r="M2424" s="112">
        <f t="shared" si="149"/>
        <v>5207.2928994906961</v>
      </c>
      <c r="N2424" s="113">
        <f t="shared" si="150"/>
        <v>208.29171597962784</v>
      </c>
      <c r="O2424" s="113">
        <f t="shared" si="151"/>
        <v>46657.344379436632</v>
      </c>
    </row>
    <row r="2425" spans="1:15" x14ac:dyDescent="0.25">
      <c r="A2425" s="13">
        <v>44451</v>
      </c>
      <c r="B2425" s="97">
        <v>2015</v>
      </c>
      <c r="C2425" t="s">
        <v>284</v>
      </c>
      <c r="D2425" s="94" t="s">
        <v>525</v>
      </c>
      <c r="E2425" t="s">
        <v>17</v>
      </c>
      <c r="F2425" t="s">
        <v>566</v>
      </c>
      <c r="G2425" s="50" t="s">
        <v>559</v>
      </c>
      <c r="H2425" s="50">
        <v>2</v>
      </c>
      <c r="I2425" s="100">
        <v>6.7391919697301583</v>
      </c>
      <c r="J2425" s="52">
        <v>3834.68</v>
      </c>
      <c r="K2425" s="67">
        <f t="shared" si="152"/>
        <v>52072.928994906957</v>
      </c>
      <c r="L2425" s="95">
        <f>+VLOOKUP(E2425,MARGEN!A:B,2,FALSE)</f>
        <v>0.1</v>
      </c>
      <c r="M2425" s="112">
        <f t="shared" si="149"/>
        <v>5207.2928994906961</v>
      </c>
      <c r="N2425" s="113">
        <f t="shared" si="150"/>
        <v>208.29171597962784</v>
      </c>
      <c r="O2425" s="113">
        <f t="shared" si="151"/>
        <v>46657.344379436632</v>
      </c>
    </row>
    <row r="2426" spans="1:15" x14ac:dyDescent="0.25">
      <c r="A2426" s="13">
        <v>44451</v>
      </c>
      <c r="B2426" s="97">
        <v>2015</v>
      </c>
      <c r="C2426" t="s">
        <v>123</v>
      </c>
      <c r="D2426" s="94" t="s">
        <v>396</v>
      </c>
      <c r="E2426" t="s">
        <v>17</v>
      </c>
      <c r="F2426" t="s">
        <v>562</v>
      </c>
      <c r="G2426" s="50" t="s">
        <v>559</v>
      </c>
      <c r="H2426" s="50">
        <v>2</v>
      </c>
      <c r="I2426" s="100">
        <v>6.7391919697301583</v>
      </c>
      <c r="J2426" s="52">
        <v>3834.68</v>
      </c>
      <c r="K2426" s="67">
        <f t="shared" si="152"/>
        <v>52072.928994906957</v>
      </c>
      <c r="L2426" s="95">
        <f>+VLOOKUP(E2426,MARGEN!A:B,2,FALSE)</f>
        <v>0.1</v>
      </c>
      <c r="M2426" s="112">
        <f t="shared" si="149"/>
        <v>5207.2928994906961</v>
      </c>
      <c r="N2426" s="113">
        <f t="shared" si="150"/>
        <v>208.29171597962784</v>
      </c>
      <c r="O2426" s="113">
        <f t="shared" si="151"/>
        <v>46657.344379436632</v>
      </c>
    </row>
    <row r="2427" spans="1:15" x14ac:dyDescent="0.25">
      <c r="A2427" s="13">
        <v>44451</v>
      </c>
      <c r="B2427" s="97">
        <v>2015</v>
      </c>
      <c r="C2427" t="s">
        <v>283</v>
      </c>
      <c r="D2427" s="94" t="s">
        <v>543</v>
      </c>
      <c r="E2427" t="s">
        <v>17</v>
      </c>
      <c r="F2427" t="s">
        <v>562</v>
      </c>
      <c r="G2427" s="50" t="s">
        <v>559</v>
      </c>
      <c r="H2427" s="50">
        <v>2</v>
      </c>
      <c r="I2427" s="100">
        <v>6.7391919697301583</v>
      </c>
      <c r="J2427" s="52">
        <v>3834.68</v>
      </c>
      <c r="K2427" s="67">
        <f t="shared" si="152"/>
        <v>52072.928994906957</v>
      </c>
      <c r="L2427" s="95">
        <f>+VLOOKUP(E2427,MARGEN!A:B,2,FALSE)</f>
        <v>0.1</v>
      </c>
      <c r="M2427" s="112">
        <f t="shared" si="149"/>
        <v>5207.2928994906961</v>
      </c>
      <c r="N2427" s="113">
        <f t="shared" si="150"/>
        <v>208.29171597962784</v>
      </c>
      <c r="O2427" s="113">
        <f t="shared" si="151"/>
        <v>46657.344379436632</v>
      </c>
    </row>
    <row r="2428" spans="1:15" x14ac:dyDescent="0.25">
      <c r="A2428" s="13">
        <v>44451</v>
      </c>
      <c r="B2428" s="97">
        <v>1991</v>
      </c>
      <c r="C2428" t="s">
        <v>146</v>
      </c>
      <c r="D2428" s="94" t="s">
        <v>348</v>
      </c>
      <c r="E2428" t="s">
        <v>17</v>
      </c>
      <c r="F2428" t="s">
        <v>562</v>
      </c>
      <c r="G2428" s="50" t="s">
        <v>559</v>
      </c>
      <c r="H2428" s="50">
        <v>2</v>
      </c>
      <c r="I2428" s="100">
        <v>6.7391919697301583</v>
      </c>
      <c r="J2428" s="52">
        <v>3834.68</v>
      </c>
      <c r="K2428" s="67">
        <f t="shared" si="152"/>
        <v>51452.705523007324</v>
      </c>
      <c r="L2428" s="95">
        <f>+VLOOKUP(E2428,MARGEN!A:B,2,FALSE)</f>
        <v>0.1</v>
      </c>
      <c r="M2428" s="112">
        <f t="shared" si="149"/>
        <v>5145.2705523007326</v>
      </c>
      <c r="N2428" s="113">
        <f t="shared" si="150"/>
        <v>205.8108220920293</v>
      </c>
      <c r="O2428" s="113">
        <f t="shared" si="151"/>
        <v>46101.624148614566</v>
      </c>
    </row>
    <row r="2429" spans="1:15" x14ac:dyDescent="0.25">
      <c r="A2429" s="13">
        <v>44451</v>
      </c>
      <c r="B2429" s="97">
        <v>1823</v>
      </c>
      <c r="C2429" s="88" t="s">
        <v>295</v>
      </c>
      <c r="D2429" t="s">
        <v>532</v>
      </c>
      <c r="E2429" t="s">
        <v>17</v>
      </c>
      <c r="F2429" t="s">
        <v>562</v>
      </c>
      <c r="G2429" s="50" t="s">
        <v>559</v>
      </c>
      <c r="H2429" s="50">
        <v>2</v>
      </c>
      <c r="I2429" s="100">
        <v>6.7391919697301583</v>
      </c>
      <c r="J2429" s="52">
        <v>3834.68</v>
      </c>
      <c r="K2429" s="67">
        <f t="shared" si="152"/>
        <v>47111.141219709876</v>
      </c>
      <c r="L2429" s="95">
        <f>+VLOOKUP(E2429,MARGEN!A:B,2,FALSE)</f>
        <v>0.1</v>
      </c>
      <c r="M2429" s="112">
        <f t="shared" si="149"/>
        <v>4711.114121970988</v>
      </c>
      <c r="N2429" s="113">
        <f t="shared" si="150"/>
        <v>188.44456487883951</v>
      </c>
      <c r="O2429" s="113">
        <f t="shared" si="151"/>
        <v>42211.582532860048</v>
      </c>
    </row>
    <row r="2430" spans="1:15" x14ac:dyDescent="0.25">
      <c r="A2430" s="13">
        <v>44451</v>
      </c>
      <c r="B2430" s="97">
        <v>1799</v>
      </c>
      <c r="C2430" t="s">
        <v>125</v>
      </c>
      <c r="D2430" s="94" t="s">
        <v>341</v>
      </c>
      <c r="E2430" t="s">
        <v>17</v>
      </c>
      <c r="F2430" t="s">
        <v>562</v>
      </c>
      <c r="G2430" s="50" t="s">
        <v>559</v>
      </c>
      <c r="H2430" s="50">
        <v>2</v>
      </c>
      <c r="I2430" s="100">
        <v>6.7391919697301583</v>
      </c>
      <c r="J2430" s="52">
        <v>3834.68</v>
      </c>
      <c r="K2430" s="67">
        <f t="shared" si="152"/>
        <v>46490.917747810228</v>
      </c>
      <c r="L2430" s="95">
        <f>+VLOOKUP(E2430,MARGEN!A:B,2,FALSE)</f>
        <v>0.1</v>
      </c>
      <c r="M2430" s="112">
        <f t="shared" si="149"/>
        <v>4649.0917747810227</v>
      </c>
      <c r="N2430" s="113">
        <f t="shared" si="150"/>
        <v>185.96367099124092</v>
      </c>
      <c r="O2430" s="113">
        <f t="shared" si="151"/>
        <v>41655.862302037967</v>
      </c>
    </row>
    <row r="2431" spans="1:15" x14ac:dyDescent="0.25">
      <c r="A2431" s="13">
        <v>44451</v>
      </c>
      <c r="B2431" s="97">
        <v>1775</v>
      </c>
      <c r="C2431" t="s">
        <v>155</v>
      </c>
      <c r="D2431" s="94" t="s">
        <v>399</v>
      </c>
      <c r="E2431" t="s">
        <v>17</v>
      </c>
      <c r="F2431" t="s">
        <v>566</v>
      </c>
      <c r="G2431" s="50" t="s">
        <v>559</v>
      </c>
      <c r="H2431" s="50">
        <v>2</v>
      </c>
      <c r="I2431" s="100">
        <v>6.7391919697301583</v>
      </c>
      <c r="J2431" s="52">
        <v>3834.68</v>
      </c>
      <c r="K2431" s="67">
        <f t="shared" si="152"/>
        <v>45870.694275910595</v>
      </c>
      <c r="L2431" s="95">
        <f>+VLOOKUP(E2431,MARGEN!A:B,2,FALSE)</f>
        <v>0.1</v>
      </c>
      <c r="M2431" s="112">
        <f t="shared" si="149"/>
        <v>4587.06942759106</v>
      </c>
      <c r="N2431" s="113">
        <f t="shared" si="150"/>
        <v>183.48277710364238</v>
      </c>
      <c r="O2431" s="113">
        <f t="shared" si="151"/>
        <v>41100.142071215894</v>
      </c>
    </row>
    <row r="2432" spans="1:15" x14ac:dyDescent="0.25">
      <c r="A2432" s="13">
        <v>44451</v>
      </c>
      <c r="B2432" s="97">
        <v>1727</v>
      </c>
      <c r="C2432" t="s">
        <v>170</v>
      </c>
      <c r="D2432" s="94" t="s">
        <v>437</v>
      </c>
      <c r="E2432" t="s">
        <v>17</v>
      </c>
      <c r="F2432" t="s">
        <v>562</v>
      </c>
      <c r="G2432" s="50" t="s">
        <v>559</v>
      </c>
      <c r="H2432" s="50">
        <v>2</v>
      </c>
      <c r="I2432" s="100">
        <v>6.7391919697301583</v>
      </c>
      <c r="J2432" s="52">
        <v>3834.68</v>
      </c>
      <c r="K2432" s="67">
        <f t="shared" si="152"/>
        <v>44630.247332111321</v>
      </c>
      <c r="L2432" s="95">
        <f>+VLOOKUP(E2432,MARGEN!A:B,2,FALSE)</f>
        <v>0.1</v>
      </c>
      <c r="M2432" s="112">
        <f t="shared" si="149"/>
        <v>4463.0247332111321</v>
      </c>
      <c r="N2432" s="113">
        <f t="shared" si="150"/>
        <v>178.5209893284453</v>
      </c>
      <c r="O2432" s="113">
        <f t="shared" si="151"/>
        <v>39988.701609571741</v>
      </c>
    </row>
    <row r="2433" spans="1:15" x14ac:dyDescent="0.25">
      <c r="A2433" s="13">
        <v>44451</v>
      </c>
      <c r="B2433" s="97">
        <v>1703</v>
      </c>
      <c r="C2433" t="s">
        <v>311</v>
      </c>
      <c r="D2433" s="94" t="s">
        <v>541</v>
      </c>
      <c r="E2433" t="s">
        <v>17</v>
      </c>
      <c r="F2433" t="s">
        <v>566</v>
      </c>
      <c r="G2433" s="50" t="s">
        <v>559</v>
      </c>
      <c r="H2433" s="50">
        <v>2</v>
      </c>
      <c r="I2433" s="100">
        <v>6.7391919697301583</v>
      </c>
      <c r="J2433" s="52">
        <v>3834.68</v>
      </c>
      <c r="K2433" s="67">
        <f t="shared" si="152"/>
        <v>44010.023860211688</v>
      </c>
      <c r="L2433" s="95">
        <f>+VLOOKUP(E2433,MARGEN!A:B,2,FALSE)</f>
        <v>0.1</v>
      </c>
      <c r="M2433" s="112">
        <f t="shared" si="149"/>
        <v>4401.0023860211686</v>
      </c>
      <c r="N2433" s="113">
        <f t="shared" si="150"/>
        <v>176.04009544084676</v>
      </c>
      <c r="O2433" s="113">
        <f t="shared" si="151"/>
        <v>39432.981378749675</v>
      </c>
    </row>
    <row r="2434" spans="1:15" x14ac:dyDescent="0.25">
      <c r="A2434" s="13">
        <v>44451</v>
      </c>
      <c r="B2434" s="97">
        <v>1703</v>
      </c>
      <c r="C2434" t="s">
        <v>296</v>
      </c>
      <c r="D2434" s="94" t="s">
        <v>498</v>
      </c>
      <c r="E2434" t="s">
        <v>17</v>
      </c>
      <c r="F2434" t="s">
        <v>562</v>
      </c>
      <c r="G2434" s="50" t="s">
        <v>559</v>
      </c>
      <c r="H2434" s="50">
        <v>2</v>
      </c>
      <c r="I2434" s="100">
        <v>6.7391919697301583</v>
      </c>
      <c r="J2434" s="52">
        <v>3834.68</v>
      </c>
      <c r="K2434" s="67">
        <f t="shared" si="152"/>
        <v>44010.023860211688</v>
      </c>
      <c r="L2434" s="95">
        <f>+VLOOKUP(E2434,MARGEN!A:B,2,FALSE)</f>
        <v>0.1</v>
      </c>
      <c r="M2434" s="112">
        <f t="shared" si="149"/>
        <v>4401.0023860211686</v>
      </c>
      <c r="N2434" s="113">
        <f t="shared" si="150"/>
        <v>176.04009544084676</v>
      </c>
      <c r="O2434" s="113">
        <f t="shared" si="151"/>
        <v>39432.981378749675</v>
      </c>
    </row>
    <row r="2435" spans="1:15" x14ac:dyDescent="0.25">
      <c r="A2435" s="13">
        <v>44451</v>
      </c>
      <c r="B2435" s="97">
        <v>1703</v>
      </c>
      <c r="C2435" t="s">
        <v>174</v>
      </c>
      <c r="D2435" s="94" t="s">
        <v>395</v>
      </c>
      <c r="E2435" t="s">
        <v>17</v>
      </c>
      <c r="F2435" t="s">
        <v>562</v>
      </c>
      <c r="G2435" s="50" t="s">
        <v>559</v>
      </c>
      <c r="H2435" s="50">
        <v>2</v>
      </c>
      <c r="I2435" s="100">
        <v>6.7391919697301583</v>
      </c>
      <c r="J2435" s="52">
        <v>3834.68</v>
      </c>
      <c r="K2435" s="67">
        <f t="shared" si="152"/>
        <v>44010.023860211688</v>
      </c>
      <c r="L2435" s="95">
        <f>+VLOOKUP(E2435,MARGEN!A:B,2,FALSE)</f>
        <v>0.1</v>
      </c>
      <c r="M2435" s="112">
        <f t="shared" ref="M2435:M2498" si="153">+K2435*L2435</f>
        <v>4401.0023860211686</v>
      </c>
      <c r="N2435" s="113">
        <f t="shared" ref="N2435:N2498" si="154">+K2435*4/1000</f>
        <v>176.04009544084676</v>
      </c>
      <c r="O2435" s="113">
        <f t="shared" ref="O2435:O2498" si="155">+K2435-M2435-N2435</f>
        <v>39432.981378749675</v>
      </c>
    </row>
    <row r="2436" spans="1:15" x14ac:dyDescent="0.25">
      <c r="A2436" s="13">
        <v>44451</v>
      </c>
      <c r="B2436" s="97">
        <v>1679</v>
      </c>
      <c r="C2436" t="s">
        <v>121</v>
      </c>
      <c r="D2436" s="94" t="s">
        <v>381</v>
      </c>
      <c r="E2436" t="s">
        <v>17</v>
      </c>
      <c r="F2436" t="s">
        <v>562</v>
      </c>
      <c r="G2436" s="50" t="s">
        <v>559</v>
      </c>
      <c r="H2436" s="50">
        <v>2</v>
      </c>
      <c r="I2436" s="100">
        <v>6.7391919697301583</v>
      </c>
      <c r="J2436" s="52">
        <v>3834.68</v>
      </c>
      <c r="K2436" s="67">
        <f t="shared" si="152"/>
        <v>43389.800388312047</v>
      </c>
      <c r="L2436" s="95">
        <f>+VLOOKUP(E2436,MARGEN!A:B,2,FALSE)</f>
        <v>0.1</v>
      </c>
      <c r="M2436" s="112">
        <f t="shared" si="153"/>
        <v>4338.9800388312051</v>
      </c>
      <c r="N2436" s="113">
        <f t="shared" si="154"/>
        <v>173.55920155324819</v>
      </c>
      <c r="O2436" s="113">
        <f t="shared" si="155"/>
        <v>38877.261147927595</v>
      </c>
    </row>
    <row r="2437" spans="1:15" x14ac:dyDescent="0.25">
      <c r="A2437" s="13">
        <v>44451</v>
      </c>
      <c r="B2437" s="97">
        <v>1655</v>
      </c>
      <c r="C2437" t="s">
        <v>288</v>
      </c>
      <c r="D2437" s="94" t="s">
        <v>530</v>
      </c>
      <c r="E2437" t="s">
        <v>17</v>
      </c>
      <c r="F2437" t="s">
        <v>566</v>
      </c>
      <c r="G2437" s="50" t="s">
        <v>559</v>
      </c>
      <c r="H2437" s="50">
        <v>2</v>
      </c>
      <c r="I2437" s="100">
        <v>6.7391919697301583</v>
      </c>
      <c r="J2437" s="52">
        <v>3834.68</v>
      </c>
      <c r="K2437" s="67">
        <f t="shared" si="152"/>
        <v>42769.576916412421</v>
      </c>
      <c r="L2437" s="95">
        <f>+VLOOKUP(E2437,MARGEN!A:B,2,FALSE)</f>
        <v>0.1</v>
      </c>
      <c r="M2437" s="112">
        <f t="shared" si="153"/>
        <v>4276.9576916412425</v>
      </c>
      <c r="N2437" s="113">
        <f t="shared" si="154"/>
        <v>171.07830766564967</v>
      </c>
      <c r="O2437" s="113">
        <f t="shared" si="155"/>
        <v>38321.540917105529</v>
      </c>
    </row>
    <row r="2438" spans="1:15" x14ac:dyDescent="0.25">
      <c r="A2438" s="13">
        <v>44451</v>
      </c>
      <c r="B2438" s="97">
        <v>1655</v>
      </c>
      <c r="C2438" t="s">
        <v>194</v>
      </c>
      <c r="D2438" s="94" t="s">
        <v>417</v>
      </c>
      <c r="E2438" t="s">
        <v>17</v>
      </c>
      <c r="F2438" t="s">
        <v>562</v>
      </c>
      <c r="G2438" s="50" t="s">
        <v>559</v>
      </c>
      <c r="H2438" s="50">
        <v>2</v>
      </c>
      <c r="I2438" s="100">
        <v>6.7391919697301583</v>
      </c>
      <c r="J2438" s="52">
        <v>3834.68</v>
      </c>
      <c r="K2438" s="67">
        <f t="shared" si="152"/>
        <v>42769.576916412421</v>
      </c>
      <c r="L2438" s="95">
        <f>+VLOOKUP(E2438,MARGEN!A:B,2,FALSE)</f>
        <v>0.1</v>
      </c>
      <c r="M2438" s="112">
        <f t="shared" si="153"/>
        <v>4276.9576916412425</v>
      </c>
      <c r="N2438" s="113">
        <f t="shared" si="154"/>
        <v>171.07830766564967</v>
      </c>
      <c r="O2438" s="113">
        <f t="shared" si="155"/>
        <v>38321.540917105529</v>
      </c>
    </row>
    <row r="2439" spans="1:15" x14ac:dyDescent="0.25">
      <c r="A2439" s="13">
        <v>44451</v>
      </c>
      <c r="B2439" s="97">
        <v>1655</v>
      </c>
      <c r="C2439" t="s">
        <v>154</v>
      </c>
      <c r="D2439" s="94" t="s">
        <v>419</v>
      </c>
      <c r="E2439" t="s">
        <v>17</v>
      </c>
      <c r="F2439" t="s">
        <v>566</v>
      </c>
      <c r="G2439" s="50" t="s">
        <v>559</v>
      </c>
      <c r="H2439" s="50">
        <v>2</v>
      </c>
      <c r="I2439" s="100">
        <v>6.7391919697301583</v>
      </c>
      <c r="J2439" s="52">
        <v>3834.68</v>
      </c>
      <c r="K2439" s="67">
        <f t="shared" si="152"/>
        <v>42769.576916412421</v>
      </c>
      <c r="L2439" s="95">
        <f>+VLOOKUP(E2439,MARGEN!A:B,2,FALSE)</f>
        <v>0.1</v>
      </c>
      <c r="M2439" s="112">
        <f t="shared" si="153"/>
        <v>4276.9576916412425</v>
      </c>
      <c r="N2439" s="113">
        <f t="shared" si="154"/>
        <v>171.07830766564967</v>
      </c>
      <c r="O2439" s="113">
        <f t="shared" si="155"/>
        <v>38321.540917105529</v>
      </c>
    </row>
    <row r="2440" spans="1:15" x14ac:dyDescent="0.25">
      <c r="A2440" s="13">
        <v>44451</v>
      </c>
      <c r="B2440" s="97">
        <v>1655</v>
      </c>
      <c r="C2440" t="s">
        <v>223</v>
      </c>
      <c r="D2440" s="94" t="s">
        <v>389</v>
      </c>
      <c r="E2440" t="s">
        <v>17</v>
      </c>
      <c r="F2440" t="s">
        <v>566</v>
      </c>
      <c r="G2440" s="50" t="s">
        <v>559</v>
      </c>
      <c r="H2440" s="50">
        <v>2</v>
      </c>
      <c r="I2440" s="100">
        <v>6.7391919697301583</v>
      </c>
      <c r="J2440" s="52">
        <v>3834.68</v>
      </c>
      <c r="K2440" s="67">
        <f t="shared" si="152"/>
        <v>42769.576916412421</v>
      </c>
      <c r="L2440" s="95">
        <f>+VLOOKUP(E2440,MARGEN!A:B,2,FALSE)</f>
        <v>0.1</v>
      </c>
      <c r="M2440" s="112">
        <f t="shared" si="153"/>
        <v>4276.9576916412425</v>
      </c>
      <c r="N2440" s="113">
        <f t="shared" si="154"/>
        <v>171.07830766564967</v>
      </c>
      <c r="O2440" s="113">
        <f t="shared" si="155"/>
        <v>38321.540917105529</v>
      </c>
    </row>
    <row r="2441" spans="1:15" x14ac:dyDescent="0.25">
      <c r="A2441" s="13">
        <v>44451</v>
      </c>
      <c r="B2441" s="97">
        <v>1655</v>
      </c>
      <c r="C2441" t="s">
        <v>285</v>
      </c>
      <c r="D2441" s="94" t="s">
        <v>534</v>
      </c>
      <c r="E2441" t="s">
        <v>17</v>
      </c>
      <c r="F2441" t="s">
        <v>566</v>
      </c>
      <c r="G2441" s="50" t="s">
        <v>559</v>
      </c>
      <c r="H2441" s="50">
        <v>2</v>
      </c>
      <c r="I2441" s="100">
        <v>6.7391919697301583</v>
      </c>
      <c r="J2441" s="52">
        <v>3834.68</v>
      </c>
      <c r="K2441" s="67">
        <f t="shared" ref="K2441:K2504" si="156">+B2441*I2441*J2441/1000</f>
        <v>42769.576916412421</v>
      </c>
      <c r="L2441" s="95">
        <f>+VLOOKUP(E2441,MARGEN!A:B,2,FALSE)</f>
        <v>0.1</v>
      </c>
      <c r="M2441" s="112">
        <f t="shared" si="153"/>
        <v>4276.9576916412425</v>
      </c>
      <c r="N2441" s="113">
        <f t="shared" si="154"/>
        <v>171.07830766564967</v>
      </c>
      <c r="O2441" s="113">
        <f t="shared" si="155"/>
        <v>38321.540917105529</v>
      </c>
    </row>
    <row r="2442" spans="1:15" x14ac:dyDescent="0.25">
      <c r="A2442" s="13">
        <v>44451</v>
      </c>
      <c r="B2442" s="97">
        <v>1655</v>
      </c>
      <c r="C2442" t="s">
        <v>163</v>
      </c>
      <c r="D2442" s="94" t="s">
        <v>398</v>
      </c>
      <c r="E2442" t="s">
        <v>17</v>
      </c>
      <c r="F2442" t="s">
        <v>562</v>
      </c>
      <c r="G2442" s="50" t="s">
        <v>559</v>
      </c>
      <c r="H2442" s="50">
        <v>2</v>
      </c>
      <c r="I2442" s="100">
        <v>6.7391919697301583</v>
      </c>
      <c r="J2442" s="52">
        <v>3834.68</v>
      </c>
      <c r="K2442" s="67">
        <f t="shared" si="156"/>
        <v>42769.576916412421</v>
      </c>
      <c r="L2442" s="95">
        <f>+VLOOKUP(E2442,MARGEN!A:B,2,FALSE)</f>
        <v>0.1</v>
      </c>
      <c r="M2442" s="112">
        <f t="shared" si="153"/>
        <v>4276.9576916412425</v>
      </c>
      <c r="N2442" s="113">
        <f t="shared" si="154"/>
        <v>171.07830766564967</v>
      </c>
      <c r="O2442" s="113">
        <f t="shared" si="155"/>
        <v>38321.540917105529</v>
      </c>
    </row>
    <row r="2443" spans="1:15" x14ac:dyDescent="0.25">
      <c r="A2443" s="13">
        <v>44451</v>
      </c>
      <c r="B2443" s="97">
        <v>1631</v>
      </c>
      <c r="C2443" s="88" t="s">
        <v>196</v>
      </c>
      <c r="D2443" s="94" t="s">
        <v>413</v>
      </c>
      <c r="E2443" t="s">
        <v>17</v>
      </c>
      <c r="F2443" s="88" t="s">
        <v>562</v>
      </c>
      <c r="G2443" s="50" t="s">
        <v>559</v>
      </c>
      <c r="H2443" s="50">
        <v>2</v>
      </c>
      <c r="I2443" s="100">
        <v>6.7391919697301583</v>
      </c>
      <c r="J2443" s="52">
        <v>3834.68</v>
      </c>
      <c r="K2443" s="67">
        <f t="shared" si="156"/>
        <v>42149.353444512773</v>
      </c>
      <c r="L2443" s="95">
        <f>+VLOOKUP(E2443,MARGEN!A:B,2,FALSE)</f>
        <v>0.1</v>
      </c>
      <c r="M2443" s="112">
        <f t="shared" si="153"/>
        <v>4214.9353444512772</v>
      </c>
      <c r="N2443" s="113">
        <f t="shared" si="154"/>
        <v>168.59741377805111</v>
      </c>
      <c r="O2443" s="113">
        <f t="shared" si="155"/>
        <v>37765.820686283449</v>
      </c>
    </row>
    <row r="2444" spans="1:15" x14ac:dyDescent="0.25">
      <c r="A2444" s="13">
        <v>44451</v>
      </c>
      <c r="B2444" s="97">
        <v>1607</v>
      </c>
      <c r="C2444" t="s">
        <v>286</v>
      </c>
      <c r="D2444" s="94" t="s">
        <v>531</v>
      </c>
      <c r="E2444" t="s">
        <v>17</v>
      </c>
      <c r="F2444" t="s">
        <v>566</v>
      </c>
      <c r="G2444" s="50" t="s">
        <v>559</v>
      </c>
      <c r="H2444" s="50">
        <v>2</v>
      </c>
      <c r="I2444" s="100">
        <v>6.7391919697301583</v>
      </c>
      <c r="J2444" s="52">
        <v>3834.68</v>
      </c>
      <c r="K2444" s="67">
        <f t="shared" si="156"/>
        <v>41529.12997261314</v>
      </c>
      <c r="L2444" s="95">
        <f>+VLOOKUP(E2444,MARGEN!A:B,2,FALSE)</f>
        <v>0.1</v>
      </c>
      <c r="M2444" s="112">
        <f t="shared" si="153"/>
        <v>4152.9129972613146</v>
      </c>
      <c r="N2444" s="113">
        <f t="shared" si="154"/>
        <v>166.11651989045257</v>
      </c>
      <c r="O2444" s="113">
        <f t="shared" si="155"/>
        <v>37210.100455461376</v>
      </c>
    </row>
    <row r="2445" spans="1:15" x14ac:dyDescent="0.25">
      <c r="A2445" s="13">
        <v>44451</v>
      </c>
      <c r="B2445" s="97">
        <v>1559</v>
      </c>
      <c r="C2445" t="s">
        <v>180</v>
      </c>
      <c r="D2445" t="s">
        <v>447</v>
      </c>
      <c r="E2445" t="s">
        <v>17</v>
      </c>
      <c r="F2445" t="s">
        <v>566</v>
      </c>
      <c r="G2445" s="50" t="s">
        <v>559</v>
      </c>
      <c r="H2445" s="50">
        <v>2</v>
      </c>
      <c r="I2445" s="100">
        <v>6.7391919697301583</v>
      </c>
      <c r="J2445" s="52">
        <v>3834.68</v>
      </c>
      <c r="K2445" s="67">
        <f t="shared" si="156"/>
        <v>40288.683028813866</v>
      </c>
      <c r="L2445" s="95">
        <f>+VLOOKUP(E2445,MARGEN!A:B,2,FALSE)</f>
        <v>0.1</v>
      </c>
      <c r="M2445" s="112">
        <f t="shared" si="153"/>
        <v>4028.8683028813866</v>
      </c>
      <c r="N2445" s="113">
        <f t="shared" si="154"/>
        <v>161.15473211525546</v>
      </c>
      <c r="O2445" s="113">
        <f t="shared" si="155"/>
        <v>36098.659993817222</v>
      </c>
    </row>
    <row r="2446" spans="1:15" x14ac:dyDescent="0.25">
      <c r="A2446" s="13">
        <v>44451</v>
      </c>
      <c r="B2446" s="97">
        <v>1559</v>
      </c>
      <c r="C2446" t="s">
        <v>172</v>
      </c>
      <c r="D2446" s="94" t="s">
        <v>371</v>
      </c>
      <c r="E2446" t="s">
        <v>17</v>
      </c>
      <c r="F2446" t="s">
        <v>566</v>
      </c>
      <c r="G2446" s="50" t="s">
        <v>559</v>
      </c>
      <c r="H2446" s="50">
        <v>2</v>
      </c>
      <c r="I2446" s="100">
        <v>6.7391919697301583</v>
      </c>
      <c r="J2446" s="52">
        <v>3834.68</v>
      </c>
      <c r="K2446" s="67">
        <f t="shared" si="156"/>
        <v>40288.683028813866</v>
      </c>
      <c r="L2446" s="95">
        <f>+VLOOKUP(E2446,MARGEN!A:B,2,FALSE)</f>
        <v>0.1</v>
      </c>
      <c r="M2446" s="112">
        <f t="shared" si="153"/>
        <v>4028.8683028813866</v>
      </c>
      <c r="N2446" s="113">
        <f t="shared" si="154"/>
        <v>161.15473211525546</v>
      </c>
      <c r="O2446" s="113">
        <f t="shared" si="155"/>
        <v>36098.659993817222</v>
      </c>
    </row>
    <row r="2447" spans="1:15" x14ac:dyDescent="0.25">
      <c r="A2447" s="13">
        <v>44451</v>
      </c>
      <c r="B2447" s="97">
        <v>1559</v>
      </c>
      <c r="C2447" t="s">
        <v>171</v>
      </c>
      <c r="D2447" s="94" t="s">
        <v>387</v>
      </c>
      <c r="E2447" t="s">
        <v>17</v>
      </c>
      <c r="F2447" t="s">
        <v>566</v>
      </c>
      <c r="G2447" s="50" t="s">
        <v>559</v>
      </c>
      <c r="H2447" s="50">
        <v>2</v>
      </c>
      <c r="I2447" s="100">
        <v>6.7391919697301583</v>
      </c>
      <c r="J2447" s="52">
        <v>3834.68</v>
      </c>
      <c r="K2447" s="67">
        <f t="shared" si="156"/>
        <v>40288.683028813866</v>
      </c>
      <c r="L2447" s="95">
        <f>+VLOOKUP(E2447,MARGEN!A:B,2,FALSE)</f>
        <v>0.1</v>
      </c>
      <c r="M2447" s="112">
        <f t="shared" si="153"/>
        <v>4028.8683028813866</v>
      </c>
      <c r="N2447" s="113">
        <f t="shared" si="154"/>
        <v>161.15473211525546</v>
      </c>
      <c r="O2447" s="113">
        <f t="shared" si="155"/>
        <v>36098.659993817222</v>
      </c>
    </row>
    <row r="2448" spans="1:15" x14ac:dyDescent="0.25">
      <c r="A2448" s="13">
        <v>44451</v>
      </c>
      <c r="B2448" s="97">
        <v>1559</v>
      </c>
      <c r="C2448" t="s">
        <v>176</v>
      </c>
      <c r="D2448" s="94" t="s">
        <v>430</v>
      </c>
      <c r="E2448" t="s">
        <v>17</v>
      </c>
      <c r="F2448" t="s">
        <v>562</v>
      </c>
      <c r="G2448" s="50" t="s">
        <v>559</v>
      </c>
      <c r="H2448" s="50">
        <v>2</v>
      </c>
      <c r="I2448" s="100">
        <v>6.7391919697301583</v>
      </c>
      <c r="J2448" s="52">
        <v>3834.68</v>
      </c>
      <c r="K2448" s="67">
        <f t="shared" si="156"/>
        <v>40288.683028813866</v>
      </c>
      <c r="L2448" s="95">
        <f>+VLOOKUP(E2448,MARGEN!A:B,2,FALSE)</f>
        <v>0.1</v>
      </c>
      <c r="M2448" s="112">
        <f t="shared" si="153"/>
        <v>4028.8683028813866</v>
      </c>
      <c r="N2448" s="113">
        <f t="shared" si="154"/>
        <v>161.15473211525546</v>
      </c>
      <c r="O2448" s="113">
        <f t="shared" si="155"/>
        <v>36098.659993817222</v>
      </c>
    </row>
    <row r="2449" spans="1:15" x14ac:dyDescent="0.25">
      <c r="A2449" s="13">
        <v>44451</v>
      </c>
      <c r="B2449" s="97">
        <v>1535</v>
      </c>
      <c r="C2449" t="s">
        <v>209</v>
      </c>
      <c r="D2449" s="94" t="s">
        <v>441</v>
      </c>
      <c r="E2449" t="s">
        <v>17</v>
      </c>
      <c r="F2449" t="s">
        <v>562</v>
      </c>
      <c r="G2449" s="50" t="s">
        <v>559</v>
      </c>
      <c r="H2449" s="50">
        <v>2</v>
      </c>
      <c r="I2449" s="100">
        <v>6.7391919697301583</v>
      </c>
      <c r="J2449" s="52">
        <v>3834.68</v>
      </c>
      <c r="K2449" s="67">
        <f t="shared" si="156"/>
        <v>39668.459556914233</v>
      </c>
      <c r="L2449" s="95">
        <f>+VLOOKUP(E2449,MARGEN!A:B,2,FALSE)</f>
        <v>0.1</v>
      </c>
      <c r="M2449" s="112">
        <f t="shared" si="153"/>
        <v>3966.8459556914236</v>
      </c>
      <c r="N2449" s="113">
        <f t="shared" si="154"/>
        <v>158.67383822765694</v>
      </c>
      <c r="O2449" s="113">
        <f t="shared" si="155"/>
        <v>35542.939762995149</v>
      </c>
    </row>
    <row r="2450" spans="1:15" x14ac:dyDescent="0.25">
      <c r="A2450" s="13">
        <v>44451</v>
      </c>
      <c r="B2450" s="97">
        <v>1511</v>
      </c>
      <c r="C2450" t="s">
        <v>291</v>
      </c>
      <c r="D2450" s="94" t="s">
        <v>492</v>
      </c>
      <c r="E2450" t="s">
        <v>17</v>
      </c>
      <c r="F2450" t="s">
        <v>566</v>
      </c>
      <c r="G2450" s="50" t="s">
        <v>559</v>
      </c>
      <c r="H2450" s="50">
        <v>2</v>
      </c>
      <c r="I2450" s="100">
        <v>6.7391919697301583</v>
      </c>
      <c r="J2450" s="52">
        <v>3834.68</v>
      </c>
      <c r="K2450" s="67">
        <f t="shared" si="156"/>
        <v>39048.2360850146</v>
      </c>
      <c r="L2450" s="95">
        <f>+VLOOKUP(E2450,MARGEN!A:B,2,FALSE)</f>
        <v>0.1</v>
      </c>
      <c r="M2450" s="112">
        <f t="shared" si="153"/>
        <v>3904.8236085014601</v>
      </c>
      <c r="N2450" s="113">
        <f t="shared" si="154"/>
        <v>156.1929443400584</v>
      </c>
      <c r="O2450" s="113">
        <f t="shared" si="155"/>
        <v>34987.219532173083</v>
      </c>
    </row>
    <row r="2451" spans="1:15" x14ac:dyDescent="0.25">
      <c r="A2451" s="13">
        <v>44451</v>
      </c>
      <c r="B2451" s="97">
        <v>1439</v>
      </c>
      <c r="C2451" t="s">
        <v>137</v>
      </c>
      <c r="D2451" s="94" t="s">
        <v>418</v>
      </c>
      <c r="E2451" t="s">
        <v>17</v>
      </c>
      <c r="F2451" t="s">
        <v>566</v>
      </c>
      <c r="G2451" s="50" t="s">
        <v>559</v>
      </c>
      <c r="H2451" s="50">
        <v>2</v>
      </c>
      <c r="I2451" s="100">
        <v>6.7391919697301583</v>
      </c>
      <c r="J2451" s="52">
        <v>3834.68</v>
      </c>
      <c r="K2451" s="67">
        <f t="shared" si="156"/>
        <v>37187.565669315685</v>
      </c>
      <c r="L2451" s="95">
        <f>+VLOOKUP(E2451,MARGEN!A:B,2,FALSE)</f>
        <v>0.1</v>
      </c>
      <c r="M2451" s="112">
        <f t="shared" si="153"/>
        <v>3718.7565669315686</v>
      </c>
      <c r="N2451" s="113">
        <f t="shared" si="154"/>
        <v>148.75026267726275</v>
      </c>
      <c r="O2451" s="113">
        <f t="shared" si="155"/>
        <v>33320.058839706857</v>
      </c>
    </row>
    <row r="2452" spans="1:15" x14ac:dyDescent="0.25">
      <c r="A2452" s="13">
        <v>44451</v>
      </c>
      <c r="B2452" s="97">
        <v>1439</v>
      </c>
      <c r="C2452" t="s">
        <v>169</v>
      </c>
      <c r="D2452" s="94" t="s">
        <v>351</v>
      </c>
      <c r="E2452" t="s">
        <v>17</v>
      </c>
      <c r="F2452" t="s">
        <v>566</v>
      </c>
      <c r="G2452" s="50" t="s">
        <v>559</v>
      </c>
      <c r="H2452" s="50">
        <v>2</v>
      </c>
      <c r="I2452" s="100">
        <v>6.7391919697301583</v>
      </c>
      <c r="J2452" s="52">
        <v>3834.68</v>
      </c>
      <c r="K2452" s="67">
        <f t="shared" si="156"/>
        <v>37187.565669315685</v>
      </c>
      <c r="L2452" s="95">
        <f>+VLOOKUP(E2452,MARGEN!A:B,2,FALSE)</f>
        <v>0.1</v>
      </c>
      <c r="M2452" s="112">
        <f t="shared" si="153"/>
        <v>3718.7565669315686</v>
      </c>
      <c r="N2452" s="113">
        <f t="shared" si="154"/>
        <v>148.75026267726275</v>
      </c>
      <c r="O2452" s="113">
        <f t="shared" si="155"/>
        <v>33320.058839706857</v>
      </c>
    </row>
    <row r="2453" spans="1:15" x14ac:dyDescent="0.25">
      <c r="A2453" s="13">
        <v>44451</v>
      </c>
      <c r="B2453" s="97">
        <v>1439</v>
      </c>
      <c r="C2453" t="s">
        <v>119</v>
      </c>
      <c r="D2453" s="94" t="s">
        <v>377</v>
      </c>
      <c r="E2453" t="s">
        <v>17</v>
      </c>
      <c r="F2453" t="s">
        <v>562</v>
      </c>
      <c r="G2453" s="50" t="s">
        <v>559</v>
      </c>
      <c r="H2453" s="50">
        <v>2</v>
      </c>
      <c r="I2453" s="100">
        <v>6.7391919697301583</v>
      </c>
      <c r="J2453" s="52">
        <v>3834.68</v>
      </c>
      <c r="K2453" s="67">
        <f t="shared" si="156"/>
        <v>37187.565669315685</v>
      </c>
      <c r="L2453" s="95">
        <f>+VLOOKUP(E2453,MARGEN!A:B,2,FALSE)</f>
        <v>0.1</v>
      </c>
      <c r="M2453" s="112">
        <f t="shared" si="153"/>
        <v>3718.7565669315686</v>
      </c>
      <c r="N2453" s="113">
        <f t="shared" si="154"/>
        <v>148.75026267726275</v>
      </c>
      <c r="O2453" s="113">
        <f t="shared" si="155"/>
        <v>33320.058839706857</v>
      </c>
    </row>
    <row r="2454" spans="1:15" x14ac:dyDescent="0.25">
      <c r="A2454" s="13">
        <v>44451</v>
      </c>
      <c r="B2454" s="97">
        <v>1439</v>
      </c>
      <c r="C2454" t="s">
        <v>168</v>
      </c>
      <c r="D2454" s="94" t="s">
        <v>352</v>
      </c>
      <c r="E2454" t="s">
        <v>17</v>
      </c>
      <c r="F2454" t="s">
        <v>562</v>
      </c>
      <c r="G2454" s="50" t="s">
        <v>559</v>
      </c>
      <c r="H2454" s="50">
        <v>2</v>
      </c>
      <c r="I2454" s="100">
        <v>6.7391919697301583</v>
      </c>
      <c r="J2454" s="52">
        <v>3834.68</v>
      </c>
      <c r="K2454" s="67">
        <f t="shared" si="156"/>
        <v>37187.565669315685</v>
      </c>
      <c r="L2454" s="95">
        <f>+VLOOKUP(E2454,MARGEN!A:B,2,FALSE)</f>
        <v>0.1</v>
      </c>
      <c r="M2454" s="112">
        <f t="shared" si="153"/>
        <v>3718.7565669315686</v>
      </c>
      <c r="N2454" s="113">
        <f t="shared" si="154"/>
        <v>148.75026267726275</v>
      </c>
      <c r="O2454" s="113">
        <f t="shared" si="155"/>
        <v>33320.058839706857</v>
      </c>
    </row>
    <row r="2455" spans="1:15" x14ac:dyDescent="0.25">
      <c r="A2455" s="13">
        <v>44451</v>
      </c>
      <c r="B2455" s="97">
        <v>1415</v>
      </c>
      <c r="C2455" t="s">
        <v>210</v>
      </c>
      <c r="D2455" s="94" t="s">
        <v>402</v>
      </c>
      <c r="E2455" t="s">
        <v>17</v>
      </c>
      <c r="F2455" t="s">
        <v>566</v>
      </c>
      <c r="G2455" s="50" t="s">
        <v>559</v>
      </c>
      <c r="H2455" s="50">
        <v>2</v>
      </c>
      <c r="I2455" s="100">
        <v>6.7391919697301583</v>
      </c>
      <c r="J2455" s="52">
        <v>3834.68</v>
      </c>
      <c r="K2455" s="67">
        <f t="shared" si="156"/>
        <v>36567.342197416052</v>
      </c>
      <c r="L2455" s="95">
        <f>+VLOOKUP(E2455,MARGEN!A:B,2,FALSE)</f>
        <v>0.1</v>
      </c>
      <c r="M2455" s="112">
        <f t="shared" si="153"/>
        <v>3656.7342197416056</v>
      </c>
      <c r="N2455" s="113">
        <f t="shared" si="154"/>
        <v>146.26936878966421</v>
      </c>
      <c r="O2455" s="113">
        <f t="shared" si="155"/>
        <v>32764.33860888478</v>
      </c>
    </row>
    <row r="2456" spans="1:15" x14ac:dyDescent="0.25">
      <c r="A2456" s="13">
        <v>44451</v>
      </c>
      <c r="B2456" s="97">
        <v>1391</v>
      </c>
      <c r="C2456" t="s">
        <v>294</v>
      </c>
      <c r="D2456" s="94" t="s">
        <v>527</v>
      </c>
      <c r="E2456" t="s">
        <v>17</v>
      </c>
      <c r="F2456" t="s">
        <v>566</v>
      </c>
      <c r="G2456" s="50" t="s">
        <v>559</v>
      </c>
      <c r="H2456" s="50">
        <v>2</v>
      </c>
      <c r="I2456" s="100">
        <v>6.7391919697301583</v>
      </c>
      <c r="J2456" s="52">
        <v>3834.68</v>
      </c>
      <c r="K2456" s="67">
        <f t="shared" si="156"/>
        <v>35947.118725516419</v>
      </c>
      <c r="L2456" s="95">
        <f>+VLOOKUP(E2456,MARGEN!A:B,2,FALSE)</f>
        <v>0.1</v>
      </c>
      <c r="M2456" s="112">
        <f t="shared" si="153"/>
        <v>3594.711872551642</v>
      </c>
      <c r="N2456" s="113">
        <f t="shared" si="154"/>
        <v>143.78847490206567</v>
      </c>
      <c r="O2456" s="113">
        <f t="shared" si="155"/>
        <v>32208.618378062711</v>
      </c>
    </row>
    <row r="2457" spans="1:15" x14ac:dyDescent="0.25">
      <c r="A2457" s="13">
        <v>44451</v>
      </c>
      <c r="B2457" s="97">
        <v>1367</v>
      </c>
      <c r="C2457" t="s">
        <v>200</v>
      </c>
      <c r="D2457" s="94" t="s">
        <v>428</v>
      </c>
      <c r="E2457" t="s">
        <v>17</v>
      </c>
      <c r="F2457" t="s">
        <v>566</v>
      </c>
      <c r="G2457" s="50" t="s">
        <v>559</v>
      </c>
      <c r="H2457" s="50">
        <v>2</v>
      </c>
      <c r="I2457" s="100">
        <v>6.7391919697301583</v>
      </c>
      <c r="J2457" s="52">
        <v>3834.68</v>
      </c>
      <c r="K2457" s="67">
        <f t="shared" si="156"/>
        <v>35326.895253616778</v>
      </c>
      <c r="L2457" s="95">
        <f>+VLOOKUP(E2457,MARGEN!A:B,2,FALSE)</f>
        <v>0.1</v>
      </c>
      <c r="M2457" s="112">
        <f t="shared" si="153"/>
        <v>3532.6895253616781</v>
      </c>
      <c r="N2457" s="113">
        <f t="shared" si="154"/>
        <v>141.3075810144671</v>
      </c>
      <c r="O2457" s="113">
        <f t="shared" si="155"/>
        <v>31652.898147240634</v>
      </c>
    </row>
    <row r="2458" spans="1:15" x14ac:dyDescent="0.25">
      <c r="A2458" s="13">
        <v>44451</v>
      </c>
      <c r="B2458" s="97">
        <v>1367</v>
      </c>
      <c r="C2458" t="s">
        <v>152</v>
      </c>
      <c r="D2458" s="94" t="s">
        <v>425</v>
      </c>
      <c r="E2458" t="s">
        <v>17</v>
      </c>
      <c r="F2458" t="s">
        <v>566</v>
      </c>
      <c r="G2458" s="50" t="s">
        <v>559</v>
      </c>
      <c r="H2458" s="50">
        <v>2</v>
      </c>
      <c r="I2458" s="100">
        <v>6.7391919697301583</v>
      </c>
      <c r="J2458" s="52">
        <v>3834.68</v>
      </c>
      <c r="K2458" s="67">
        <f t="shared" si="156"/>
        <v>35326.895253616778</v>
      </c>
      <c r="L2458" s="95">
        <f>+VLOOKUP(E2458,MARGEN!A:B,2,FALSE)</f>
        <v>0.1</v>
      </c>
      <c r="M2458" s="112">
        <f t="shared" si="153"/>
        <v>3532.6895253616781</v>
      </c>
      <c r="N2458" s="113">
        <f t="shared" si="154"/>
        <v>141.3075810144671</v>
      </c>
      <c r="O2458" s="113">
        <f t="shared" si="155"/>
        <v>31652.898147240634</v>
      </c>
    </row>
    <row r="2459" spans="1:15" x14ac:dyDescent="0.25">
      <c r="A2459" s="13">
        <v>44451</v>
      </c>
      <c r="B2459" s="97">
        <v>1367</v>
      </c>
      <c r="C2459" t="s">
        <v>173</v>
      </c>
      <c r="D2459" s="94" t="s">
        <v>451</v>
      </c>
      <c r="E2459" t="s">
        <v>17</v>
      </c>
      <c r="F2459" t="s">
        <v>562</v>
      </c>
      <c r="G2459" s="50" t="s">
        <v>559</v>
      </c>
      <c r="H2459" s="50">
        <v>2</v>
      </c>
      <c r="I2459" s="100">
        <v>6.7391919697301583</v>
      </c>
      <c r="J2459" s="52">
        <v>3834.68</v>
      </c>
      <c r="K2459" s="67">
        <f t="shared" si="156"/>
        <v>35326.895253616778</v>
      </c>
      <c r="L2459" s="95">
        <f>+VLOOKUP(E2459,MARGEN!A:B,2,FALSE)</f>
        <v>0.1</v>
      </c>
      <c r="M2459" s="112">
        <f t="shared" si="153"/>
        <v>3532.6895253616781</v>
      </c>
      <c r="N2459" s="113">
        <f t="shared" si="154"/>
        <v>141.3075810144671</v>
      </c>
      <c r="O2459" s="113">
        <f t="shared" si="155"/>
        <v>31652.898147240634</v>
      </c>
    </row>
    <row r="2460" spans="1:15" x14ac:dyDescent="0.25">
      <c r="A2460" s="13">
        <v>44451</v>
      </c>
      <c r="B2460" s="97">
        <v>1343</v>
      </c>
      <c r="C2460" t="s">
        <v>297</v>
      </c>
      <c r="D2460" s="94" t="s">
        <v>526</v>
      </c>
      <c r="E2460" t="s">
        <v>17</v>
      </c>
      <c r="F2460" t="s">
        <v>566</v>
      </c>
      <c r="G2460" s="50" t="s">
        <v>559</v>
      </c>
      <c r="H2460" s="50">
        <v>2</v>
      </c>
      <c r="I2460" s="100">
        <v>6.7391919697301583</v>
      </c>
      <c r="J2460" s="52">
        <v>3834.68</v>
      </c>
      <c r="K2460" s="67">
        <f t="shared" si="156"/>
        <v>34706.671781717145</v>
      </c>
      <c r="L2460" s="95">
        <f>+VLOOKUP(E2460,MARGEN!A:B,2,FALSE)</f>
        <v>0.1</v>
      </c>
      <c r="M2460" s="112">
        <f t="shared" si="153"/>
        <v>3470.6671781717146</v>
      </c>
      <c r="N2460" s="113">
        <f t="shared" si="154"/>
        <v>138.82668712686859</v>
      </c>
      <c r="O2460" s="113">
        <f t="shared" si="155"/>
        <v>31097.177916418561</v>
      </c>
    </row>
    <row r="2461" spans="1:15" x14ac:dyDescent="0.25">
      <c r="A2461" s="13">
        <v>44451</v>
      </c>
      <c r="B2461" s="97">
        <v>1319</v>
      </c>
      <c r="C2461" t="s">
        <v>292</v>
      </c>
      <c r="D2461" s="94" t="s">
        <v>535</v>
      </c>
      <c r="E2461" t="s">
        <v>17</v>
      </c>
      <c r="F2461" t="s">
        <v>566</v>
      </c>
      <c r="G2461" s="50" t="s">
        <v>559</v>
      </c>
      <c r="H2461" s="50">
        <v>2</v>
      </c>
      <c r="I2461" s="100">
        <v>6.7391919697301583</v>
      </c>
      <c r="J2461" s="52">
        <v>3834.68</v>
      </c>
      <c r="K2461" s="67">
        <f t="shared" si="156"/>
        <v>34086.448309817511</v>
      </c>
      <c r="L2461" s="95">
        <f>+VLOOKUP(E2461,MARGEN!A:B,2,FALSE)</f>
        <v>0.1</v>
      </c>
      <c r="M2461" s="112">
        <f t="shared" si="153"/>
        <v>3408.6448309817515</v>
      </c>
      <c r="N2461" s="113">
        <f t="shared" si="154"/>
        <v>136.34579323927005</v>
      </c>
      <c r="O2461" s="113">
        <f t="shared" si="155"/>
        <v>30541.457685596492</v>
      </c>
    </row>
    <row r="2462" spans="1:15" x14ac:dyDescent="0.25">
      <c r="A2462" s="13">
        <v>44451</v>
      </c>
      <c r="B2462" s="97">
        <v>1295</v>
      </c>
      <c r="C2462" t="s">
        <v>302</v>
      </c>
      <c r="D2462" s="94" t="s">
        <v>538</v>
      </c>
      <c r="E2462" t="s">
        <v>17</v>
      </c>
      <c r="F2462" t="s">
        <v>562</v>
      </c>
      <c r="G2462" s="50" t="s">
        <v>559</v>
      </c>
      <c r="H2462" s="50">
        <v>2</v>
      </c>
      <c r="I2462" s="100">
        <v>6.7391919697301583</v>
      </c>
      <c r="J2462" s="52">
        <v>3834.68</v>
      </c>
      <c r="K2462" s="67">
        <f t="shared" si="156"/>
        <v>33466.224837917871</v>
      </c>
      <c r="L2462" s="95">
        <f>+VLOOKUP(E2462,MARGEN!A:B,2,FALSE)</f>
        <v>0.1</v>
      </c>
      <c r="M2462" s="112">
        <f t="shared" si="153"/>
        <v>3346.6224837917871</v>
      </c>
      <c r="N2462" s="113">
        <f t="shared" si="154"/>
        <v>133.86489935167148</v>
      </c>
      <c r="O2462" s="113">
        <f t="shared" si="155"/>
        <v>29985.737454774411</v>
      </c>
    </row>
    <row r="2463" spans="1:15" x14ac:dyDescent="0.25">
      <c r="A2463" s="13">
        <v>44451</v>
      </c>
      <c r="B2463" s="97">
        <v>1271</v>
      </c>
      <c r="C2463" t="s">
        <v>183</v>
      </c>
      <c r="D2463" t="s">
        <v>390</v>
      </c>
      <c r="E2463" t="s">
        <v>17</v>
      </c>
      <c r="F2463" t="s">
        <v>562</v>
      </c>
      <c r="G2463" s="50" t="s">
        <v>559</v>
      </c>
      <c r="H2463" s="50">
        <v>2</v>
      </c>
      <c r="I2463" s="100">
        <v>6.7391919697301583</v>
      </c>
      <c r="J2463" s="52">
        <v>3834.68</v>
      </c>
      <c r="K2463" s="67">
        <f t="shared" si="156"/>
        <v>32846.00136601823</v>
      </c>
      <c r="L2463" s="95">
        <f>+VLOOKUP(E2463,MARGEN!A:B,2,FALSE)</f>
        <v>0.1</v>
      </c>
      <c r="M2463" s="112">
        <f t="shared" si="153"/>
        <v>3284.6001366018231</v>
      </c>
      <c r="N2463" s="113">
        <f t="shared" si="154"/>
        <v>131.38400546407291</v>
      </c>
      <c r="O2463" s="113">
        <f t="shared" si="155"/>
        <v>29430.017223952334</v>
      </c>
    </row>
    <row r="2464" spans="1:15" x14ac:dyDescent="0.25">
      <c r="A2464" s="13">
        <v>44451</v>
      </c>
      <c r="B2464" s="97">
        <v>1223</v>
      </c>
      <c r="C2464" t="s">
        <v>202</v>
      </c>
      <c r="D2464" s="94" t="s">
        <v>436</v>
      </c>
      <c r="E2464" t="s">
        <v>17</v>
      </c>
      <c r="F2464" t="s">
        <v>566</v>
      </c>
      <c r="G2464" s="50" t="s">
        <v>559</v>
      </c>
      <c r="H2464" s="50">
        <v>2</v>
      </c>
      <c r="I2464" s="100">
        <v>6.7391919697301583</v>
      </c>
      <c r="J2464" s="52">
        <v>3834.68</v>
      </c>
      <c r="K2464" s="67">
        <f t="shared" si="156"/>
        <v>31605.55442221896</v>
      </c>
      <c r="L2464" s="95">
        <f>+VLOOKUP(E2464,MARGEN!A:B,2,FALSE)</f>
        <v>0.1</v>
      </c>
      <c r="M2464" s="112">
        <f t="shared" si="153"/>
        <v>3160.5554422218961</v>
      </c>
      <c r="N2464" s="113">
        <f t="shared" si="154"/>
        <v>126.42221768887585</v>
      </c>
      <c r="O2464" s="113">
        <f t="shared" si="155"/>
        <v>28318.576762308188</v>
      </c>
    </row>
    <row r="2465" spans="1:15" x14ac:dyDescent="0.25">
      <c r="A2465" s="13">
        <v>44451</v>
      </c>
      <c r="B2465" s="97">
        <v>1199</v>
      </c>
      <c r="C2465" t="s">
        <v>303</v>
      </c>
      <c r="D2465" s="94" t="s">
        <v>539</v>
      </c>
      <c r="E2465" t="s">
        <v>17</v>
      </c>
      <c r="F2465" t="s">
        <v>566</v>
      </c>
      <c r="G2465" s="50" t="s">
        <v>559</v>
      </c>
      <c r="H2465" s="50">
        <v>2</v>
      </c>
      <c r="I2465" s="100">
        <v>6.7391919697301583</v>
      </c>
      <c r="J2465" s="52">
        <v>3834.68</v>
      </c>
      <c r="K2465" s="67">
        <f t="shared" si="156"/>
        <v>30985.330950319327</v>
      </c>
      <c r="L2465" s="95">
        <f>+VLOOKUP(E2465,MARGEN!A:B,2,FALSE)</f>
        <v>0.1</v>
      </c>
      <c r="M2465" s="112">
        <f t="shared" si="153"/>
        <v>3098.533095031933</v>
      </c>
      <c r="N2465" s="113">
        <f t="shared" si="154"/>
        <v>123.94132380127731</v>
      </c>
      <c r="O2465" s="113">
        <f t="shared" si="155"/>
        <v>27762.856531486115</v>
      </c>
    </row>
    <row r="2466" spans="1:15" x14ac:dyDescent="0.25">
      <c r="A2466" s="13">
        <v>44451</v>
      </c>
      <c r="B2466" s="97">
        <v>1199</v>
      </c>
      <c r="C2466" t="s">
        <v>199</v>
      </c>
      <c r="D2466" s="94" t="s">
        <v>414</v>
      </c>
      <c r="E2466" t="s">
        <v>17</v>
      </c>
      <c r="F2466" t="s">
        <v>566</v>
      </c>
      <c r="G2466" s="50" t="s">
        <v>559</v>
      </c>
      <c r="H2466" s="50">
        <v>2</v>
      </c>
      <c r="I2466" s="100">
        <v>6.7391919697301583</v>
      </c>
      <c r="J2466" s="52">
        <v>3834.68</v>
      </c>
      <c r="K2466" s="67">
        <f t="shared" si="156"/>
        <v>30985.330950319327</v>
      </c>
      <c r="L2466" s="95">
        <f>+VLOOKUP(E2466,MARGEN!A:B,2,FALSE)</f>
        <v>0.1</v>
      </c>
      <c r="M2466" s="112">
        <f t="shared" si="153"/>
        <v>3098.533095031933</v>
      </c>
      <c r="N2466" s="113">
        <f t="shared" si="154"/>
        <v>123.94132380127731</v>
      </c>
      <c r="O2466" s="113">
        <f t="shared" si="155"/>
        <v>27762.856531486115</v>
      </c>
    </row>
    <row r="2467" spans="1:15" x14ac:dyDescent="0.25">
      <c r="A2467" s="13">
        <v>44451</v>
      </c>
      <c r="B2467" s="97">
        <v>1199</v>
      </c>
      <c r="C2467" t="s">
        <v>298</v>
      </c>
      <c r="D2467" s="94" t="s">
        <v>536</v>
      </c>
      <c r="E2467" t="s">
        <v>17</v>
      </c>
      <c r="F2467" t="s">
        <v>562</v>
      </c>
      <c r="G2467" s="50" t="s">
        <v>559</v>
      </c>
      <c r="H2467" s="50">
        <v>2</v>
      </c>
      <c r="I2467" s="100">
        <v>6.7391919697301583</v>
      </c>
      <c r="J2467" s="52">
        <v>3834.68</v>
      </c>
      <c r="K2467" s="67">
        <f t="shared" si="156"/>
        <v>30985.330950319327</v>
      </c>
      <c r="L2467" s="95">
        <f>+VLOOKUP(E2467,MARGEN!A:B,2,FALSE)</f>
        <v>0.1</v>
      </c>
      <c r="M2467" s="112">
        <f t="shared" si="153"/>
        <v>3098.533095031933</v>
      </c>
      <c r="N2467" s="113">
        <f t="shared" si="154"/>
        <v>123.94132380127731</v>
      </c>
      <c r="O2467" s="113">
        <f t="shared" si="155"/>
        <v>27762.856531486115</v>
      </c>
    </row>
    <row r="2468" spans="1:15" x14ac:dyDescent="0.25">
      <c r="A2468" s="13">
        <v>44451</v>
      </c>
      <c r="B2468" s="97">
        <v>1175</v>
      </c>
      <c r="C2468" t="s">
        <v>151</v>
      </c>
      <c r="D2468" t="s">
        <v>394</v>
      </c>
      <c r="E2468" t="s">
        <v>17</v>
      </c>
      <c r="F2468" t="s">
        <v>566</v>
      </c>
      <c r="G2468" s="50" t="s">
        <v>559</v>
      </c>
      <c r="H2468" s="50">
        <v>2</v>
      </c>
      <c r="I2468" s="100">
        <v>6.7391919697301583</v>
      </c>
      <c r="J2468" s="52">
        <v>3834.68</v>
      </c>
      <c r="K2468" s="67">
        <f t="shared" si="156"/>
        <v>30365.10747841969</v>
      </c>
      <c r="L2468" s="95">
        <f>+VLOOKUP(E2468,MARGEN!A:B,2,FALSE)</f>
        <v>0.1</v>
      </c>
      <c r="M2468" s="112">
        <f t="shared" si="153"/>
        <v>3036.5107478419691</v>
      </c>
      <c r="N2468" s="113">
        <f t="shared" si="154"/>
        <v>121.46042991367877</v>
      </c>
      <c r="O2468" s="113">
        <f t="shared" si="155"/>
        <v>27207.136300664042</v>
      </c>
    </row>
    <row r="2469" spans="1:15" x14ac:dyDescent="0.25">
      <c r="A2469" s="13">
        <v>44451</v>
      </c>
      <c r="B2469" s="97">
        <v>1175</v>
      </c>
      <c r="C2469" t="s">
        <v>308</v>
      </c>
      <c r="D2469" s="94" t="s">
        <v>500</v>
      </c>
      <c r="E2469" t="s">
        <v>17</v>
      </c>
      <c r="F2469" t="s">
        <v>566</v>
      </c>
      <c r="G2469" s="50" t="s">
        <v>559</v>
      </c>
      <c r="H2469" s="50">
        <v>2</v>
      </c>
      <c r="I2469" s="100">
        <v>6.7391919697301583</v>
      </c>
      <c r="J2469" s="52">
        <v>3834.68</v>
      </c>
      <c r="K2469" s="67">
        <f t="shared" si="156"/>
        <v>30365.10747841969</v>
      </c>
      <c r="L2469" s="95">
        <f>+VLOOKUP(E2469,MARGEN!A:B,2,FALSE)</f>
        <v>0.1</v>
      </c>
      <c r="M2469" s="112">
        <f t="shared" si="153"/>
        <v>3036.5107478419691</v>
      </c>
      <c r="N2469" s="113">
        <f t="shared" si="154"/>
        <v>121.46042991367877</v>
      </c>
      <c r="O2469" s="113">
        <f t="shared" si="155"/>
        <v>27207.136300664042</v>
      </c>
    </row>
    <row r="2470" spans="1:15" x14ac:dyDescent="0.25">
      <c r="A2470" s="13">
        <v>44451</v>
      </c>
      <c r="B2470" s="97">
        <v>1151</v>
      </c>
      <c r="C2470" t="s">
        <v>184</v>
      </c>
      <c r="D2470" s="94" t="s">
        <v>443</v>
      </c>
      <c r="E2470" t="s">
        <v>17</v>
      </c>
      <c r="F2470" t="s">
        <v>566</v>
      </c>
      <c r="G2470" s="50" t="s">
        <v>559</v>
      </c>
      <c r="H2470" s="50">
        <v>2</v>
      </c>
      <c r="I2470" s="100">
        <v>6.7391919697301583</v>
      </c>
      <c r="J2470" s="52">
        <v>3834.68</v>
      </c>
      <c r="K2470" s="67">
        <f t="shared" si="156"/>
        <v>29744.884006520053</v>
      </c>
      <c r="L2470" s="95">
        <f>+VLOOKUP(E2470,MARGEN!A:B,2,FALSE)</f>
        <v>0.1</v>
      </c>
      <c r="M2470" s="112">
        <f t="shared" si="153"/>
        <v>2974.4884006520056</v>
      </c>
      <c r="N2470" s="113">
        <f t="shared" si="154"/>
        <v>118.97953602608021</v>
      </c>
      <c r="O2470" s="113">
        <f t="shared" si="155"/>
        <v>26651.416069841969</v>
      </c>
    </row>
    <row r="2471" spans="1:15" x14ac:dyDescent="0.25">
      <c r="A2471" s="13">
        <v>44451</v>
      </c>
      <c r="B2471" s="97">
        <v>1151</v>
      </c>
      <c r="C2471" t="s">
        <v>201</v>
      </c>
      <c r="D2471" s="94" t="s">
        <v>374</v>
      </c>
      <c r="E2471" t="s">
        <v>17</v>
      </c>
      <c r="F2471" t="s">
        <v>566</v>
      </c>
      <c r="G2471" s="50" t="s">
        <v>559</v>
      </c>
      <c r="H2471" s="50">
        <v>2</v>
      </c>
      <c r="I2471" s="100">
        <v>6.7391919697301583</v>
      </c>
      <c r="J2471" s="52">
        <v>3834.68</v>
      </c>
      <c r="K2471" s="67">
        <f t="shared" si="156"/>
        <v>29744.884006520053</v>
      </c>
      <c r="L2471" s="95">
        <f>+VLOOKUP(E2471,MARGEN!A:B,2,FALSE)</f>
        <v>0.1</v>
      </c>
      <c r="M2471" s="112">
        <f t="shared" si="153"/>
        <v>2974.4884006520056</v>
      </c>
      <c r="N2471" s="113">
        <f t="shared" si="154"/>
        <v>118.97953602608021</v>
      </c>
      <c r="O2471" s="113">
        <f t="shared" si="155"/>
        <v>26651.416069841969</v>
      </c>
    </row>
    <row r="2472" spans="1:15" x14ac:dyDescent="0.25">
      <c r="A2472" s="13">
        <v>44451</v>
      </c>
      <c r="B2472" s="97">
        <v>1127</v>
      </c>
      <c r="C2472" t="s">
        <v>211</v>
      </c>
      <c r="D2472" s="94" t="s">
        <v>382</v>
      </c>
      <c r="E2472" t="s">
        <v>17</v>
      </c>
      <c r="F2472" t="s">
        <v>566</v>
      </c>
      <c r="G2472" s="50" t="s">
        <v>559</v>
      </c>
      <c r="H2472" s="50">
        <v>2</v>
      </c>
      <c r="I2472" s="100">
        <v>6.7391919697301583</v>
      </c>
      <c r="J2472" s="52">
        <v>3834.68</v>
      </c>
      <c r="K2472" s="67">
        <f t="shared" si="156"/>
        <v>29124.660534620416</v>
      </c>
      <c r="L2472" s="95">
        <f>+VLOOKUP(E2472,MARGEN!A:B,2,FALSE)</f>
        <v>0.1</v>
      </c>
      <c r="M2472" s="112">
        <f t="shared" si="153"/>
        <v>2912.4660534620416</v>
      </c>
      <c r="N2472" s="113">
        <f t="shared" si="154"/>
        <v>116.49864213848167</v>
      </c>
      <c r="O2472" s="113">
        <f t="shared" si="155"/>
        <v>26095.695839019892</v>
      </c>
    </row>
    <row r="2473" spans="1:15" x14ac:dyDescent="0.25">
      <c r="A2473" s="13">
        <v>44451</v>
      </c>
      <c r="B2473" s="97">
        <v>1127</v>
      </c>
      <c r="C2473" t="s">
        <v>299</v>
      </c>
      <c r="D2473" s="94" t="s">
        <v>537</v>
      </c>
      <c r="E2473" t="s">
        <v>17</v>
      </c>
      <c r="F2473" t="s">
        <v>566</v>
      </c>
      <c r="G2473" s="50" t="s">
        <v>559</v>
      </c>
      <c r="H2473" s="50">
        <v>2</v>
      </c>
      <c r="I2473" s="100">
        <v>6.7391919697301583</v>
      </c>
      <c r="J2473" s="52">
        <v>3834.68</v>
      </c>
      <c r="K2473" s="67">
        <f t="shared" si="156"/>
        <v>29124.660534620416</v>
      </c>
      <c r="L2473" s="95">
        <f>+VLOOKUP(E2473,MARGEN!A:B,2,FALSE)</f>
        <v>0.1</v>
      </c>
      <c r="M2473" s="112">
        <f t="shared" si="153"/>
        <v>2912.4660534620416</v>
      </c>
      <c r="N2473" s="113">
        <f t="shared" si="154"/>
        <v>116.49864213848167</v>
      </c>
      <c r="O2473" s="113">
        <f t="shared" si="155"/>
        <v>26095.695839019892</v>
      </c>
    </row>
    <row r="2474" spans="1:15" x14ac:dyDescent="0.25">
      <c r="A2474" s="13">
        <v>44451</v>
      </c>
      <c r="B2474" s="97">
        <v>719</v>
      </c>
      <c r="C2474" t="s">
        <v>181</v>
      </c>
      <c r="D2474" t="s">
        <v>415</v>
      </c>
      <c r="E2474" t="s">
        <v>17</v>
      </c>
      <c r="F2474" t="s">
        <v>566</v>
      </c>
      <c r="G2474" s="50" t="s">
        <v>559</v>
      </c>
      <c r="H2474" s="50">
        <v>2</v>
      </c>
      <c r="I2474" s="100">
        <v>6.7391919697301583</v>
      </c>
      <c r="J2474" s="52">
        <v>3834.68</v>
      </c>
      <c r="K2474" s="67">
        <f t="shared" si="156"/>
        <v>18580.861512326603</v>
      </c>
      <c r="L2474" s="95">
        <f>+VLOOKUP(E2474,MARGEN!A:B,2,FALSE)</f>
        <v>0.1</v>
      </c>
      <c r="M2474" s="112">
        <f t="shared" si="153"/>
        <v>1858.0861512326603</v>
      </c>
      <c r="N2474" s="113">
        <f t="shared" si="154"/>
        <v>74.323446049306412</v>
      </c>
      <c r="O2474" s="113">
        <f t="shared" si="155"/>
        <v>16648.451915044636</v>
      </c>
    </row>
    <row r="2475" spans="1:15" x14ac:dyDescent="0.25">
      <c r="A2475" s="13">
        <v>44452</v>
      </c>
      <c r="B2475" s="97">
        <v>8254</v>
      </c>
      <c r="C2475" t="s">
        <v>164</v>
      </c>
      <c r="D2475" s="94" t="s">
        <v>445</v>
      </c>
      <c r="E2475" t="s">
        <v>17</v>
      </c>
      <c r="F2475" t="s">
        <v>551</v>
      </c>
      <c r="G2475" s="50" t="s">
        <v>205</v>
      </c>
      <c r="H2475" s="50">
        <v>2</v>
      </c>
      <c r="I2475" s="100">
        <v>6.7391919697301583</v>
      </c>
      <c r="J2475" s="52">
        <v>3834.68</v>
      </c>
      <c r="K2475" s="67">
        <f t="shared" si="156"/>
        <v>213305.18904414988</v>
      </c>
      <c r="L2475" s="95">
        <f>+VLOOKUP(E2475,MARGEN!A:B,2,FALSE)</f>
        <v>0.1</v>
      </c>
      <c r="M2475" s="112">
        <f t="shared" si="153"/>
        <v>21330.518904414988</v>
      </c>
      <c r="N2475" s="113">
        <f t="shared" si="154"/>
        <v>853.22075617659948</v>
      </c>
      <c r="O2475" s="113">
        <f t="shared" si="155"/>
        <v>191121.4493835583</v>
      </c>
    </row>
    <row r="2476" spans="1:15" x14ac:dyDescent="0.25">
      <c r="A2476" s="13">
        <v>44452</v>
      </c>
      <c r="B2476" s="97">
        <v>6766</v>
      </c>
      <c r="C2476" t="s">
        <v>150</v>
      </c>
      <c r="D2476" s="94" t="s">
        <v>357</v>
      </c>
      <c r="E2476" t="s">
        <v>17</v>
      </c>
      <c r="F2476" t="s">
        <v>551</v>
      </c>
      <c r="G2476" s="50" t="s">
        <v>205</v>
      </c>
      <c r="H2476" s="50">
        <v>2</v>
      </c>
      <c r="I2476" s="100">
        <v>6.7391919697301583</v>
      </c>
      <c r="J2476" s="52">
        <v>3834.68</v>
      </c>
      <c r="K2476" s="67">
        <f t="shared" si="156"/>
        <v>174851.33378637244</v>
      </c>
      <c r="L2476" s="95">
        <f>+VLOOKUP(E2476,MARGEN!A:B,2,FALSE)</f>
        <v>0.1</v>
      </c>
      <c r="M2476" s="112">
        <f t="shared" si="153"/>
        <v>17485.133378637245</v>
      </c>
      <c r="N2476" s="113">
        <f t="shared" si="154"/>
        <v>699.40533514548974</v>
      </c>
      <c r="O2476" s="113">
        <f t="shared" si="155"/>
        <v>156666.79507258971</v>
      </c>
    </row>
    <row r="2477" spans="1:15" x14ac:dyDescent="0.25">
      <c r="A2477" s="13">
        <v>44452</v>
      </c>
      <c r="B2477" s="97">
        <v>5950</v>
      </c>
      <c r="C2477" t="s">
        <v>279</v>
      </c>
      <c r="D2477" s="94" t="s">
        <v>493</v>
      </c>
      <c r="E2477" t="s">
        <v>17</v>
      </c>
      <c r="F2477" t="s">
        <v>551</v>
      </c>
      <c r="G2477" s="50" t="s">
        <v>205</v>
      </c>
      <c r="H2477" s="50">
        <v>2</v>
      </c>
      <c r="I2477" s="100">
        <v>6.7391919697301583</v>
      </c>
      <c r="J2477" s="52">
        <v>3834.68</v>
      </c>
      <c r="K2477" s="67">
        <f t="shared" si="156"/>
        <v>153763.73574178483</v>
      </c>
      <c r="L2477" s="95">
        <f>+VLOOKUP(E2477,MARGEN!A:B,2,FALSE)</f>
        <v>0.1</v>
      </c>
      <c r="M2477" s="112">
        <f t="shared" si="153"/>
        <v>15376.373574178484</v>
      </c>
      <c r="N2477" s="113">
        <f t="shared" si="154"/>
        <v>615.05494296713925</v>
      </c>
      <c r="O2477" s="113">
        <f t="shared" si="155"/>
        <v>137772.3072246392</v>
      </c>
    </row>
    <row r="2478" spans="1:15" x14ac:dyDescent="0.25">
      <c r="A2478" s="13">
        <v>44452</v>
      </c>
      <c r="B2478" s="97">
        <v>5278</v>
      </c>
      <c r="C2478" t="s">
        <v>278</v>
      </c>
      <c r="D2478" s="94" t="s">
        <v>453</v>
      </c>
      <c r="E2478" t="s">
        <v>17</v>
      </c>
      <c r="F2478" t="s">
        <v>551</v>
      </c>
      <c r="G2478" s="50" t="s">
        <v>205</v>
      </c>
      <c r="H2478" s="50">
        <v>2</v>
      </c>
      <c r="I2478" s="100">
        <v>6.7391919697301583</v>
      </c>
      <c r="J2478" s="52">
        <v>3834.68</v>
      </c>
      <c r="K2478" s="67">
        <f t="shared" si="156"/>
        <v>136397.47852859498</v>
      </c>
      <c r="L2478" s="95">
        <f>+VLOOKUP(E2478,MARGEN!A:B,2,FALSE)</f>
        <v>0.1</v>
      </c>
      <c r="M2478" s="112">
        <f t="shared" si="153"/>
        <v>13639.747852859498</v>
      </c>
      <c r="N2478" s="113">
        <f t="shared" si="154"/>
        <v>545.58991411437989</v>
      </c>
      <c r="O2478" s="113">
        <f t="shared" si="155"/>
        <v>122212.14076162111</v>
      </c>
    </row>
    <row r="2479" spans="1:15" x14ac:dyDescent="0.25">
      <c r="A2479" s="13">
        <v>44452</v>
      </c>
      <c r="B2479" s="97">
        <v>4079</v>
      </c>
      <c r="C2479" t="s">
        <v>148</v>
      </c>
      <c r="D2479" s="94" t="s">
        <v>323</v>
      </c>
      <c r="E2479" t="s">
        <v>17</v>
      </c>
      <c r="F2479" t="s">
        <v>551</v>
      </c>
      <c r="G2479" s="50" t="s">
        <v>205</v>
      </c>
      <c r="H2479" s="50">
        <v>2</v>
      </c>
      <c r="I2479" s="100">
        <v>6.7391919697301583</v>
      </c>
      <c r="J2479" s="52">
        <v>3834.68</v>
      </c>
      <c r="K2479" s="67">
        <f t="shared" si="156"/>
        <v>105412.14757827566</v>
      </c>
      <c r="L2479" s="95">
        <f>+VLOOKUP(E2479,MARGEN!A:B,2,FALSE)</f>
        <v>0.1</v>
      </c>
      <c r="M2479" s="112">
        <f t="shared" si="153"/>
        <v>10541.214757827567</v>
      </c>
      <c r="N2479" s="113">
        <f t="shared" si="154"/>
        <v>421.64859031310266</v>
      </c>
      <c r="O2479" s="113">
        <f t="shared" si="155"/>
        <v>94449.284230135003</v>
      </c>
    </row>
    <row r="2480" spans="1:15" x14ac:dyDescent="0.25">
      <c r="A2480" s="13">
        <v>44452</v>
      </c>
      <c r="B2480" s="97">
        <v>3623</v>
      </c>
      <c r="C2480" t="s">
        <v>149</v>
      </c>
      <c r="D2480" s="94" t="s">
        <v>325</v>
      </c>
      <c r="E2480" t="s">
        <v>17</v>
      </c>
      <c r="F2480" t="s">
        <v>562</v>
      </c>
      <c r="G2480" s="50" t="s">
        <v>559</v>
      </c>
      <c r="H2480" s="50">
        <v>2</v>
      </c>
      <c r="I2480" s="100">
        <v>6.7391919697301583</v>
      </c>
      <c r="J2480" s="52">
        <v>3834.68</v>
      </c>
      <c r="K2480" s="67">
        <f t="shared" si="156"/>
        <v>93627.901612182584</v>
      </c>
      <c r="L2480" s="95">
        <f>+VLOOKUP(E2480,MARGEN!A:B,2,FALSE)</f>
        <v>0.1</v>
      </c>
      <c r="M2480" s="112">
        <f t="shared" si="153"/>
        <v>9362.7901612182595</v>
      </c>
      <c r="N2480" s="113">
        <f t="shared" si="154"/>
        <v>374.51160644873033</v>
      </c>
      <c r="O2480" s="113">
        <f t="shared" si="155"/>
        <v>83890.599844515586</v>
      </c>
    </row>
    <row r="2481" spans="1:15" x14ac:dyDescent="0.25">
      <c r="A2481" s="13">
        <v>44452</v>
      </c>
      <c r="B2481" s="97">
        <v>3599</v>
      </c>
      <c r="C2481" t="s">
        <v>192</v>
      </c>
      <c r="D2481" s="94" t="s">
        <v>347</v>
      </c>
      <c r="E2481" t="s">
        <v>17</v>
      </c>
      <c r="F2481" t="s">
        <v>551</v>
      </c>
      <c r="G2481" s="50" t="s">
        <v>205</v>
      </c>
      <c r="H2481" s="50">
        <v>2</v>
      </c>
      <c r="I2481" s="100">
        <v>6.7391919697301583</v>
      </c>
      <c r="J2481" s="52">
        <v>3834.68</v>
      </c>
      <c r="K2481" s="67">
        <f t="shared" si="156"/>
        <v>93007.678140282951</v>
      </c>
      <c r="L2481" s="95">
        <f>+VLOOKUP(E2481,MARGEN!A:B,2,FALSE)</f>
        <v>0.1</v>
      </c>
      <c r="M2481" s="112">
        <f t="shared" si="153"/>
        <v>9300.7678140282951</v>
      </c>
      <c r="N2481" s="113">
        <f t="shared" si="154"/>
        <v>372.03071256113179</v>
      </c>
      <c r="O2481" s="113">
        <f t="shared" si="155"/>
        <v>83334.879613693527</v>
      </c>
    </row>
    <row r="2482" spans="1:15" x14ac:dyDescent="0.25">
      <c r="A2482" s="13">
        <v>44452</v>
      </c>
      <c r="B2482" s="97">
        <v>3383</v>
      </c>
      <c r="C2482" t="s">
        <v>135</v>
      </c>
      <c r="D2482" s="94" t="s">
        <v>533</v>
      </c>
      <c r="E2482" t="s">
        <v>17</v>
      </c>
      <c r="F2482" t="s">
        <v>562</v>
      </c>
      <c r="G2482" s="50" t="s">
        <v>559</v>
      </c>
      <c r="H2482" s="50">
        <v>2</v>
      </c>
      <c r="I2482" s="100">
        <v>6.7391919697301583</v>
      </c>
      <c r="J2482" s="52">
        <v>3834.68</v>
      </c>
      <c r="K2482" s="67">
        <f t="shared" si="156"/>
        <v>87425.666893186222</v>
      </c>
      <c r="L2482" s="95">
        <f>+VLOOKUP(E2482,MARGEN!A:B,2,FALSE)</f>
        <v>0.1</v>
      </c>
      <c r="M2482" s="112">
        <f t="shared" si="153"/>
        <v>8742.5666893186226</v>
      </c>
      <c r="N2482" s="113">
        <f t="shared" si="154"/>
        <v>349.70266757274487</v>
      </c>
      <c r="O2482" s="113">
        <f t="shared" si="155"/>
        <v>78333.397536294855</v>
      </c>
    </row>
    <row r="2483" spans="1:15" x14ac:dyDescent="0.25">
      <c r="A2483" s="13">
        <v>44452</v>
      </c>
      <c r="B2483" s="97">
        <v>3359</v>
      </c>
      <c r="C2483" t="s">
        <v>309</v>
      </c>
      <c r="D2483" s="94" t="s">
        <v>544</v>
      </c>
      <c r="E2483" t="s">
        <v>17</v>
      </c>
      <c r="F2483" t="s">
        <v>566</v>
      </c>
      <c r="G2483" s="50" t="s">
        <v>559</v>
      </c>
      <c r="H2483" s="50">
        <v>2</v>
      </c>
      <c r="I2483" s="100">
        <v>6.7391919697301583</v>
      </c>
      <c r="J2483" s="52">
        <v>3834.68</v>
      </c>
      <c r="K2483" s="67">
        <f t="shared" si="156"/>
        <v>86805.443421286589</v>
      </c>
      <c r="L2483" s="95">
        <f>+VLOOKUP(E2483,MARGEN!A:B,2,FALSE)</f>
        <v>0.1</v>
      </c>
      <c r="M2483" s="112">
        <f t="shared" si="153"/>
        <v>8680.54434212866</v>
      </c>
      <c r="N2483" s="113">
        <f t="shared" si="154"/>
        <v>347.22177368514633</v>
      </c>
      <c r="O2483" s="113">
        <f t="shared" si="155"/>
        <v>77777.677305472782</v>
      </c>
    </row>
    <row r="2484" spans="1:15" x14ac:dyDescent="0.25">
      <c r="A2484" s="13">
        <v>44452</v>
      </c>
      <c r="B2484" s="97">
        <v>2903</v>
      </c>
      <c r="C2484" t="s">
        <v>134</v>
      </c>
      <c r="D2484" s="94" t="s">
        <v>362</v>
      </c>
      <c r="E2484" t="s">
        <v>17</v>
      </c>
      <c r="F2484" t="s">
        <v>562</v>
      </c>
      <c r="G2484" s="50" t="s">
        <v>559</v>
      </c>
      <c r="H2484" s="50">
        <v>2</v>
      </c>
      <c r="I2484" s="100">
        <v>6.7391919697301583</v>
      </c>
      <c r="J2484" s="52">
        <v>3834.68</v>
      </c>
      <c r="K2484" s="67">
        <f t="shared" si="156"/>
        <v>75021.197455193484</v>
      </c>
      <c r="L2484" s="95">
        <f>+VLOOKUP(E2484,MARGEN!A:B,2,FALSE)</f>
        <v>0.1</v>
      </c>
      <c r="M2484" s="112">
        <f t="shared" si="153"/>
        <v>7502.1197455193487</v>
      </c>
      <c r="N2484" s="113">
        <f t="shared" si="154"/>
        <v>300.08478982077395</v>
      </c>
      <c r="O2484" s="113">
        <f t="shared" si="155"/>
        <v>67218.992919853365</v>
      </c>
    </row>
    <row r="2485" spans="1:15" x14ac:dyDescent="0.25">
      <c r="A2485" s="13">
        <v>44452</v>
      </c>
      <c r="B2485" s="97">
        <v>2783</v>
      </c>
      <c r="C2485" t="s">
        <v>131</v>
      </c>
      <c r="D2485" s="94" t="s">
        <v>344</v>
      </c>
      <c r="E2485" t="s">
        <v>17</v>
      </c>
      <c r="F2485" t="s">
        <v>562</v>
      </c>
      <c r="G2485" s="50" t="s">
        <v>559</v>
      </c>
      <c r="H2485" s="50">
        <v>2</v>
      </c>
      <c r="I2485" s="100">
        <v>6.7391919697301583</v>
      </c>
      <c r="J2485" s="52">
        <v>3834.68</v>
      </c>
      <c r="K2485" s="67">
        <f t="shared" si="156"/>
        <v>71920.080095695317</v>
      </c>
      <c r="L2485" s="95">
        <f>+VLOOKUP(E2485,MARGEN!A:B,2,FALSE)</f>
        <v>0.1</v>
      </c>
      <c r="M2485" s="112">
        <f t="shared" si="153"/>
        <v>7192.0080095695321</v>
      </c>
      <c r="N2485" s="113">
        <f t="shared" si="154"/>
        <v>287.68032038278125</v>
      </c>
      <c r="O2485" s="113">
        <f t="shared" si="155"/>
        <v>64440.391765743007</v>
      </c>
    </row>
    <row r="2486" spans="1:15" x14ac:dyDescent="0.25">
      <c r="A2486" s="13">
        <v>44452</v>
      </c>
      <c r="B2486" s="97">
        <v>2711</v>
      </c>
      <c r="C2486" t="s">
        <v>132</v>
      </c>
      <c r="D2486" s="94" t="s">
        <v>376</v>
      </c>
      <c r="E2486" t="s">
        <v>17</v>
      </c>
      <c r="F2486" t="s">
        <v>562</v>
      </c>
      <c r="G2486" s="50" t="s">
        <v>559</v>
      </c>
      <c r="H2486" s="50">
        <v>2</v>
      </c>
      <c r="I2486" s="100">
        <v>6.7391919697301583</v>
      </c>
      <c r="J2486" s="52">
        <v>3834.68</v>
      </c>
      <c r="K2486" s="67">
        <f t="shared" si="156"/>
        <v>70059.409679996417</v>
      </c>
      <c r="L2486" s="95">
        <f>+VLOOKUP(E2486,MARGEN!A:B,2,FALSE)</f>
        <v>0.1</v>
      </c>
      <c r="M2486" s="112">
        <f t="shared" si="153"/>
        <v>7005.9409679996425</v>
      </c>
      <c r="N2486" s="113">
        <f t="shared" si="154"/>
        <v>280.23763871998568</v>
      </c>
      <c r="O2486" s="113">
        <f t="shared" si="155"/>
        <v>62773.231073276787</v>
      </c>
    </row>
    <row r="2487" spans="1:15" x14ac:dyDescent="0.25">
      <c r="A2487" s="13">
        <v>44452</v>
      </c>
      <c r="B2487" s="51">
        <v>2639</v>
      </c>
      <c r="C2487" s="66" t="s">
        <v>189</v>
      </c>
      <c r="D2487" s="66" t="s">
        <v>431</v>
      </c>
      <c r="E2487" t="s">
        <v>17</v>
      </c>
      <c r="F2487" s="50" t="s">
        <v>562</v>
      </c>
      <c r="G2487" s="50" t="s">
        <v>559</v>
      </c>
      <c r="H2487" s="50">
        <v>2</v>
      </c>
      <c r="I2487" s="100">
        <v>6.7391919697301583</v>
      </c>
      <c r="J2487" s="52">
        <v>3834.68</v>
      </c>
      <c r="K2487" s="67">
        <f t="shared" si="156"/>
        <v>68198.739264297488</v>
      </c>
      <c r="L2487" s="95">
        <f>+VLOOKUP(E2487,MARGEN!A:B,2,FALSE)</f>
        <v>0.1</v>
      </c>
      <c r="M2487" s="112">
        <f t="shared" si="153"/>
        <v>6819.8739264297492</v>
      </c>
      <c r="N2487" s="113">
        <f t="shared" si="154"/>
        <v>272.79495705718995</v>
      </c>
      <c r="O2487" s="113">
        <f t="shared" si="155"/>
        <v>61106.070380810554</v>
      </c>
    </row>
    <row r="2488" spans="1:15" x14ac:dyDescent="0.25">
      <c r="A2488" s="13">
        <v>44452</v>
      </c>
      <c r="B2488" s="97">
        <v>2591</v>
      </c>
      <c r="C2488" t="s">
        <v>186</v>
      </c>
      <c r="D2488" s="94" t="s">
        <v>440</v>
      </c>
      <c r="E2488" t="s">
        <v>17</v>
      </c>
      <c r="F2488" t="s">
        <v>566</v>
      </c>
      <c r="G2488" s="50" t="s">
        <v>559</v>
      </c>
      <c r="H2488" s="50">
        <v>2</v>
      </c>
      <c r="I2488" s="100">
        <v>6.7391919697301583</v>
      </c>
      <c r="J2488" s="52">
        <v>3834.68</v>
      </c>
      <c r="K2488" s="67">
        <f t="shared" si="156"/>
        <v>66958.292320498222</v>
      </c>
      <c r="L2488" s="95">
        <f>+VLOOKUP(E2488,MARGEN!A:B,2,FALSE)</f>
        <v>0.1</v>
      </c>
      <c r="M2488" s="112">
        <f t="shared" si="153"/>
        <v>6695.8292320498222</v>
      </c>
      <c r="N2488" s="113">
        <f t="shared" si="154"/>
        <v>267.83316928199287</v>
      </c>
      <c r="O2488" s="113">
        <f t="shared" si="155"/>
        <v>59994.629919166407</v>
      </c>
    </row>
    <row r="2489" spans="1:15" x14ac:dyDescent="0.25">
      <c r="A2489" s="13">
        <v>44452</v>
      </c>
      <c r="B2489" s="97">
        <v>2567</v>
      </c>
      <c r="C2489" t="s">
        <v>310</v>
      </c>
      <c r="D2489" s="94" t="s">
        <v>540</v>
      </c>
      <c r="E2489" t="s">
        <v>17</v>
      </c>
      <c r="F2489" t="s">
        <v>566</v>
      </c>
      <c r="G2489" s="50" t="s">
        <v>559</v>
      </c>
      <c r="H2489" s="50">
        <v>2</v>
      </c>
      <c r="I2489" s="100">
        <v>6.7391919697301583</v>
      </c>
      <c r="J2489" s="52">
        <v>3834.68</v>
      </c>
      <c r="K2489" s="67">
        <f t="shared" si="156"/>
        <v>66338.068848598588</v>
      </c>
      <c r="L2489" s="95">
        <f>+VLOOKUP(E2489,MARGEN!A:B,2,FALSE)</f>
        <v>0.1</v>
      </c>
      <c r="M2489" s="112">
        <f t="shared" si="153"/>
        <v>6633.8068848598596</v>
      </c>
      <c r="N2489" s="113">
        <f t="shared" si="154"/>
        <v>265.35227539439433</v>
      </c>
      <c r="O2489" s="113">
        <f t="shared" si="155"/>
        <v>59438.909688344334</v>
      </c>
    </row>
    <row r="2490" spans="1:15" x14ac:dyDescent="0.25">
      <c r="A2490" s="13">
        <v>44452</v>
      </c>
      <c r="B2490" s="97">
        <v>2543</v>
      </c>
      <c r="C2490" t="s">
        <v>146</v>
      </c>
      <c r="D2490" s="94" t="s">
        <v>348</v>
      </c>
      <c r="E2490" t="s">
        <v>17</v>
      </c>
      <c r="F2490" t="s">
        <v>562</v>
      </c>
      <c r="G2490" s="50" t="s">
        <v>559</v>
      </c>
      <c r="H2490" s="50">
        <v>2</v>
      </c>
      <c r="I2490" s="100">
        <v>6.7391919697301583</v>
      </c>
      <c r="J2490" s="52">
        <v>3834.68</v>
      </c>
      <c r="K2490" s="67">
        <f t="shared" si="156"/>
        <v>65717.84537669897</v>
      </c>
      <c r="L2490" s="95">
        <f>+VLOOKUP(E2490,MARGEN!A:B,2,FALSE)</f>
        <v>0.1</v>
      </c>
      <c r="M2490" s="112">
        <f t="shared" si="153"/>
        <v>6571.784537669897</v>
      </c>
      <c r="N2490" s="113">
        <f t="shared" si="154"/>
        <v>262.8713815067959</v>
      </c>
      <c r="O2490" s="113">
        <f t="shared" si="155"/>
        <v>58883.189457522276</v>
      </c>
    </row>
    <row r="2491" spans="1:15" x14ac:dyDescent="0.25">
      <c r="A2491" s="13">
        <v>44452</v>
      </c>
      <c r="B2491" s="97">
        <v>2519</v>
      </c>
      <c r="C2491" t="s">
        <v>127</v>
      </c>
      <c r="D2491" s="94" t="s">
        <v>411</v>
      </c>
      <c r="E2491" t="s">
        <v>17</v>
      </c>
      <c r="F2491" t="s">
        <v>562</v>
      </c>
      <c r="G2491" s="50" t="s">
        <v>559</v>
      </c>
      <c r="H2491" s="50">
        <v>2</v>
      </c>
      <c r="I2491" s="100">
        <v>6.7391919697301583</v>
      </c>
      <c r="J2491" s="52">
        <v>3834.68</v>
      </c>
      <c r="K2491" s="67">
        <f t="shared" si="156"/>
        <v>65097.621904799322</v>
      </c>
      <c r="L2491" s="95">
        <f>+VLOOKUP(E2491,MARGEN!A:B,2,FALSE)</f>
        <v>0.1</v>
      </c>
      <c r="M2491" s="112">
        <f t="shared" si="153"/>
        <v>6509.7621904799325</v>
      </c>
      <c r="N2491" s="113">
        <f t="shared" si="154"/>
        <v>260.3904876191973</v>
      </c>
      <c r="O2491" s="113">
        <f t="shared" si="155"/>
        <v>58327.469226700196</v>
      </c>
    </row>
    <row r="2492" spans="1:15" x14ac:dyDescent="0.25">
      <c r="A2492" s="13">
        <v>44452</v>
      </c>
      <c r="B2492" s="97">
        <v>2399</v>
      </c>
      <c r="C2492" t="s">
        <v>281</v>
      </c>
      <c r="D2492" s="94" t="s">
        <v>495</v>
      </c>
      <c r="E2492" t="s">
        <v>17</v>
      </c>
      <c r="F2492" t="s">
        <v>566</v>
      </c>
      <c r="G2492" s="50" t="s">
        <v>559</v>
      </c>
      <c r="H2492" s="50">
        <v>2</v>
      </c>
      <c r="I2492" s="100">
        <v>6.7391919697301583</v>
      </c>
      <c r="J2492" s="52">
        <v>3834.68</v>
      </c>
      <c r="K2492" s="67">
        <f t="shared" si="156"/>
        <v>61996.504545301133</v>
      </c>
      <c r="L2492" s="95">
        <f>+VLOOKUP(E2492,MARGEN!A:B,2,FALSE)</f>
        <v>0.1</v>
      </c>
      <c r="M2492" s="112">
        <f t="shared" si="153"/>
        <v>6199.6504545301141</v>
      </c>
      <c r="N2492" s="113">
        <f t="shared" si="154"/>
        <v>247.98601818120454</v>
      </c>
      <c r="O2492" s="113">
        <f t="shared" si="155"/>
        <v>55548.868072589816</v>
      </c>
    </row>
    <row r="2493" spans="1:15" x14ac:dyDescent="0.25">
      <c r="A2493" s="13">
        <v>44452</v>
      </c>
      <c r="B2493" s="97">
        <v>2303</v>
      </c>
      <c r="C2493" t="s">
        <v>128</v>
      </c>
      <c r="D2493" s="94" t="s">
        <v>416</v>
      </c>
      <c r="E2493" t="s">
        <v>17</v>
      </c>
      <c r="F2493" t="s">
        <v>562</v>
      </c>
      <c r="G2493" s="50" t="s">
        <v>559</v>
      </c>
      <c r="H2493" s="50">
        <v>2</v>
      </c>
      <c r="I2493" s="100">
        <v>6.7391919697301583</v>
      </c>
      <c r="J2493" s="52">
        <v>3834.68</v>
      </c>
      <c r="K2493" s="67">
        <f t="shared" si="156"/>
        <v>59515.610657702593</v>
      </c>
      <c r="L2493" s="95">
        <f>+VLOOKUP(E2493,MARGEN!A:B,2,FALSE)</f>
        <v>0.1</v>
      </c>
      <c r="M2493" s="112">
        <f t="shared" si="153"/>
        <v>5951.56106577026</v>
      </c>
      <c r="N2493" s="113">
        <f t="shared" si="154"/>
        <v>238.06244263081038</v>
      </c>
      <c r="O2493" s="113">
        <f t="shared" si="155"/>
        <v>53325.987149301516</v>
      </c>
    </row>
    <row r="2494" spans="1:15" x14ac:dyDescent="0.25">
      <c r="A2494" s="13">
        <v>44452</v>
      </c>
      <c r="B2494" s="97">
        <v>2279</v>
      </c>
      <c r="C2494" t="s">
        <v>122</v>
      </c>
      <c r="D2494" s="94" t="s">
        <v>446</v>
      </c>
      <c r="E2494" t="s">
        <v>17</v>
      </c>
      <c r="F2494" t="s">
        <v>566</v>
      </c>
      <c r="G2494" s="50" t="s">
        <v>559</v>
      </c>
      <c r="H2494" s="50">
        <v>2</v>
      </c>
      <c r="I2494" s="100">
        <v>6.7391919697301583</v>
      </c>
      <c r="J2494" s="52">
        <v>3834.68</v>
      </c>
      <c r="K2494" s="67">
        <f t="shared" si="156"/>
        <v>58895.387185802952</v>
      </c>
      <c r="L2494" s="95">
        <f>+VLOOKUP(E2494,MARGEN!A:B,2,FALSE)</f>
        <v>0.1</v>
      </c>
      <c r="M2494" s="112">
        <f t="shared" si="153"/>
        <v>5889.5387185802956</v>
      </c>
      <c r="N2494" s="113">
        <f t="shared" si="154"/>
        <v>235.58154874321181</v>
      </c>
      <c r="O2494" s="113">
        <f t="shared" si="155"/>
        <v>52770.266918479443</v>
      </c>
    </row>
    <row r="2495" spans="1:15" x14ac:dyDescent="0.25">
      <c r="A2495" s="13">
        <v>44452</v>
      </c>
      <c r="B2495" s="97">
        <v>2279</v>
      </c>
      <c r="C2495" t="s">
        <v>283</v>
      </c>
      <c r="D2495" s="94" t="s">
        <v>543</v>
      </c>
      <c r="E2495" t="s">
        <v>17</v>
      </c>
      <c r="F2495" t="s">
        <v>562</v>
      </c>
      <c r="G2495" s="50" t="s">
        <v>559</v>
      </c>
      <c r="H2495" s="50">
        <v>2</v>
      </c>
      <c r="I2495" s="100">
        <v>6.7391919697301583</v>
      </c>
      <c r="J2495" s="52">
        <v>3834.68</v>
      </c>
      <c r="K2495" s="67">
        <f t="shared" si="156"/>
        <v>58895.387185802952</v>
      </c>
      <c r="L2495" s="95">
        <f>+VLOOKUP(E2495,MARGEN!A:B,2,FALSE)</f>
        <v>0.1</v>
      </c>
      <c r="M2495" s="112">
        <f t="shared" si="153"/>
        <v>5889.5387185802956</v>
      </c>
      <c r="N2495" s="113">
        <f t="shared" si="154"/>
        <v>235.58154874321181</v>
      </c>
      <c r="O2495" s="113">
        <f t="shared" si="155"/>
        <v>52770.266918479443</v>
      </c>
    </row>
    <row r="2496" spans="1:15" x14ac:dyDescent="0.25">
      <c r="A2496" s="13">
        <v>44452</v>
      </c>
      <c r="B2496" s="97">
        <v>2279</v>
      </c>
      <c r="C2496" t="s">
        <v>156</v>
      </c>
      <c r="D2496" s="94" t="s">
        <v>429</v>
      </c>
      <c r="E2496" t="s">
        <v>17</v>
      </c>
      <c r="F2496" t="s">
        <v>562</v>
      </c>
      <c r="G2496" s="50" t="s">
        <v>559</v>
      </c>
      <c r="H2496" s="50">
        <v>2</v>
      </c>
      <c r="I2496" s="100">
        <v>6.7391919697301583</v>
      </c>
      <c r="J2496" s="52">
        <v>3834.68</v>
      </c>
      <c r="K2496" s="67">
        <f t="shared" si="156"/>
        <v>58895.387185802952</v>
      </c>
      <c r="L2496" s="95">
        <f>+VLOOKUP(E2496,MARGEN!A:B,2,FALSE)</f>
        <v>0.1</v>
      </c>
      <c r="M2496" s="112">
        <f t="shared" si="153"/>
        <v>5889.5387185802956</v>
      </c>
      <c r="N2496" s="113">
        <f t="shared" si="154"/>
        <v>235.58154874321181</v>
      </c>
      <c r="O2496" s="113">
        <f t="shared" si="155"/>
        <v>52770.266918479443</v>
      </c>
    </row>
    <row r="2497" spans="1:15" x14ac:dyDescent="0.25">
      <c r="A2497" s="13">
        <v>44452</v>
      </c>
      <c r="B2497" s="97">
        <v>2255</v>
      </c>
      <c r="C2497" t="s">
        <v>284</v>
      </c>
      <c r="D2497" s="94" t="s">
        <v>525</v>
      </c>
      <c r="E2497" t="s">
        <v>17</v>
      </c>
      <c r="F2497" t="s">
        <v>566</v>
      </c>
      <c r="G2497" s="50" t="s">
        <v>559</v>
      </c>
      <c r="H2497" s="50">
        <v>2</v>
      </c>
      <c r="I2497" s="100">
        <v>6.7391919697301583</v>
      </c>
      <c r="J2497" s="52">
        <v>3834.68</v>
      </c>
      <c r="K2497" s="67">
        <f t="shared" si="156"/>
        <v>58275.163713903326</v>
      </c>
      <c r="L2497" s="95">
        <f>+VLOOKUP(E2497,MARGEN!A:B,2,FALSE)</f>
        <v>0.1</v>
      </c>
      <c r="M2497" s="112">
        <f t="shared" si="153"/>
        <v>5827.516371390333</v>
      </c>
      <c r="N2497" s="113">
        <f t="shared" si="154"/>
        <v>233.1006548556133</v>
      </c>
      <c r="O2497" s="113">
        <f t="shared" si="155"/>
        <v>52214.546687657385</v>
      </c>
    </row>
    <row r="2498" spans="1:15" x14ac:dyDescent="0.25">
      <c r="A2498" s="13">
        <v>44452</v>
      </c>
      <c r="B2498" s="97">
        <v>2255</v>
      </c>
      <c r="C2498" t="s">
        <v>163</v>
      </c>
      <c r="D2498" s="94" t="s">
        <v>398</v>
      </c>
      <c r="E2498" t="s">
        <v>17</v>
      </c>
      <c r="F2498" t="s">
        <v>562</v>
      </c>
      <c r="G2498" s="50" t="s">
        <v>559</v>
      </c>
      <c r="H2498" s="50">
        <v>2</v>
      </c>
      <c r="I2498" s="100">
        <v>6.7391919697301583</v>
      </c>
      <c r="J2498" s="52">
        <v>3834.68</v>
      </c>
      <c r="K2498" s="67">
        <f t="shared" si="156"/>
        <v>58275.163713903326</v>
      </c>
      <c r="L2498" s="95">
        <f>+VLOOKUP(E2498,MARGEN!A:B,2,FALSE)</f>
        <v>0.1</v>
      </c>
      <c r="M2498" s="112">
        <f t="shared" si="153"/>
        <v>5827.516371390333</v>
      </c>
      <c r="N2498" s="113">
        <f t="shared" si="154"/>
        <v>233.1006548556133</v>
      </c>
      <c r="O2498" s="113">
        <f t="shared" si="155"/>
        <v>52214.546687657385</v>
      </c>
    </row>
    <row r="2499" spans="1:15" x14ac:dyDescent="0.25">
      <c r="A2499" s="13">
        <v>44452</v>
      </c>
      <c r="B2499" s="97">
        <v>2231</v>
      </c>
      <c r="C2499" t="s">
        <v>126</v>
      </c>
      <c r="D2499" s="94" t="s">
        <v>438</v>
      </c>
      <c r="E2499" t="s">
        <v>17</v>
      </c>
      <c r="F2499" t="s">
        <v>562</v>
      </c>
      <c r="G2499" s="50" t="s">
        <v>559</v>
      </c>
      <c r="H2499" s="50">
        <v>2</v>
      </c>
      <c r="I2499" s="100">
        <v>6.7391919697301583</v>
      </c>
      <c r="J2499" s="52">
        <v>3834.68</v>
      </c>
      <c r="K2499" s="67">
        <f t="shared" si="156"/>
        <v>57654.940242003679</v>
      </c>
      <c r="L2499" s="95">
        <f>+VLOOKUP(E2499,MARGEN!A:B,2,FALSE)</f>
        <v>0.1</v>
      </c>
      <c r="M2499" s="112">
        <f t="shared" ref="M2499:M2562" si="157">+K2499*L2499</f>
        <v>5765.4940242003686</v>
      </c>
      <c r="N2499" s="113">
        <f t="shared" ref="N2499:N2562" si="158">+K2499*4/1000</f>
        <v>230.6197609680147</v>
      </c>
      <c r="O2499" s="113">
        <f t="shared" ref="O2499:O2562" si="159">+K2499-M2499-N2499</f>
        <v>51658.826456835297</v>
      </c>
    </row>
    <row r="2500" spans="1:15" x14ac:dyDescent="0.25">
      <c r="A2500" s="13">
        <v>44452</v>
      </c>
      <c r="B2500" s="97">
        <v>2183</v>
      </c>
      <c r="C2500" t="s">
        <v>157</v>
      </c>
      <c r="D2500" s="94" t="s">
        <v>435</v>
      </c>
      <c r="E2500" t="s">
        <v>17</v>
      </c>
      <c r="F2500" t="s">
        <v>562</v>
      </c>
      <c r="G2500" s="50" t="s">
        <v>559</v>
      </c>
      <c r="H2500" s="50">
        <v>2</v>
      </c>
      <c r="I2500" s="100">
        <v>6.7391919697301583</v>
      </c>
      <c r="J2500" s="52">
        <v>3834.68</v>
      </c>
      <c r="K2500" s="67">
        <f t="shared" si="156"/>
        <v>56414.493298204405</v>
      </c>
      <c r="L2500" s="95">
        <f>+VLOOKUP(E2500,MARGEN!A:B,2,FALSE)</f>
        <v>0.1</v>
      </c>
      <c r="M2500" s="112">
        <f t="shared" si="157"/>
        <v>5641.4493298204407</v>
      </c>
      <c r="N2500" s="113">
        <f t="shared" si="158"/>
        <v>225.65797319281762</v>
      </c>
      <c r="O2500" s="113">
        <f t="shared" si="159"/>
        <v>50547.385995191151</v>
      </c>
    </row>
    <row r="2501" spans="1:15" x14ac:dyDescent="0.25">
      <c r="A2501" s="13">
        <v>44452</v>
      </c>
      <c r="B2501" s="97">
        <v>2015</v>
      </c>
      <c r="C2501" t="s">
        <v>123</v>
      </c>
      <c r="D2501" s="94" t="s">
        <v>396</v>
      </c>
      <c r="E2501" t="s">
        <v>17</v>
      </c>
      <c r="F2501" t="s">
        <v>562</v>
      </c>
      <c r="G2501" s="50" t="s">
        <v>559</v>
      </c>
      <c r="H2501" s="50">
        <v>2</v>
      </c>
      <c r="I2501" s="100">
        <v>6.7391919697301583</v>
      </c>
      <c r="J2501" s="52">
        <v>3834.68</v>
      </c>
      <c r="K2501" s="67">
        <f t="shared" si="156"/>
        <v>52072.928994906957</v>
      </c>
      <c r="L2501" s="95">
        <f>+VLOOKUP(E2501,MARGEN!A:B,2,FALSE)</f>
        <v>0.1</v>
      </c>
      <c r="M2501" s="112">
        <f t="shared" si="157"/>
        <v>5207.2928994906961</v>
      </c>
      <c r="N2501" s="113">
        <f t="shared" si="158"/>
        <v>208.29171597962784</v>
      </c>
      <c r="O2501" s="113">
        <f t="shared" si="159"/>
        <v>46657.344379436632</v>
      </c>
    </row>
    <row r="2502" spans="1:15" x14ac:dyDescent="0.25">
      <c r="A2502" s="13">
        <v>44452</v>
      </c>
      <c r="B2502" s="97">
        <v>1991</v>
      </c>
      <c r="C2502" t="s">
        <v>295</v>
      </c>
      <c r="D2502" s="94" t="s">
        <v>532</v>
      </c>
      <c r="E2502" t="s">
        <v>17</v>
      </c>
      <c r="F2502" t="s">
        <v>562</v>
      </c>
      <c r="G2502" s="50" t="s">
        <v>559</v>
      </c>
      <c r="H2502" s="50">
        <v>2</v>
      </c>
      <c r="I2502" s="100">
        <v>6.7391919697301583</v>
      </c>
      <c r="J2502" s="52">
        <v>3834.68</v>
      </c>
      <c r="K2502" s="67">
        <f t="shared" si="156"/>
        <v>51452.705523007324</v>
      </c>
      <c r="L2502" s="95">
        <f>+VLOOKUP(E2502,MARGEN!A:B,2,FALSE)</f>
        <v>0.1</v>
      </c>
      <c r="M2502" s="112">
        <f t="shared" si="157"/>
        <v>5145.2705523007326</v>
      </c>
      <c r="N2502" s="113">
        <f t="shared" si="158"/>
        <v>205.8108220920293</v>
      </c>
      <c r="O2502" s="113">
        <f t="shared" si="159"/>
        <v>46101.624148614566</v>
      </c>
    </row>
    <row r="2503" spans="1:15" x14ac:dyDescent="0.25">
      <c r="A2503" s="13">
        <v>44452</v>
      </c>
      <c r="B2503" s="97">
        <v>1943</v>
      </c>
      <c r="C2503" t="s">
        <v>155</v>
      </c>
      <c r="D2503" s="94" t="s">
        <v>399</v>
      </c>
      <c r="E2503" t="s">
        <v>17</v>
      </c>
      <c r="F2503" t="s">
        <v>566</v>
      </c>
      <c r="G2503" s="50" t="s">
        <v>559</v>
      </c>
      <c r="H2503" s="50">
        <v>2</v>
      </c>
      <c r="I2503" s="100">
        <v>6.7391919697301583</v>
      </c>
      <c r="J2503" s="52">
        <v>3834.68</v>
      </c>
      <c r="K2503" s="67">
        <f t="shared" si="156"/>
        <v>50212.258579208043</v>
      </c>
      <c r="L2503" s="95">
        <f>+VLOOKUP(E2503,MARGEN!A:B,2,FALSE)</f>
        <v>0.1</v>
      </c>
      <c r="M2503" s="112">
        <f t="shared" si="157"/>
        <v>5021.2258579208046</v>
      </c>
      <c r="N2503" s="113">
        <f t="shared" si="158"/>
        <v>200.84903431683216</v>
      </c>
      <c r="O2503" s="113">
        <f t="shared" si="159"/>
        <v>44990.183686970406</v>
      </c>
    </row>
    <row r="2504" spans="1:15" x14ac:dyDescent="0.25">
      <c r="A2504" s="13">
        <v>44452</v>
      </c>
      <c r="B2504" s="97">
        <v>1895</v>
      </c>
      <c r="C2504" s="88" t="s">
        <v>125</v>
      </c>
      <c r="D2504" t="s">
        <v>341</v>
      </c>
      <c r="E2504" t="s">
        <v>17</v>
      </c>
      <c r="F2504" t="s">
        <v>562</v>
      </c>
      <c r="G2504" s="50" t="s">
        <v>559</v>
      </c>
      <c r="H2504" s="50">
        <v>2</v>
      </c>
      <c r="I2504" s="100">
        <v>6.7391919697301583</v>
      </c>
      <c r="J2504" s="52">
        <v>3834.68</v>
      </c>
      <c r="K2504" s="67">
        <f t="shared" si="156"/>
        <v>48971.811635408776</v>
      </c>
      <c r="L2504" s="95">
        <f>+VLOOKUP(E2504,MARGEN!A:B,2,FALSE)</f>
        <v>0.1</v>
      </c>
      <c r="M2504" s="112">
        <f t="shared" si="157"/>
        <v>4897.1811635408776</v>
      </c>
      <c r="N2504" s="113">
        <f t="shared" si="158"/>
        <v>195.88724654163511</v>
      </c>
      <c r="O2504" s="113">
        <f t="shared" si="159"/>
        <v>43878.743225326267</v>
      </c>
    </row>
    <row r="2505" spans="1:15" x14ac:dyDescent="0.25">
      <c r="A2505" s="13">
        <v>44452</v>
      </c>
      <c r="B2505" s="97">
        <v>1799</v>
      </c>
      <c r="C2505" t="s">
        <v>172</v>
      </c>
      <c r="D2505" s="94" t="s">
        <v>371</v>
      </c>
      <c r="E2505" t="s">
        <v>17</v>
      </c>
      <c r="F2505" t="s">
        <v>566</v>
      </c>
      <c r="G2505" s="50" t="s">
        <v>559</v>
      </c>
      <c r="H2505" s="50">
        <v>2</v>
      </c>
      <c r="I2505" s="100">
        <v>6.7391919697301583</v>
      </c>
      <c r="J2505" s="52">
        <v>3834.68</v>
      </c>
      <c r="K2505" s="67">
        <f t="shared" ref="K2505:K2568" si="160">+B2505*I2505*J2505/1000</f>
        <v>46490.917747810228</v>
      </c>
      <c r="L2505" s="95">
        <f>+VLOOKUP(E2505,MARGEN!A:B,2,FALSE)</f>
        <v>0.1</v>
      </c>
      <c r="M2505" s="112">
        <f t="shared" si="157"/>
        <v>4649.0917747810227</v>
      </c>
      <c r="N2505" s="113">
        <f t="shared" si="158"/>
        <v>185.96367099124092</v>
      </c>
      <c r="O2505" s="113">
        <f t="shared" si="159"/>
        <v>41655.862302037967</v>
      </c>
    </row>
    <row r="2506" spans="1:15" x14ac:dyDescent="0.25">
      <c r="A2506" s="13">
        <v>44452</v>
      </c>
      <c r="B2506" s="97">
        <v>1799</v>
      </c>
      <c r="C2506" t="s">
        <v>223</v>
      </c>
      <c r="D2506" s="94" t="s">
        <v>389</v>
      </c>
      <c r="E2506" t="s">
        <v>17</v>
      </c>
      <c r="F2506" t="s">
        <v>566</v>
      </c>
      <c r="G2506" s="50" t="s">
        <v>559</v>
      </c>
      <c r="H2506" s="50">
        <v>2</v>
      </c>
      <c r="I2506" s="100">
        <v>6.7391919697301583</v>
      </c>
      <c r="J2506" s="52">
        <v>3834.68</v>
      </c>
      <c r="K2506" s="67">
        <f t="shared" si="160"/>
        <v>46490.917747810228</v>
      </c>
      <c r="L2506" s="95">
        <f>+VLOOKUP(E2506,MARGEN!A:B,2,FALSE)</f>
        <v>0.1</v>
      </c>
      <c r="M2506" s="112">
        <f t="shared" si="157"/>
        <v>4649.0917747810227</v>
      </c>
      <c r="N2506" s="113">
        <f t="shared" si="158"/>
        <v>185.96367099124092</v>
      </c>
      <c r="O2506" s="113">
        <f t="shared" si="159"/>
        <v>41655.862302037967</v>
      </c>
    </row>
    <row r="2507" spans="1:15" x14ac:dyDescent="0.25">
      <c r="A2507" s="13">
        <v>44452</v>
      </c>
      <c r="B2507" s="97">
        <v>1775</v>
      </c>
      <c r="C2507" t="s">
        <v>311</v>
      </c>
      <c r="D2507" s="94" t="s">
        <v>541</v>
      </c>
      <c r="E2507" t="s">
        <v>17</v>
      </c>
      <c r="F2507" t="s">
        <v>566</v>
      </c>
      <c r="G2507" s="50" t="s">
        <v>559</v>
      </c>
      <c r="H2507" s="50">
        <v>2</v>
      </c>
      <c r="I2507" s="100">
        <v>6.7391919697301583</v>
      </c>
      <c r="J2507" s="52">
        <v>3834.68</v>
      </c>
      <c r="K2507" s="67">
        <f t="shared" si="160"/>
        <v>45870.694275910595</v>
      </c>
      <c r="L2507" s="95">
        <f>+VLOOKUP(E2507,MARGEN!A:B,2,FALSE)</f>
        <v>0.1</v>
      </c>
      <c r="M2507" s="112">
        <f t="shared" si="157"/>
        <v>4587.06942759106</v>
      </c>
      <c r="N2507" s="113">
        <f t="shared" si="158"/>
        <v>183.48277710364238</v>
      </c>
      <c r="O2507" s="113">
        <f t="shared" si="159"/>
        <v>41100.142071215894</v>
      </c>
    </row>
    <row r="2508" spans="1:15" x14ac:dyDescent="0.25">
      <c r="A2508" s="13">
        <v>44452</v>
      </c>
      <c r="B2508" s="97">
        <v>1751</v>
      </c>
      <c r="C2508" t="s">
        <v>154</v>
      </c>
      <c r="D2508" t="s">
        <v>419</v>
      </c>
      <c r="E2508" t="s">
        <v>17</v>
      </c>
      <c r="F2508" t="s">
        <v>566</v>
      </c>
      <c r="G2508" s="50" t="s">
        <v>559</v>
      </c>
      <c r="H2508" s="50">
        <v>2</v>
      </c>
      <c r="I2508" s="100">
        <v>6.7391919697301583</v>
      </c>
      <c r="J2508" s="52">
        <v>3834.68</v>
      </c>
      <c r="K2508" s="67">
        <f t="shared" si="160"/>
        <v>45250.470804010954</v>
      </c>
      <c r="L2508" s="95">
        <f>+VLOOKUP(E2508,MARGEN!A:B,2,FALSE)</f>
        <v>0.1</v>
      </c>
      <c r="M2508" s="112">
        <f t="shared" si="157"/>
        <v>4525.0470804010956</v>
      </c>
      <c r="N2508" s="113">
        <f t="shared" si="158"/>
        <v>181.00188321604381</v>
      </c>
      <c r="O2508" s="113">
        <f t="shared" si="159"/>
        <v>40544.421840393814</v>
      </c>
    </row>
    <row r="2509" spans="1:15" x14ac:dyDescent="0.25">
      <c r="A2509" s="13">
        <v>44452</v>
      </c>
      <c r="B2509" s="97">
        <v>1727</v>
      </c>
      <c r="C2509" t="s">
        <v>174</v>
      </c>
      <c r="D2509" t="s">
        <v>395</v>
      </c>
      <c r="E2509" t="s">
        <v>17</v>
      </c>
      <c r="F2509" t="s">
        <v>562</v>
      </c>
      <c r="G2509" s="50" t="s">
        <v>559</v>
      </c>
      <c r="H2509" s="50">
        <v>2</v>
      </c>
      <c r="I2509" s="100">
        <v>6.7391919697301583</v>
      </c>
      <c r="J2509" s="52">
        <v>3834.68</v>
      </c>
      <c r="K2509" s="67">
        <f t="shared" si="160"/>
        <v>44630.247332111321</v>
      </c>
      <c r="L2509" s="95">
        <f>+VLOOKUP(E2509,MARGEN!A:B,2,FALSE)</f>
        <v>0.1</v>
      </c>
      <c r="M2509" s="112">
        <f t="shared" si="157"/>
        <v>4463.0247332111321</v>
      </c>
      <c r="N2509" s="113">
        <f t="shared" si="158"/>
        <v>178.5209893284453</v>
      </c>
      <c r="O2509" s="113">
        <f t="shared" si="159"/>
        <v>39988.701609571741</v>
      </c>
    </row>
    <row r="2510" spans="1:15" x14ac:dyDescent="0.25">
      <c r="A2510" s="13">
        <v>44452</v>
      </c>
      <c r="B2510" s="97">
        <v>1727</v>
      </c>
      <c r="C2510" t="s">
        <v>170</v>
      </c>
      <c r="D2510" s="94" t="s">
        <v>437</v>
      </c>
      <c r="E2510" t="s">
        <v>17</v>
      </c>
      <c r="F2510" t="s">
        <v>562</v>
      </c>
      <c r="G2510" s="50" t="s">
        <v>559</v>
      </c>
      <c r="H2510" s="50">
        <v>2</v>
      </c>
      <c r="I2510" s="100">
        <v>6.7391919697301583</v>
      </c>
      <c r="J2510" s="52">
        <v>3834.68</v>
      </c>
      <c r="K2510" s="67">
        <f t="shared" si="160"/>
        <v>44630.247332111321</v>
      </c>
      <c r="L2510" s="95">
        <f>+VLOOKUP(E2510,MARGEN!A:B,2,FALSE)</f>
        <v>0.1</v>
      </c>
      <c r="M2510" s="112">
        <f t="shared" si="157"/>
        <v>4463.0247332111321</v>
      </c>
      <c r="N2510" s="113">
        <f t="shared" si="158"/>
        <v>178.5209893284453</v>
      </c>
      <c r="O2510" s="113">
        <f t="shared" si="159"/>
        <v>39988.701609571741</v>
      </c>
    </row>
    <row r="2511" spans="1:15" x14ac:dyDescent="0.25">
      <c r="A2511" s="13">
        <v>44452</v>
      </c>
      <c r="B2511" s="97">
        <v>1703</v>
      </c>
      <c r="C2511" s="88" t="s">
        <v>286</v>
      </c>
      <c r="D2511" t="s">
        <v>531</v>
      </c>
      <c r="E2511" t="s">
        <v>17</v>
      </c>
      <c r="F2511" t="s">
        <v>566</v>
      </c>
      <c r="G2511" s="50" t="s">
        <v>559</v>
      </c>
      <c r="H2511" s="50">
        <v>2</v>
      </c>
      <c r="I2511" s="100">
        <v>6.7391919697301583</v>
      </c>
      <c r="J2511" s="52">
        <v>3834.68</v>
      </c>
      <c r="K2511" s="67">
        <f t="shared" si="160"/>
        <v>44010.023860211688</v>
      </c>
      <c r="L2511" s="95">
        <f>+VLOOKUP(E2511,MARGEN!A:B,2,FALSE)</f>
        <v>0.1</v>
      </c>
      <c r="M2511" s="112">
        <f t="shared" si="157"/>
        <v>4401.0023860211686</v>
      </c>
      <c r="N2511" s="113">
        <f t="shared" si="158"/>
        <v>176.04009544084676</v>
      </c>
      <c r="O2511" s="113">
        <f t="shared" si="159"/>
        <v>39432.981378749675</v>
      </c>
    </row>
    <row r="2512" spans="1:15" x14ac:dyDescent="0.25">
      <c r="A2512" s="13">
        <v>44452</v>
      </c>
      <c r="B2512" s="97">
        <v>1703</v>
      </c>
      <c r="C2512" t="s">
        <v>296</v>
      </c>
      <c r="D2512" s="94" t="s">
        <v>498</v>
      </c>
      <c r="E2512" t="s">
        <v>17</v>
      </c>
      <c r="F2512" t="s">
        <v>562</v>
      </c>
      <c r="G2512" s="50" t="s">
        <v>559</v>
      </c>
      <c r="H2512" s="50">
        <v>2</v>
      </c>
      <c r="I2512" s="100">
        <v>6.7391919697301583</v>
      </c>
      <c r="J2512" s="52">
        <v>3834.68</v>
      </c>
      <c r="K2512" s="67">
        <f t="shared" si="160"/>
        <v>44010.023860211688</v>
      </c>
      <c r="L2512" s="95">
        <f>+VLOOKUP(E2512,MARGEN!A:B,2,FALSE)</f>
        <v>0.1</v>
      </c>
      <c r="M2512" s="112">
        <f t="shared" si="157"/>
        <v>4401.0023860211686</v>
      </c>
      <c r="N2512" s="113">
        <f t="shared" si="158"/>
        <v>176.04009544084676</v>
      </c>
      <c r="O2512" s="113">
        <f t="shared" si="159"/>
        <v>39432.981378749675</v>
      </c>
    </row>
    <row r="2513" spans="1:15" x14ac:dyDescent="0.25">
      <c r="A2513" s="13">
        <v>44452</v>
      </c>
      <c r="B2513" s="97">
        <v>1679</v>
      </c>
      <c r="C2513" t="s">
        <v>288</v>
      </c>
      <c r="D2513" s="94" t="s">
        <v>530</v>
      </c>
      <c r="E2513" t="s">
        <v>17</v>
      </c>
      <c r="F2513" t="s">
        <v>566</v>
      </c>
      <c r="G2513" s="50" t="s">
        <v>559</v>
      </c>
      <c r="H2513" s="50">
        <v>2</v>
      </c>
      <c r="I2513" s="100">
        <v>6.7391919697301583</v>
      </c>
      <c r="J2513" s="52">
        <v>3834.68</v>
      </c>
      <c r="K2513" s="67">
        <f t="shared" si="160"/>
        <v>43389.800388312047</v>
      </c>
      <c r="L2513" s="95">
        <f>+VLOOKUP(E2513,MARGEN!A:B,2,FALSE)</f>
        <v>0.1</v>
      </c>
      <c r="M2513" s="112">
        <f t="shared" si="157"/>
        <v>4338.9800388312051</v>
      </c>
      <c r="N2513" s="113">
        <f t="shared" si="158"/>
        <v>173.55920155324819</v>
      </c>
      <c r="O2513" s="113">
        <f t="shared" si="159"/>
        <v>38877.261147927595</v>
      </c>
    </row>
    <row r="2514" spans="1:15" x14ac:dyDescent="0.25">
      <c r="A2514" s="13">
        <v>44452</v>
      </c>
      <c r="B2514" s="97">
        <v>1679</v>
      </c>
      <c r="C2514" t="s">
        <v>194</v>
      </c>
      <c r="D2514" s="94" t="s">
        <v>417</v>
      </c>
      <c r="E2514" t="s">
        <v>17</v>
      </c>
      <c r="F2514" t="s">
        <v>562</v>
      </c>
      <c r="G2514" s="50" t="s">
        <v>559</v>
      </c>
      <c r="H2514" s="50">
        <v>2</v>
      </c>
      <c r="I2514" s="100">
        <v>6.7391919697301583</v>
      </c>
      <c r="J2514" s="52">
        <v>3834.68</v>
      </c>
      <c r="K2514" s="67">
        <f t="shared" si="160"/>
        <v>43389.800388312047</v>
      </c>
      <c r="L2514" s="95">
        <f>+VLOOKUP(E2514,MARGEN!A:B,2,FALSE)</f>
        <v>0.1</v>
      </c>
      <c r="M2514" s="112">
        <f t="shared" si="157"/>
        <v>4338.9800388312051</v>
      </c>
      <c r="N2514" s="113">
        <f t="shared" si="158"/>
        <v>173.55920155324819</v>
      </c>
      <c r="O2514" s="113">
        <f t="shared" si="159"/>
        <v>38877.261147927595</v>
      </c>
    </row>
    <row r="2515" spans="1:15" x14ac:dyDescent="0.25">
      <c r="A2515" s="13">
        <v>44452</v>
      </c>
      <c r="B2515" s="97">
        <v>1679</v>
      </c>
      <c r="C2515" t="s">
        <v>121</v>
      </c>
      <c r="D2515" s="94" t="s">
        <v>381</v>
      </c>
      <c r="E2515" t="s">
        <v>17</v>
      </c>
      <c r="F2515" t="s">
        <v>562</v>
      </c>
      <c r="G2515" s="50" t="s">
        <v>559</v>
      </c>
      <c r="H2515" s="50">
        <v>2</v>
      </c>
      <c r="I2515" s="100">
        <v>6.7391919697301583</v>
      </c>
      <c r="J2515" s="52">
        <v>3834.68</v>
      </c>
      <c r="K2515" s="67">
        <f t="shared" si="160"/>
        <v>43389.800388312047</v>
      </c>
      <c r="L2515" s="95">
        <f>+VLOOKUP(E2515,MARGEN!A:B,2,FALSE)</f>
        <v>0.1</v>
      </c>
      <c r="M2515" s="112">
        <f t="shared" si="157"/>
        <v>4338.9800388312051</v>
      </c>
      <c r="N2515" s="113">
        <f t="shared" si="158"/>
        <v>173.55920155324819</v>
      </c>
      <c r="O2515" s="113">
        <f t="shared" si="159"/>
        <v>38877.261147927595</v>
      </c>
    </row>
    <row r="2516" spans="1:15" x14ac:dyDescent="0.25">
      <c r="A2516" s="13">
        <v>44452</v>
      </c>
      <c r="B2516" s="97">
        <v>1631</v>
      </c>
      <c r="C2516" t="s">
        <v>209</v>
      </c>
      <c r="D2516" s="94" t="s">
        <v>441</v>
      </c>
      <c r="E2516" t="s">
        <v>17</v>
      </c>
      <c r="F2516" t="s">
        <v>562</v>
      </c>
      <c r="G2516" s="50" t="s">
        <v>559</v>
      </c>
      <c r="H2516" s="50">
        <v>2</v>
      </c>
      <c r="I2516" s="100">
        <v>6.7391919697301583</v>
      </c>
      <c r="J2516" s="52">
        <v>3834.68</v>
      </c>
      <c r="K2516" s="67">
        <f t="shared" si="160"/>
        <v>42149.353444512773</v>
      </c>
      <c r="L2516" s="95">
        <f>+VLOOKUP(E2516,MARGEN!A:B,2,FALSE)</f>
        <v>0.1</v>
      </c>
      <c r="M2516" s="112">
        <f t="shared" si="157"/>
        <v>4214.9353444512772</v>
      </c>
      <c r="N2516" s="113">
        <f t="shared" si="158"/>
        <v>168.59741377805111</v>
      </c>
      <c r="O2516" s="113">
        <f t="shared" si="159"/>
        <v>37765.820686283449</v>
      </c>
    </row>
    <row r="2517" spans="1:15" x14ac:dyDescent="0.25">
      <c r="A2517" s="13">
        <v>44452</v>
      </c>
      <c r="B2517" s="97">
        <v>1631</v>
      </c>
      <c r="C2517" t="s">
        <v>196</v>
      </c>
      <c r="D2517" s="94" t="s">
        <v>413</v>
      </c>
      <c r="E2517" t="s">
        <v>17</v>
      </c>
      <c r="F2517" t="s">
        <v>562</v>
      </c>
      <c r="G2517" s="50" t="s">
        <v>559</v>
      </c>
      <c r="H2517" s="50">
        <v>2</v>
      </c>
      <c r="I2517" s="100">
        <v>6.7391919697301583</v>
      </c>
      <c r="J2517" s="52">
        <v>3834.68</v>
      </c>
      <c r="K2517" s="67">
        <f t="shared" si="160"/>
        <v>42149.353444512773</v>
      </c>
      <c r="L2517" s="95">
        <f>+VLOOKUP(E2517,MARGEN!A:B,2,FALSE)</f>
        <v>0.1</v>
      </c>
      <c r="M2517" s="112">
        <f t="shared" si="157"/>
        <v>4214.9353444512772</v>
      </c>
      <c r="N2517" s="113">
        <f t="shared" si="158"/>
        <v>168.59741377805111</v>
      </c>
      <c r="O2517" s="113">
        <f t="shared" si="159"/>
        <v>37765.820686283449</v>
      </c>
    </row>
    <row r="2518" spans="1:15" x14ac:dyDescent="0.25">
      <c r="A2518" s="13">
        <v>44452</v>
      </c>
      <c r="B2518" s="97">
        <v>1607</v>
      </c>
      <c r="C2518" t="s">
        <v>285</v>
      </c>
      <c r="D2518" t="s">
        <v>534</v>
      </c>
      <c r="E2518" t="s">
        <v>17</v>
      </c>
      <c r="F2518" t="s">
        <v>566</v>
      </c>
      <c r="G2518" s="50" t="s">
        <v>559</v>
      </c>
      <c r="H2518" s="50">
        <v>2</v>
      </c>
      <c r="I2518" s="100">
        <v>6.7391919697301583</v>
      </c>
      <c r="J2518" s="52">
        <v>3834.68</v>
      </c>
      <c r="K2518" s="67">
        <f t="shared" si="160"/>
        <v>41529.12997261314</v>
      </c>
      <c r="L2518" s="95">
        <f>+VLOOKUP(E2518,MARGEN!A:B,2,FALSE)</f>
        <v>0.1</v>
      </c>
      <c r="M2518" s="112">
        <f t="shared" si="157"/>
        <v>4152.9129972613146</v>
      </c>
      <c r="N2518" s="113">
        <f t="shared" si="158"/>
        <v>166.11651989045257</v>
      </c>
      <c r="O2518" s="113">
        <f t="shared" si="159"/>
        <v>37210.100455461376</v>
      </c>
    </row>
    <row r="2519" spans="1:15" x14ac:dyDescent="0.25">
      <c r="A2519" s="13">
        <v>44452</v>
      </c>
      <c r="B2519" s="97">
        <v>1607</v>
      </c>
      <c r="C2519" t="s">
        <v>171</v>
      </c>
      <c r="D2519" s="94" t="s">
        <v>387</v>
      </c>
      <c r="E2519" t="s">
        <v>17</v>
      </c>
      <c r="F2519" t="s">
        <v>566</v>
      </c>
      <c r="G2519" s="50" t="s">
        <v>559</v>
      </c>
      <c r="H2519" s="50">
        <v>2</v>
      </c>
      <c r="I2519" s="100">
        <v>6.7391919697301583</v>
      </c>
      <c r="J2519" s="52">
        <v>3834.68</v>
      </c>
      <c r="K2519" s="67">
        <f t="shared" si="160"/>
        <v>41529.12997261314</v>
      </c>
      <c r="L2519" s="95">
        <f>+VLOOKUP(E2519,MARGEN!A:B,2,FALSE)</f>
        <v>0.1</v>
      </c>
      <c r="M2519" s="112">
        <f t="shared" si="157"/>
        <v>4152.9129972613146</v>
      </c>
      <c r="N2519" s="113">
        <f t="shared" si="158"/>
        <v>166.11651989045257</v>
      </c>
      <c r="O2519" s="113">
        <f t="shared" si="159"/>
        <v>37210.100455461376</v>
      </c>
    </row>
    <row r="2520" spans="1:15" x14ac:dyDescent="0.25">
      <c r="A2520" s="13">
        <v>44452</v>
      </c>
      <c r="B2520" s="97">
        <v>1607</v>
      </c>
      <c r="C2520" t="s">
        <v>180</v>
      </c>
      <c r="D2520" s="94" t="s">
        <v>447</v>
      </c>
      <c r="E2520" t="s">
        <v>17</v>
      </c>
      <c r="F2520" t="s">
        <v>562</v>
      </c>
      <c r="G2520" s="50" t="s">
        <v>559</v>
      </c>
      <c r="H2520" s="50">
        <v>2</v>
      </c>
      <c r="I2520" s="100">
        <v>6.7391919697301583</v>
      </c>
      <c r="J2520" s="52">
        <v>3834.68</v>
      </c>
      <c r="K2520" s="67">
        <f t="shared" si="160"/>
        <v>41529.12997261314</v>
      </c>
      <c r="L2520" s="95">
        <f>+VLOOKUP(E2520,MARGEN!A:B,2,FALSE)</f>
        <v>0.1</v>
      </c>
      <c r="M2520" s="112">
        <f t="shared" si="157"/>
        <v>4152.9129972613146</v>
      </c>
      <c r="N2520" s="113">
        <f t="shared" si="158"/>
        <v>166.11651989045257</v>
      </c>
      <c r="O2520" s="113">
        <f t="shared" si="159"/>
        <v>37210.100455461376</v>
      </c>
    </row>
    <row r="2521" spans="1:15" x14ac:dyDescent="0.25">
      <c r="A2521" s="13">
        <v>44452</v>
      </c>
      <c r="B2521" s="97">
        <v>1559</v>
      </c>
      <c r="C2521" t="s">
        <v>176</v>
      </c>
      <c r="D2521" s="94" t="s">
        <v>430</v>
      </c>
      <c r="E2521" t="s">
        <v>17</v>
      </c>
      <c r="F2521" t="s">
        <v>562</v>
      </c>
      <c r="G2521" s="50" t="s">
        <v>559</v>
      </c>
      <c r="H2521" s="50">
        <v>2</v>
      </c>
      <c r="I2521" s="100">
        <v>6.7391919697301583</v>
      </c>
      <c r="J2521" s="52">
        <v>3834.68</v>
      </c>
      <c r="K2521" s="67">
        <f t="shared" si="160"/>
        <v>40288.683028813866</v>
      </c>
      <c r="L2521" s="95">
        <f>+VLOOKUP(E2521,MARGEN!A:B,2,FALSE)</f>
        <v>0.1</v>
      </c>
      <c r="M2521" s="112">
        <f t="shared" si="157"/>
        <v>4028.8683028813866</v>
      </c>
      <c r="N2521" s="113">
        <f t="shared" si="158"/>
        <v>161.15473211525546</v>
      </c>
      <c r="O2521" s="113">
        <f t="shared" si="159"/>
        <v>36098.659993817222</v>
      </c>
    </row>
    <row r="2522" spans="1:15" x14ac:dyDescent="0.25">
      <c r="A2522" s="13">
        <v>44452</v>
      </c>
      <c r="B2522" s="97">
        <v>1535</v>
      </c>
      <c r="C2522" t="s">
        <v>137</v>
      </c>
      <c r="D2522" s="94" t="s">
        <v>418</v>
      </c>
      <c r="E2522" t="s">
        <v>17</v>
      </c>
      <c r="F2522" t="s">
        <v>566</v>
      </c>
      <c r="G2522" s="50" t="s">
        <v>559</v>
      </c>
      <c r="H2522" s="50">
        <v>2</v>
      </c>
      <c r="I2522" s="100">
        <v>6.7391919697301583</v>
      </c>
      <c r="J2522" s="52">
        <v>3834.68</v>
      </c>
      <c r="K2522" s="67">
        <f t="shared" si="160"/>
        <v>39668.459556914233</v>
      </c>
      <c r="L2522" s="95">
        <f>+VLOOKUP(E2522,MARGEN!A:B,2,FALSE)</f>
        <v>0.1</v>
      </c>
      <c r="M2522" s="112">
        <f t="shared" si="157"/>
        <v>3966.8459556914236</v>
      </c>
      <c r="N2522" s="113">
        <f t="shared" si="158"/>
        <v>158.67383822765694</v>
      </c>
      <c r="O2522" s="113">
        <f t="shared" si="159"/>
        <v>35542.939762995149</v>
      </c>
    </row>
    <row r="2523" spans="1:15" x14ac:dyDescent="0.25">
      <c r="A2523" s="13">
        <v>44452</v>
      </c>
      <c r="B2523" s="97">
        <v>1511</v>
      </c>
      <c r="C2523" t="s">
        <v>152</v>
      </c>
      <c r="D2523" s="94" t="s">
        <v>425</v>
      </c>
      <c r="E2523" t="s">
        <v>17</v>
      </c>
      <c r="F2523" t="s">
        <v>566</v>
      </c>
      <c r="G2523" s="50" t="s">
        <v>559</v>
      </c>
      <c r="H2523" s="50">
        <v>2</v>
      </c>
      <c r="I2523" s="100">
        <v>6.7391919697301583</v>
      </c>
      <c r="J2523" s="52">
        <v>3834.68</v>
      </c>
      <c r="K2523" s="67">
        <f t="shared" si="160"/>
        <v>39048.2360850146</v>
      </c>
      <c r="L2523" s="95">
        <f>+VLOOKUP(E2523,MARGEN!A:B,2,FALSE)</f>
        <v>0.1</v>
      </c>
      <c r="M2523" s="112">
        <f t="shared" si="157"/>
        <v>3904.8236085014601</v>
      </c>
      <c r="N2523" s="113">
        <f t="shared" si="158"/>
        <v>156.1929443400584</v>
      </c>
      <c r="O2523" s="113">
        <f t="shared" si="159"/>
        <v>34987.219532173083</v>
      </c>
    </row>
    <row r="2524" spans="1:15" x14ac:dyDescent="0.25">
      <c r="A2524" s="13">
        <v>44452</v>
      </c>
      <c r="B2524" s="97">
        <v>1511</v>
      </c>
      <c r="C2524" t="s">
        <v>291</v>
      </c>
      <c r="D2524" s="94" t="s">
        <v>492</v>
      </c>
      <c r="E2524" t="s">
        <v>17</v>
      </c>
      <c r="F2524" t="s">
        <v>566</v>
      </c>
      <c r="G2524" s="50" t="s">
        <v>559</v>
      </c>
      <c r="H2524" s="50">
        <v>2</v>
      </c>
      <c r="I2524" s="100">
        <v>6.7391919697301583</v>
      </c>
      <c r="J2524" s="52">
        <v>3834.68</v>
      </c>
      <c r="K2524" s="67">
        <f t="shared" si="160"/>
        <v>39048.2360850146</v>
      </c>
      <c r="L2524" s="95">
        <f>+VLOOKUP(E2524,MARGEN!A:B,2,FALSE)</f>
        <v>0.1</v>
      </c>
      <c r="M2524" s="112">
        <f t="shared" si="157"/>
        <v>3904.8236085014601</v>
      </c>
      <c r="N2524" s="113">
        <f t="shared" si="158"/>
        <v>156.1929443400584</v>
      </c>
      <c r="O2524" s="113">
        <f t="shared" si="159"/>
        <v>34987.219532173083</v>
      </c>
    </row>
    <row r="2525" spans="1:15" x14ac:dyDescent="0.25">
      <c r="A2525" s="13">
        <v>44452</v>
      </c>
      <c r="B2525" s="97">
        <v>1487</v>
      </c>
      <c r="C2525" t="s">
        <v>169</v>
      </c>
      <c r="D2525" s="94" t="s">
        <v>351</v>
      </c>
      <c r="E2525" t="s">
        <v>17</v>
      </c>
      <c r="F2525" t="s">
        <v>566</v>
      </c>
      <c r="G2525" s="50" t="s">
        <v>559</v>
      </c>
      <c r="H2525" s="50">
        <v>2</v>
      </c>
      <c r="I2525" s="100">
        <v>6.7391919697301583</v>
      </c>
      <c r="J2525" s="52">
        <v>3834.68</v>
      </c>
      <c r="K2525" s="67">
        <f t="shared" si="160"/>
        <v>38428.012613114959</v>
      </c>
      <c r="L2525" s="95">
        <f>+VLOOKUP(E2525,MARGEN!A:B,2,FALSE)</f>
        <v>0.1</v>
      </c>
      <c r="M2525" s="112">
        <f t="shared" si="157"/>
        <v>3842.8012613114961</v>
      </c>
      <c r="N2525" s="113">
        <f t="shared" si="158"/>
        <v>153.71205045245983</v>
      </c>
      <c r="O2525" s="113">
        <f t="shared" si="159"/>
        <v>34431.499301351003</v>
      </c>
    </row>
    <row r="2526" spans="1:15" x14ac:dyDescent="0.25">
      <c r="A2526" s="13">
        <v>44452</v>
      </c>
      <c r="B2526" s="97">
        <v>1487</v>
      </c>
      <c r="C2526" t="s">
        <v>294</v>
      </c>
      <c r="D2526" s="94" t="s">
        <v>527</v>
      </c>
      <c r="E2526" t="s">
        <v>17</v>
      </c>
      <c r="F2526" t="s">
        <v>566</v>
      </c>
      <c r="G2526" s="50" t="s">
        <v>559</v>
      </c>
      <c r="H2526" s="50">
        <v>2</v>
      </c>
      <c r="I2526" s="100">
        <v>6.7391919697301583</v>
      </c>
      <c r="J2526" s="52">
        <v>3834.68</v>
      </c>
      <c r="K2526" s="67">
        <f t="shared" si="160"/>
        <v>38428.012613114959</v>
      </c>
      <c r="L2526" s="95">
        <f>+VLOOKUP(E2526,MARGEN!A:B,2,FALSE)</f>
        <v>0.1</v>
      </c>
      <c r="M2526" s="112">
        <f t="shared" si="157"/>
        <v>3842.8012613114961</v>
      </c>
      <c r="N2526" s="113">
        <f t="shared" si="158"/>
        <v>153.71205045245983</v>
      </c>
      <c r="O2526" s="113">
        <f t="shared" si="159"/>
        <v>34431.499301351003</v>
      </c>
    </row>
    <row r="2527" spans="1:15" x14ac:dyDescent="0.25">
      <c r="A2527" s="13">
        <v>44452</v>
      </c>
      <c r="B2527" s="97">
        <v>1487</v>
      </c>
      <c r="C2527" t="s">
        <v>202</v>
      </c>
      <c r="D2527" s="94" t="s">
        <v>436</v>
      </c>
      <c r="E2527" t="s">
        <v>17</v>
      </c>
      <c r="F2527" t="s">
        <v>566</v>
      </c>
      <c r="G2527" s="50" t="s">
        <v>559</v>
      </c>
      <c r="H2527" s="50">
        <v>2</v>
      </c>
      <c r="I2527" s="100">
        <v>6.7391919697301583</v>
      </c>
      <c r="J2527" s="52">
        <v>3834.68</v>
      </c>
      <c r="K2527" s="67">
        <f t="shared" si="160"/>
        <v>38428.012613114959</v>
      </c>
      <c r="L2527" s="95">
        <f>+VLOOKUP(E2527,MARGEN!A:B,2,FALSE)</f>
        <v>0.1</v>
      </c>
      <c r="M2527" s="112">
        <f t="shared" si="157"/>
        <v>3842.8012613114961</v>
      </c>
      <c r="N2527" s="113">
        <f t="shared" si="158"/>
        <v>153.71205045245983</v>
      </c>
      <c r="O2527" s="113">
        <f t="shared" si="159"/>
        <v>34431.499301351003</v>
      </c>
    </row>
    <row r="2528" spans="1:15" x14ac:dyDescent="0.25">
      <c r="A2528" s="13">
        <v>44452</v>
      </c>
      <c r="B2528" s="97">
        <v>1463</v>
      </c>
      <c r="C2528" t="s">
        <v>297</v>
      </c>
      <c r="D2528" s="94" t="s">
        <v>526</v>
      </c>
      <c r="E2528" t="s">
        <v>17</v>
      </c>
      <c r="F2528" t="s">
        <v>566</v>
      </c>
      <c r="G2528" s="50" t="s">
        <v>559</v>
      </c>
      <c r="H2528" s="50">
        <v>2</v>
      </c>
      <c r="I2528" s="100">
        <v>6.7391919697301583</v>
      </c>
      <c r="J2528" s="52">
        <v>3834.68</v>
      </c>
      <c r="K2528" s="67">
        <f t="shared" si="160"/>
        <v>37807.789141215326</v>
      </c>
      <c r="L2528" s="95">
        <f>+VLOOKUP(E2528,MARGEN!A:B,2,FALSE)</f>
        <v>0.1</v>
      </c>
      <c r="M2528" s="112">
        <f t="shared" si="157"/>
        <v>3780.7789141215326</v>
      </c>
      <c r="N2528" s="113">
        <f t="shared" si="158"/>
        <v>151.23115656486129</v>
      </c>
      <c r="O2528" s="113">
        <f t="shared" si="159"/>
        <v>33875.77907052893</v>
      </c>
    </row>
    <row r="2529" spans="1:15" x14ac:dyDescent="0.25">
      <c r="A2529" s="13">
        <v>44452</v>
      </c>
      <c r="B2529" s="97">
        <v>1463</v>
      </c>
      <c r="C2529" t="s">
        <v>119</v>
      </c>
      <c r="D2529" s="94" t="s">
        <v>377</v>
      </c>
      <c r="E2529" t="s">
        <v>17</v>
      </c>
      <c r="F2529" t="s">
        <v>562</v>
      </c>
      <c r="G2529" s="50" t="s">
        <v>559</v>
      </c>
      <c r="H2529" s="50">
        <v>2</v>
      </c>
      <c r="I2529" s="100">
        <v>6.7391919697301583</v>
      </c>
      <c r="J2529" s="52">
        <v>3834.68</v>
      </c>
      <c r="K2529" s="67">
        <f t="shared" si="160"/>
        <v>37807.789141215326</v>
      </c>
      <c r="L2529" s="95">
        <f>+VLOOKUP(E2529,MARGEN!A:B,2,FALSE)</f>
        <v>0.1</v>
      </c>
      <c r="M2529" s="112">
        <f t="shared" si="157"/>
        <v>3780.7789141215326</v>
      </c>
      <c r="N2529" s="113">
        <f t="shared" si="158"/>
        <v>151.23115656486129</v>
      </c>
      <c r="O2529" s="113">
        <f t="shared" si="159"/>
        <v>33875.77907052893</v>
      </c>
    </row>
    <row r="2530" spans="1:15" x14ac:dyDescent="0.25">
      <c r="A2530" s="13">
        <v>44452</v>
      </c>
      <c r="B2530" s="51">
        <v>1439</v>
      </c>
      <c r="C2530" s="66" t="s">
        <v>200</v>
      </c>
      <c r="D2530" s="66" t="s">
        <v>428</v>
      </c>
      <c r="E2530" t="s">
        <v>17</v>
      </c>
      <c r="F2530" s="50" t="s">
        <v>566</v>
      </c>
      <c r="G2530" s="50" t="s">
        <v>559</v>
      </c>
      <c r="H2530" s="50">
        <v>2</v>
      </c>
      <c r="I2530" s="100">
        <v>6.7391919697301583</v>
      </c>
      <c r="J2530" s="52">
        <v>3834.68</v>
      </c>
      <c r="K2530" s="67">
        <f t="shared" si="160"/>
        <v>37187.565669315685</v>
      </c>
      <c r="L2530" s="95">
        <f>+VLOOKUP(E2530,MARGEN!A:B,2,FALSE)</f>
        <v>0.1</v>
      </c>
      <c r="M2530" s="112">
        <f t="shared" si="157"/>
        <v>3718.7565669315686</v>
      </c>
      <c r="N2530" s="113">
        <f t="shared" si="158"/>
        <v>148.75026267726275</v>
      </c>
      <c r="O2530" s="113">
        <f t="shared" si="159"/>
        <v>33320.058839706857</v>
      </c>
    </row>
    <row r="2531" spans="1:15" x14ac:dyDescent="0.25">
      <c r="A2531" s="13">
        <v>44452</v>
      </c>
      <c r="B2531" s="97">
        <v>1439</v>
      </c>
      <c r="C2531" t="s">
        <v>168</v>
      </c>
      <c r="D2531" t="s">
        <v>352</v>
      </c>
      <c r="E2531" t="s">
        <v>17</v>
      </c>
      <c r="F2531" t="s">
        <v>562</v>
      </c>
      <c r="G2531" s="50" t="s">
        <v>559</v>
      </c>
      <c r="H2531" s="50">
        <v>2</v>
      </c>
      <c r="I2531" s="100">
        <v>6.7391919697301583</v>
      </c>
      <c r="J2531" s="52">
        <v>3834.68</v>
      </c>
      <c r="K2531" s="67">
        <f t="shared" si="160"/>
        <v>37187.565669315685</v>
      </c>
      <c r="L2531" s="95">
        <f>+VLOOKUP(E2531,MARGEN!A:B,2,FALSE)</f>
        <v>0.1</v>
      </c>
      <c r="M2531" s="112">
        <f t="shared" si="157"/>
        <v>3718.7565669315686</v>
      </c>
      <c r="N2531" s="113">
        <f t="shared" si="158"/>
        <v>148.75026267726275</v>
      </c>
      <c r="O2531" s="113">
        <f t="shared" si="159"/>
        <v>33320.058839706857</v>
      </c>
    </row>
    <row r="2532" spans="1:15" x14ac:dyDescent="0.25">
      <c r="A2532" s="13">
        <v>44452</v>
      </c>
      <c r="B2532" s="97">
        <v>1391</v>
      </c>
      <c r="C2532" t="s">
        <v>210</v>
      </c>
      <c r="D2532" s="94" t="s">
        <v>402</v>
      </c>
      <c r="E2532" t="s">
        <v>17</v>
      </c>
      <c r="F2532" t="s">
        <v>566</v>
      </c>
      <c r="G2532" s="50" t="s">
        <v>559</v>
      </c>
      <c r="H2532" s="50">
        <v>2</v>
      </c>
      <c r="I2532" s="100">
        <v>6.7391919697301583</v>
      </c>
      <c r="J2532" s="52">
        <v>3834.68</v>
      </c>
      <c r="K2532" s="67">
        <f t="shared" si="160"/>
        <v>35947.118725516419</v>
      </c>
      <c r="L2532" s="95">
        <f>+VLOOKUP(E2532,MARGEN!A:B,2,FALSE)</f>
        <v>0.1</v>
      </c>
      <c r="M2532" s="112">
        <f t="shared" si="157"/>
        <v>3594.711872551642</v>
      </c>
      <c r="N2532" s="113">
        <f t="shared" si="158"/>
        <v>143.78847490206567</v>
      </c>
      <c r="O2532" s="113">
        <f t="shared" si="159"/>
        <v>32208.618378062711</v>
      </c>
    </row>
    <row r="2533" spans="1:15" x14ac:dyDescent="0.25">
      <c r="A2533" s="13">
        <v>44452</v>
      </c>
      <c r="B2533" s="97">
        <v>1367</v>
      </c>
      <c r="C2533" t="s">
        <v>173</v>
      </c>
      <c r="D2533" s="94" t="s">
        <v>451</v>
      </c>
      <c r="E2533" t="s">
        <v>17</v>
      </c>
      <c r="F2533" t="s">
        <v>562</v>
      </c>
      <c r="G2533" s="50" t="s">
        <v>559</v>
      </c>
      <c r="H2533" s="50">
        <v>2</v>
      </c>
      <c r="I2533" s="100">
        <v>6.7391919697301583</v>
      </c>
      <c r="J2533" s="52">
        <v>3834.68</v>
      </c>
      <c r="K2533" s="67">
        <f t="shared" si="160"/>
        <v>35326.895253616778</v>
      </c>
      <c r="L2533" s="95">
        <f>+VLOOKUP(E2533,MARGEN!A:B,2,FALSE)</f>
        <v>0.1</v>
      </c>
      <c r="M2533" s="112">
        <f t="shared" si="157"/>
        <v>3532.6895253616781</v>
      </c>
      <c r="N2533" s="113">
        <f t="shared" si="158"/>
        <v>141.3075810144671</v>
      </c>
      <c r="O2533" s="113">
        <f t="shared" si="159"/>
        <v>31652.898147240634</v>
      </c>
    </row>
    <row r="2534" spans="1:15" x14ac:dyDescent="0.25">
      <c r="A2534" s="13">
        <v>44452</v>
      </c>
      <c r="B2534" s="97">
        <v>1343</v>
      </c>
      <c r="C2534" t="s">
        <v>292</v>
      </c>
      <c r="D2534" t="s">
        <v>535</v>
      </c>
      <c r="E2534" t="s">
        <v>17</v>
      </c>
      <c r="F2534" t="s">
        <v>566</v>
      </c>
      <c r="G2534" s="50" t="s">
        <v>559</v>
      </c>
      <c r="H2534" s="50">
        <v>2</v>
      </c>
      <c r="I2534" s="100">
        <v>6.7391919697301583</v>
      </c>
      <c r="J2534" s="52">
        <v>3834.68</v>
      </c>
      <c r="K2534" s="67">
        <f t="shared" si="160"/>
        <v>34706.671781717145</v>
      </c>
      <c r="L2534" s="95">
        <f>+VLOOKUP(E2534,MARGEN!A:B,2,FALSE)</f>
        <v>0.1</v>
      </c>
      <c r="M2534" s="112">
        <f t="shared" si="157"/>
        <v>3470.6671781717146</v>
      </c>
      <c r="N2534" s="113">
        <f t="shared" si="158"/>
        <v>138.82668712686859</v>
      </c>
      <c r="O2534" s="113">
        <f t="shared" si="159"/>
        <v>31097.177916418561</v>
      </c>
    </row>
    <row r="2535" spans="1:15" x14ac:dyDescent="0.25">
      <c r="A2535" s="13">
        <v>44452</v>
      </c>
      <c r="B2535" s="97">
        <v>1319</v>
      </c>
      <c r="C2535" s="88" t="s">
        <v>298</v>
      </c>
      <c r="D2535" s="94" t="s">
        <v>536</v>
      </c>
      <c r="E2535" t="s">
        <v>17</v>
      </c>
      <c r="F2535" s="88" t="s">
        <v>562</v>
      </c>
      <c r="G2535" s="50" t="s">
        <v>559</v>
      </c>
      <c r="H2535" s="50">
        <v>2</v>
      </c>
      <c r="I2535" s="100">
        <v>6.7391919697301583</v>
      </c>
      <c r="J2535" s="52">
        <v>3834.68</v>
      </c>
      <c r="K2535" s="67">
        <f t="shared" si="160"/>
        <v>34086.448309817511</v>
      </c>
      <c r="L2535" s="95">
        <f>+VLOOKUP(E2535,MARGEN!A:B,2,FALSE)</f>
        <v>0.1</v>
      </c>
      <c r="M2535" s="112">
        <f t="shared" si="157"/>
        <v>3408.6448309817515</v>
      </c>
      <c r="N2535" s="113">
        <f t="shared" si="158"/>
        <v>136.34579323927005</v>
      </c>
      <c r="O2535" s="113">
        <f t="shared" si="159"/>
        <v>30541.457685596492</v>
      </c>
    </row>
    <row r="2536" spans="1:15" x14ac:dyDescent="0.25">
      <c r="A2536" s="13">
        <v>44452</v>
      </c>
      <c r="B2536" s="97">
        <v>1295</v>
      </c>
      <c r="C2536" t="s">
        <v>211</v>
      </c>
      <c r="D2536" s="94" t="s">
        <v>382</v>
      </c>
      <c r="E2536" t="s">
        <v>17</v>
      </c>
      <c r="F2536" t="s">
        <v>566</v>
      </c>
      <c r="G2536" s="50" t="s">
        <v>559</v>
      </c>
      <c r="H2536" s="50">
        <v>2</v>
      </c>
      <c r="I2536" s="100">
        <v>6.7391919697301583</v>
      </c>
      <c r="J2536" s="52">
        <v>3834.68</v>
      </c>
      <c r="K2536" s="67">
        <f t="shared" si="160"/>
        <v>33466.224837917871</v>
      </c>
      <c r="L2536" s="95">
        <f>+VLOOKUP(E2536,MARGEN!A:B,2,FALSE)</f>
        <v>0.1</v>
      </c>
      <c r="M2536" s="112">
        <f t="shared" si="157"/>
        <v>3346.6224837917871</v>
      </c>
      <c r="N2536" s="113">
        <f t="shared" si="158"/>
        <v>133.86489935167148</v>
      </c>
      <c r="O2536" s="113">
        <f t="shared" si="159"/>
        <v>29985.737454774411</v>
      </c>
    </row>
    <row r="2537" spans="1:15" x14ac:dyDescent="0.25">
      <c r="A2537" s="13">
        <v>44452</v>
      </c>
      <c r="B2537" s="51">
        <v>1295</v>
      </c>
      <c r="C2537" s="66" t="s">
        <v>303</v>
      </c>
      <c r="D2537" s="66" t="s">
        <v>539</v>
      </c>
      <c r="E2537" t="s">
        <v>17</v>
      </c>
      <c r="F2537" s="50" t="s">
        <v>566</v>
      </c>
      <c r="G2537" s="50" t="s">
        <v>559</v>
      </c>
      <c r="H2537" s="50">
        <v>2</v>
      </c>
      <c r="I2537" s="100">
        <v>6.7391919697301583</v>
      </c>
      <c r="J2537" s="52">
        <v>3834.68</v>
      </c>
      <c r="K2537" s="67">
        <f t="shared" si="160"/>
        <v>33466.224837917871</v>
      </c>
      <c r="L2537" s="95">
        <f>+VLOOKUP(E2537,MARGEN!A:B,2,FALSE)</f>
        <v>0.1</v>
      </c>
      <c r="M2537" s="112">
        <f t="shared" si="157"/>
        <v>3346.6224837917871</v>
      </c>
      <c r="N2537" s="113">
        <f t="shared" si="158"/>
        <v>133.86489935167148</v>
      </c>
      <c r="O2537" s="113">
        <f t="shared" si="159"/>
        <v>29985.737454774411</v>
      </c>
    </row>
    <row r="2538" spans="1:15" x14ac:dyDescent="0.25">
      <c r="A2538" s="13">
        <v>44452</v>
      </c>
      <c r="B2538" s="97">
        <v>1295</v>
      </c>
      <c r="C2538" t="s">
        <v>151</v>
      </c>
      <c r="D2538" s="94" t="s">
        <v>394</v>
      </c>
      <c r="E2538" t="s">
        <v>17</v>
      </c>
      <c r="F2538" t="s">
        <v>566</v>
      </c>
      <c r="G2538" s="50" t="s">
        <v>559</v>
      </c>
      <c r="H2538" s="50">
        <v>2</v>
      </c>
      <c r="I2538" s="100">
        <v>6.7391919697301583</v>
      </c>
      <c r="J2538" s="52">
        <v>3834.68</v>
      </c>
      <c r="K2538" s="67">
        <f t="shared" si="160"/>
        <v>33466.224837917871</v>
      </c>
      <c r="L2538" s="95">
        <f>+VLOOKUP(E2538,MARGEN!A:B,2,FALSE)</f>
        <v>0.1</v>
      </c>
      <c r="M2538" s="112">
        <f t="shared" si="157"/>
        <v>3346.6224837917871</v>
      </c>
      <c r="N2538" s="113">
        <f t="shared" si="158"/>
        <v>133.86489935167148</v>
      </c>
      <c r="O2538" s="113">
        <f t="shared" si="159"/>
        <v>29985.737454774411</v>
      </c>
    </row>
    <row r="2539" spans="1:15" x14ac:dyDescent="0.25">
      <c r="A2539" s="13">
        <v>44452</v>
      </c>
      <c r="B2539" s="97">
        <v>1223</v>
      </c>
      <c r="C2539" t="s">
        <v>299</v>
      </c>
      <c r="D2539" t="s">
        <v>537</v>
      </c>
      <c r="E2539" t="s">
        <v>17</v>
      </c>
      <c r="F2539" t="s">
        <v>566</v>
      </c>
      <c r="G2539" s="50" t="s">
        <v>559</v>
      </c>
      <c r="H2539" s="50">
        <v>2</v>
      </c>
      <c r="I2539" s="100">
        <v>6.7391919697301583</v>
      </c>
      <c r="J2539" s="52">
        <v>3834.68</v>
      </c>
      <c r="K2539" s="67">
        <f t="shared" si="160"/>
        <v>31605.55442221896</v>
      </c>
      <c r="L2539" s="95">
        <f>+VLOOKUP(E2539,MARGEN!A:B,2,FALSE)</f>
        <v>0.1</v>
      </c>
      <c r="M2539" s="112">
        <f t="shared" si="157"/>
        <v>3160.5554422218961</v>
      </c>
      <c r="N2539" s="113">
        <f t="shared" si="158"/>
        <v>126.42221768887585</v>
      </c>
      <c r="O2539" s="113">
        <f t="shared" si="159"/>
        <v>28318.576762308188</v>
      </c>
    </row>
    <row r="2540" spans="1:15" x14ac:dyDescent="0.25">
      <c r="A2540" s="13">
        <v>44452</v>
      </c>
      <c r="B2540" s="97">
        <v>1199</v>
      </c>
      <c r="C2540" t="s">
        <v>201</v>
      </c>
      <c r="D2540" s="94" t="s">
        <v>374</v>
      </c>
      <c r="E2540" t="s">
        <v>17</v>
      </c>
      <c r="F2540" t="s">
        <v>566</v>
      </c>
      <c r="G2540" s="50" t="s">
        <v>559</v>
      </c>
      <c r="H2540" s="50">
        <v>2</v>
      </c>
      <c r="I2540" s="100">
        <v>6.7391919697301583</v>
      </c>
      <c r="J2540" s="52">
        <v>3834.68</v>
      </c>
      <c r="K2540" s="67">
        <f t="shared" si="160"/>
        <v>30985.330950319327</v>
      </c>
      <c r="L2540" s="95">
        <f>+VLOOKUP(E2540,MARGEN!A:B,2,FALSE)</f>
        <v>0.1</v>
      </c>
      <c r="M2540" s="112">
        <f t="shared" si="157"/>
        <v>3098.533095031933</v>
      </c>
      <c r="N2540" s="113">
        <f t="shared" si="158"/>
        <v>123.94132380127731</v>
      </c>
      <c r="O2540" s="113">
        <f t="shared" si="159"/>
        <v>27762.856531486115</v>
      </c>
    </row>
    <row r="2541" spans="1:15" x14ac:dyDescent="0.25">
      <c r="A2541" s="13">
        <v>44452</v>
      </c>
      <c r="B2541" s="97">
        <v>1199</v>
      </c>
      <c r="C2541" t="s">
        <v>308</v>
      </c>
      <c r="D2541" s="94" t="s">
        <v>500</v>
      </c>
      <c r="E2541" t="s">
        <v>17</v>
      </c>
      <c r="F2541" t="s">
        <v>566</v>
      </c>
      <c r="G2541" s="50" t="s">
        <v>559</v>
      </c>
      <c r="H2541" s="50">
        <v>2</v>
      </c>
      <c r="I2541" s="100">
        <v>6.7391919697301583</v>
      </c>
      <c r="J2541" s="52">
        <v>3834.68</v>
      </c>
      <c r="K2541" s="67">
        <f t="shared" si="160"/>
        <v>30985.330950319327</v>
      </c>
      <c r="L2541" s="95">
        <f>+VLOOKUP(E2541,MARGEN!A:B,2,FALSE)</f>
        <v>0.1</v>
      </c>
      <c r="M2541" s="112">
        <f t="shared" si="157"/>
        <v>3098.533095031933</v>
      </c>
      <c r="N2541" s="113">
        <f t="shared" si="158"/>
        <v>123.94132380127731</v>
      </c>
      <c r="O2541" s="113">
        <f t="shared" si="159"/>
        <v>27762.856531486115</v>
      </c>
    </row>
    <row r="2542" spans="1:15" x14ac:dyDescent="0.25">
      <c r="A2542" s="13">
        <v>44452</v>
      </c>
      <c r="B2542" s="97">
        <v>1199</v>
      </c>
      <c r="C2542" t="s">
        <v>199</v>
      </c>
      <c r="D2542" s="94" t="s">
        <v>414</v>
      </c>
      <c r="E2542" t="s">
        <v>17</v>
      </c>
      <c r="F2542" t="s">
        <v>566</v>
      </c>
      <c r="G2542" s="50" t="s">
        <v>559</v>
      </c>
      <c r="H2542" s="50">
        <v>2</v>
      </c>
      <c r="I2542" s="100">
        <v>6.7391919697301583</v>
      </c>
      <c r="J2542" s="52">
        <v>3834.68</v>
      </c>
      <c r="K2542" s="67">
        <f t="shared" si="160"/>
        <v>30985.330950319327</v>
      </c>
      <c r="L2542" s="95">
        <f>+VLOOKUP(E2542,MARGEN!A:B,2,FALSE)</f>
        <v>0.1</v>
      </c>
      <c r="M2542" s="112">
        <f t="shared" si="157"/>
        <v>3098.533095031933</v>
      </c>
      <c r="N2542" s="113">
        <f t="shared" si="158"/>
        <v>123.94132380127731</v>
      </c>
      <c r="O2542" s="113">
        <f t="shared" si="159"/>
        <v>27762.856531486115</v>
      </c>
    </row>
    <row r="2543" spans="1:15" x14ac:dyDescent="0.25">
      <c r="A2543" s="13">
        <v>44452</v>
      </c>
      <c r="B2543" s="97">
        <v>1151</v>
      </c>
      <c r="C2543" t="s">
        <v>184</v>
      </c>
      <c r="D2543" s="94" t="s">
        <v>443</v>
      </c>
      <c r="E2543" t="s">
        <v>17</v>
      </c>
      <c r="F2543" t="s">
        <v>566</v>
      </c>
      <c r="G2543" s="50" t="s">
        <v>559</v>
      </c>
      <c r="H2543" s="50">
        <v>2</v>
      </c>
      <c r="I2543" s="100">
        <v>6.7391919697301583</v>
      </c>
      <c r="J2543" s="52">
        <v>3834.68</v>
      </c>
      <c r="K2543" s="67">
        <f t="shared" si="160"/>
        <v>29744.884006520053</v>
      </c>
      <c r="L2543" s="95">
        <f>+VLOOKUP(E2543,MARGEN!A:B,2,FALSE)</f>
        <v>0.1</v>
      </c>
      <c r="M2543" s="112">
        <f t="shared" si="157"/>
        <v>2974.4884006520056</v>
      </c>
      <c r="N2543" s="113">
        <f t="shared" si="158"/>
        <v>118.97953602608021</v>
      </c>
      <c r="O2543" s="113">
        <f t="shared" si="159"/>
        <v>26651.416069841969</v>
      </c>
    </row>
    <row r="2544" spans="1:15" x14ac:dyDescent="0.25">
      <c r="A2544" s="13">
        <v>44452</v>
      </c>
      <c r="B2544" s="97">
        <v>743</v>
      </c>
      <c r="C2544" t="s">
        <v>181</v>
      </c>
      <c r="D2544" s="94" t="s">
        <v>415</v>
      </c>
      <c r="E2544" t="s">
        <v>17</v>
      </c>
      <c r="F2544" t="s">
        <v>566</v>
      </c>
      <c r="G2544" s="50" t="s">
        <v>559</v>
      </c>
      <c r="H2544" s="50">
        <v>2</v>
      </c>
      <c r="I2544" s="100">
        <v>6.7391919697301583</v>
      </c>
      <c r="J2544" s="52">
        <v>3834.68</v>
      </c>
      <c r="K2544" s="67">
        <f t="shared" si="160"/>
        <v>19201.08498422624</v>
      </c>
      <c r="L2544" s="95">
        <f>+VLOOKUP(E2544,MARGEN!A:B,2,FALSE)</f>
        <v>0.1</v>
      </c>
      <c r="M2544" s="112">
        <f t="shared" si="157"/>
        <v>1920.1084984226241</v>
      </c>
      <c r="N2544" s="113">
        <f t="shared" si="158"/>
        <v>76.804339936904952</v>
      </c>
      <c r="O2544" s="113">
        <f t="shared" si="159"/>
        <v>17204.172145866709</v>
      </c>
    </row>
    <row r="2545" spans="1:15" x14ac:dyDescent="0.25">
      <c r="A2545" s="13">
        <v>44453</v>
      </c>
      <c r="B2545" s="97">
        <v>8470</v>
      </c>
      <c r="C2545" t="s">
        <v>164</v>
      </c>
      <c r="D2545" s="94" t="s">
        <v>445</v>
      </c>
      <c r="E2545" t="s">
        <v>17</v>
      </c>
      <c r="F2545" t="s">
        <v>551</v>
      </c>
      <c r="G2545" s="50" t="s">
        <v>205</v>
      </c>
      <c r="H2545" s="50">
        <v>2</v>
      </c>
      <c r="I2545" s="100">
        <v>6.7391919697301583</v>
      </c>
      <c r="J2545" s="52">
        <v>3834.68</v>
      </c>
      <c r="K2545" s="67">
        <f t="shared" si="160"/>
        <v>218887.20029124661</v>
      </c>
      <c r="L2545" s="95">
        <f>+VLOOKUP(E2545,MARGEN!A:B,2,FALSE)</f>
        <v>0.1</v>
      </c>
      <c r="M2545" s="112">
        <f t="shared" si="157"/>
        <v>21888.720029124663</v>
      </c>
      <c r="N2545" s="113">
        <f t="shared" si="158"/>
        <v>875.54880116498646</v>
      </c>
      <c r="O2545" s="113">
        <f t="shared" si="159"/>
        <v>196122.93146095696</v>
      </c>
    </row>
    <row r="2546" spans="1:15" x14ac:dyDescent="0.25">
      <c r="A2546" s="13">
        <v>44453</v>
      </c>
      <c r="B2546" s="97">
        <v>6766</v>
      </c>
      <c r="C2546" t="s">
        <v>150</v>
      </c>
      <c r="D2546" s="94" t="s">
        <v>357</v>
      </c>
      <c r="E2546" t="s">
        <v>17</v>
      </c>
      <c r="F2546" t="s">
        <v>551</v>
      </c>
      <c r="G2546" s="50" t="s">
        <v>205</v>
      </c>
      <c r="H2546" s="50">
        <v>2</v>
      </c>
      <c r="I2546" s="100">
        <v>6.7391919697301583</v>
      </c>
      <c r="J2546" s="52">
        <v>3834.68</v>
      </c>
      <c r="K2546" s="67">
        <f t="shared" si="160"/>
        <v>174851.33378637244</v>
      </c>
      <c r="L2546" s="95">
        <f>+VLOOKUP(E2546,MARGEN!A:B,2,FALSE)</f>
        <v>0.1</v>
      </c>
      <c r="M2546" s="112">
        <f t="shared" si="157"/>
        <v>17485.133378637245</v>
      </c>
      <c r="N2546" s="113">
        <f t="shared" si="158"/>
        <v>699.40533514548974</v>
      </c>
      <c r="O2546" s="113">
        <f t="shared" si="159"/>
        <v>156666.79507258971</v>
      </c>
    </row>
    <row r="2547" spans="1:15" x14ac:dyDescent="0.25">
      <c r="A2547" s="13">
        <v>44453</v>
      </c>
      <c r="B2547" s="97">
        <v>5974</v>
      </c>
      <c r="C2547" s="88" t="s">
        <v>279</v>
      </c>
      <c r="D2547" t="s">
        <v>493</v>
      </c>
      <c r="E2547" t="s">
        <v>17</v>
      </c>
      <c r="F2547" t="s">
        <v>551</v>
      </c>
      <c r="G2547" s="50" t="s">
        <v>205</v>
      </c>
      <c r="H2547" s="50">
        <v>2</v>
      </c>
      <c r="I2547" s="100">
        <v>6.7391919697301583</v>
      </c>
      <c r="J2547" s="52">
        <v>3834.68</v>
      </c>
      <c r="K2547" s="67">
        <f t="shared" si="160"/>
        <v>154383.95921368443</v>
      </c>
      <c r="L2547" s="95">
        <f>+VLOOKUP(E2547,MARGEN!A:B,2,FALSE)</f>
        <v>0.1</v>
      </c>
      <c r="M2547" s="112">
        <f t="shared" si="157"/>
        <v>15438.395921368443</v>
      </c>
      <c r="N2547" s="113">
        <f t="shared" si="158"/>
        <v>617.53583685473768</v>
      </c>
      <c r="O2547" s="113">
        <f t="shared" si="159"/>
        <v>138328.02745546124</v>
      </c>
    </row>
    <row r="2548" spans="1:15" x14ac:dyDescent="0.25">
      <c r="A2548" s="13">
        <v>44453</v>
      </c>
      <c r="B2548" s="97">
        <v>5254</v>
      </c>
      <c r="C2548" t="s">
        <v>278</v>
      </c>
      <c r="D2548" s="94" t="s">
        <v>453</v>
      </c>
      <c r="E2548" t="s">
        <v>17</v>
      </c>
      <c r="F2548" t="s">
        <v>551</v>
      </c>
      <c r="G2548" s="50" t="s">
        <v>205</v>
      </c>
      <c r="H2548" s="50">
        <v>2</v>
      </c>
      <c r="I2548" s="100">
        <v>6.7391919697301583</v>
      </c>
      <c r="J2548" s="52">
        <v>3834.68</v>
      </c>
      <c r="K2548" s="67">
        <f t="shared" si="160"/>
        <v>135777.25505669537</v>
      </c>
      <c r="L2548" s="95">
        <f>+VLOOKUP(E2548,MARGEN!A:B,2,FALSE)</f>
        <v>0.1</v>
      </c>
      <c r="M2548" s="112">
        <f t="shared" si="157"/>
        <v>13577.725505669538</v>
      </c>
      <c r="N2548" s="113">
        <f t="shared" si="158"/>
        <v>543.10902022678147</v>
      </c>
      <c r="O2548" s="113">
        <f t="shared" si="159"/>
        <v>121656.42053079905</v>
      </c>
    </row>
    <row r="2549" spans="1:15" x14ac:dyDescent="0.25">
      <c r="A2549" s="13">
        <v>44453</v>
      </c>
      <c r="B2549" s="97">
        <v>4631</v>
      </c>
      <c r="C2549" t="s">
        <v>136</v>
      </c>
      <c r="D2549" s="94" t="s">
        <v>359</v>
      </c>
      <c r="E2549" t="s">
        <v>17</v>
      </c>
      <c r="F2549" t="s">
        <v>551</v>
      </c>
      <c r="G2549" s="50" t="s">
        <v>205</v>
      </c>
      <c r="H2549" s="50">
        <v>2</v>
      </c>
      <c r="I2549" s="100">
        <v>6.7391919697301583</v>
      </c>
      <c r="J2549" s="52">
        <v>3834.68</v>
      </c>
      <c r="K2549" s="67">
        <f t="shared" si="160"/>
        <v>119677.28743196731</v>
      </c>
      <c r="L2549" s="95">
        <f>+VLOOKUP(E2549,MARGEN!A:B,2,FALSE)</f>
        <v>0.1</v>
      </c>
      <c r="M2549" s="112">
        <f t="shared" si="157"/>
        <v>11967.728743196732</v>
      </c>
      <c r="N2549" s="113">
        <f t="shared" si="158"/>
        <v>478.70914972786926</v>
      </c>
      <c r="O2549" s="113">
        <f t="shared" si="159"/>
        <v>107230.84953904271</v>
      </c>
    </row>
    <row r="2550" spans="1:15" x14ac:dyDescent="0.25">
      <c r="A2550" s="13">
        <v>44453</v>
      </c>
      <c r="B2550" s="97">
        <v>4271</v>
      </c>
      <c r="C2550" t="s">
        <v>193</v>
      </c>
      <c r="D2550" s="94" t="s">
        <v>380</v>
      </c>
      <c r="E2550" t="s">
        <v>17</v>
      </c>
      <c r="F2550" t="s">
        <v>551</v>
      </c>
      <c r="G2550" s="50" t="s">
        <v>205</v>
      </c>
      <c r="H2550" s="50">
        <v>2</v>
      </c>
      <c r="I2550" s="100">
        <v>6.7391919697301583</v>
      </c>
      <c r="J2550" s="52">
        <v>3834.68</v>
      </c>
      <c r="K2550" s="67">
        <f t="shared" si="160"/>
        <v>110373.93535347277</v>
      </c>
      <c r="L2550" s="95">
        <f>+VLOOKUP(E2550,MARGEN!A:B,2,FALSE)</f>
        <v>0.1</v>
      </c>
      <c r="M2550" s="112">
        <f t="shared" si="157"/>
        <v>11037.393535347277</v>
      </c>
      <c r="N2550" s="113">
        <f t="shared" si="158"/>
        <v>441.4957414138911</v>
      </c>
      <c r="O2550" s="113">
        <f t="shared" si="159"/>
        <v>98895.046076711602</v>
      </c>
    </row>
    <row r="2551" spans="1:15" x14ac:dyDescent="0.25">
      <c r="A2551" s="13">
        <v>44453</v>
      </c>
      <c r="B2551" s="97">
        <v>4079</v>
      </c>
      <c r="C2551" t="s">
        <v>148</v>
      </c>
      <c r="D2551" s="94" t="s">
        <v>323</v>
      </c>
      <c r="E2551" t="s">
        <v>17</v>
      </c>
      <c r="F2551" t="s">
        <v>551</v>
      </c>
      <c r="G2551" s="50" t="s">
        <v>205</v>
      </c>
      <c r="H2551" s="50">
        <v>2</v>
      </c>
      <c r="I2551" s="100">
        <v>6.7391919697301583</v>
      </c>
      <c r="J2551" s="52">
        <v>3834.68</v>
      </c>
      <c r="K2551" s="67">
        <f t="shared" si="160"/>
        <v>105412.14757827566</v>
      </c>
      <c r="L2551" s="95">
        <f>+VLOOKUP(E2551,MARGEN!A:B,2,FALSE)</f>
        <v>0.1</v>
      </c>
      <c r="M2551" s="112">
        <f t="shared" si="157"/>
        <v>10541.214757827567</v>
      </c>
      <c r="N2551" s="113">
        <f t="shared" si="158"/>
        <v>421.64859031310266</v>
      </c>
      <c r="O2551" s="113">
        <f t="shared" si="159"/>
        <v>94449.284230135003</v>
      </c>
    </row>
    <row r="2552" spans="1:15" x14ac:dyDescent="0.25">
      <c r="A2552" s="13">
        <v>44453</v>
      </c>
      <c r="B2552" s="97">
        <v>3887</v>
      </c>
      <c r="C2552" t="s">
        <v>293</v>
      </c>
      <c r="D2552" s="94" t="s">
        <v>499</v>
      </c>
      <c r="E2552" t="s">
        <v>17</v>
      </c>
      <c r="F2552" t="s">
        <v>551</v>
      </c>
      <c r="G2552" s="50" t="s">
        <v>205</v>
      </c>
      <c r="H2552" s="50">
        <v>2</v>
      </c>
      <c r="I2552" s="100">
        <v>6.7391919697301583</v>
      </c>
      <c r="J2552" s="52">
        <v>3834.68</v>
      </c>
      <c r="K2552" s="67">
        <f t="shared" si="160"/>
        <v>100450.35980307858</v>
      </c>
      <c r="L2552" s="95">
        <f>+VLOOKUP(E2552,MARGEN!A:B,2,FALSE)</f>
        <v>0.1</v>
      </c>
      <c r="M2552" s="112">
        <f t="shared" si="157"/>
        <v>10045.035980307859</v>
      </c>
      <c r="N2552" s="113">
        <f t="shared" si="158"/>
        <v>401.80143921231434</v>
      </c>
      <c r="O2552" s="113">
        <f t="shared" si="159"/>
        <v>90003.522383558404</v>
      </c>
    </row>
    <row r="2553" spans="1:15" x14ac:dyDescent="0.25">
      <c r="A2553" s="13">
        <v>44453</v>
      </c>
      <c r="B2553" s="97">
        <v>3743</v>
      </c>
      <c r="C2553" t="s">
        <v>144</v>
      </c>
      <c r="D2553" s="94" t="s">
        <v>343</v>
      </c>
      <c r="E2553" t="s">
        <v>17</v>
      </c>
      <c r="F2553" t="s">
        <v>551</v>
      </c>
      <c r="G2553" s="50" t="s">
        <v>205</v>
      </c>
      <c r="H2553" s="50">
        <v>2</v>
      </c>
      <c r="I2553" s="100">
        <v>6.7391919697301583</v>
      </c>
      <c r="J2553" s="52">
        <v>3834.68</v>
      </c>
      <c r="K2553" s="67">
        <f t="shared" si="160"/>
        <v>96729.01897168078</v>
      </c>
      <c r="L2553" s="95">
        <f>+VLOOKUP(E2553,MARGEN!A:B,2,FALSE)</f>
        <v>0.1</v>
      </c>
      <c r="M2553" s="112">
        <f t="shared" si="157"/>
        <v>9672.901897168078</v>
      </c>
      <c r="N2553" s="113">
        <f t="shared" si="158"/>
        <v>386.91607588672309</v>
      </c>
      <c r="O2553" s="113">
        <f t="shared" si="159"/>
        <v>86669.20099862598</v>
      </c>
    </row>
    <row r="2554" spans="1:15" x14ac:dyDescent="0.25">
      <c r="A2554" s="13">
        <v>44453</v>
      </c>
      <c r="B2554" s="97">
        <v>3623</v>
      </c>
      <c r="C2554" t="s">
        <v>149</v>
      </c>
      <c r="D2554" s="94" t="s">
        <v>325</v>
      </c>
      <c r="E2554" t="s">
        <v>17</v>
      </c>
      <c r="F2554" t="s">
        <v>562</v>
      </c>
      <c r="G2554" s="50" t="s">
        <v>559</v>
      </c>
      <c r="H2554" s="50">
        <v>2</v>
      </c>
      <c r="I2554" s="100">
        <v>6.7391919697301583</v>
      </c>
      <c r="J2554" s="52">
        <v>3834.68</v>
      </c>
      <c r="K2554" s="67">
        <f t="shared" si="160"/>
        <v>93627.901612182584</v>
      </c>
      <c r="L2554" s="95">
        <f>+VLOOKUP(E2554,MARGEN!A:B,2,FALSE)</f>
        <v>0.1</v>
      </c>
      <c r="M2554" s="112">
        <f t="shared" si="157"/>
        <v>9362.7901612182595</v>
      </c>
      <c r="N2554" s="113">
        <f t="shared" si="158"/>
        <v>374.51160644873033</v>
      </c>
      <c r="O2554" s="113">
        <f t="shared" si="159"/>
        <v>83890.599844515586</v>
      </c>
    </row>
    <row r="2555" spans="1:15" x14ac:dyDescent="0.25">
      <c r="A2555" s="13">
        <v>44453</v>
      </c>
      <c r="B2555" s="97">
        <v>3599</v>
      </c>
      <c r="C2555" t="s">
        <v>192</v>
      </c>
      <c r="D2555" s="94" t="s">
        <v>347</v>
      </c>
      <c r="E2555" t="s">
        <v>17</v>
      </c>
      <c r="F2555" t="s">
        <v>551</v>
      </c>
      <c r="G2555" s="50" t="s">
        <v>205</v>
      </c>
      <c r="H2555" s="50">
        <v>2</v>
      </c>
      <c r="I2555" s="100">
        <v>6.7391919697301583</v>
      </c>
      <c r="J2555" s="52">
        <v>3834.68</v>
      </c>
      <c r="K2555" s="67">
        <f t="shared" si="160"/>
        <v>93007.678140282951</v>
      </c>
      <c r="L2555" s="95">
        <f>+VLOOKUP(E2555,MARGEN!A:B,2,FALSE)</f>
        <v>0.1</v>
      </c>
      <c r="M2555" s="112">
        <f t="shared" si="157"/>
        <v>9300.7678140282951</v>
      </c>
      <c r="N2555" s="113">
        <f t="shared" si="158"/>
        <v>372.03071256113179</v>
      </c>
      <c r="O2555" s="113">
        <f t="shared" si="159"/>
        <v>83334.879613693527</v>
      </c>
    </row>
    <row r="2556" spans="1:15" x14ac:dyDescent="0.25">
      <c r="A2556" s="13">
        <v>44453</v>
      </c>
      <c r="B2556" s="97">
        <v>3479</v>
      </c>
      <c r="C2556" t="s">
        <v>165</v>
      </c>
      <c r="D2556" s="94" t="s">
        <v>375</v>
      </c>
      <c r="E2556" t="s">
        <v>17</v>
      </c>
      <c r="F2556" t="s">
        <v>551</v>
      </c>
      <c r="G2556" s="50" t="s">
        <v>205</v>
      </c>
      <c r="H2556" s="50">
        <v>2</v>
      </c>
      <c r="I2556" s="100">
        <v>6.7391919697301583</v>
      </c>
      <c r="J2556" s="52">
        <v>3834.68</v>
      </c>
      <c r="K2556" s="67">
        <f t="shared" si="160"/>
        <v>89906.56078078477</v>
      </c>
      <c r="L2556" s="95">
        <f>+VLOOKUP(E2556,MARGEN!A:B,2,FALSE)</f>
        <v>0.1</v>
      </c>
      <c r="M2556" s="112">
        <f t="shared" si="157"/>
        <v>8990.6560780784766</v>
      </c>
      <c r="N2556" s="113">
        <f t="shared" si="158"/>
        <v>359.62624312313909</v>
      </c>
      <c r="O2556" s="113">
        <f t="shared" si="159"/>
        <v>80556.278459583147</v>
      </c>
    </row>
    <row r="2557" spans="1:15" x14ac:dyDescent="0.25">
      <c r="A2557" s="13">
        <v>44453</v>
      </c>
      <c r="B2557" s="97">
        <v>3383</v>
      </c>
      <c r="C2557" t="s">
        <v>135</v>
      </c>
      <c r="D2557" s="94" t="s">
        <v>533</v>
      </c>
      <c r="E2557" t="s">
        <v>17</v>
      </c>
      <c r="F2557" t="s">
        <v>562</v>
      </c>
      <c r="G2557" s="50" t="s">
        <v>559</v>
      </c>
      <c r="H2557" s="50">
        <v>2</v>
      </c>
      <c r="I2557" s="100">
        <v>6.7391919697301583</v>
      </c>
      <c r="J2557" s="52">
        <v>3834.68</v>
      </c>
      <c r="K2557" s="67">
        <f t="shared" si="160"/>
        <v>87425.666893186222</v>
      </c>
      <c r="L2557" s="95">
        <f>+VLOOKUP(E2557,MARGEN!A:B,2,FALSE)</f>
        <v>0.1</v>
      </c>
      <c r="M2557" s="112">
        <f t="shared" si="157"/>
        <v>8742.5666893186226</v>
      </c>
      <c r="N2557" s="113">
        <f t="shared" si="158"/>
        <v>349.70266757274487</v>
      </c>
      <c r="O2557" s="113">
        <f t="shared" si="159"/>
        <v>78333.397536294855</v>
      </c>
    </row>
    <row r="2558" spans="1:15" x14ac:dyDescent="0.25">
      <c r="A2558" s="13">
        <v>44453</v>
      </c>
      <c r="B2558" s="97">
        <v>3359</v>
      </c>
      <c r="C2558" t="s">
        <v>309</v>
      </c>
      <c r="D2558" s="94" t="s">
        <v>544</v>
      </c>
      <c r="E2558" t="s">
        <v>17</v>
      </c>
      <c r="F2558" t="s">
        <v>551</v>
      </c>
      <c r="G2558" s="50" t="s">
        <v>205</v>
      </c>
      <c r="H2558" s="50">
        <v>2</v>
      </c>
      <c r="I2558" s="100">
        <v>6.7391919697301583</v>
      </c>
      <c r="J2558" s="52">
        <v>3834.68</v>
      </c>
      <c r="K2558" s="67">
        <f t="shared" si="160"/>
        <v>86805.443421286589</v>
      </c>
      <c r="L2558" s="95">
        <f>+VLOOKUP(E2558,MARGEN!A:B,2,FALSE)</f>
        <v>0.1</v>
      </c>
      <c r="M2558" s="112">
        <f t="shared" si="157"/>
        <v>8680.54434212866</v>
      </c>
      <c r="N2558" s="113">
        <f t="shared" si="158"/>
        <v>347.22177368514633</v>
      </c>
      <c r="O2558" s="113">
        <f t="shared" si="159"/>
        <v>77777.677305472782</v>
      </c>
    </row>
    <row r="2559" spans="1:15" x14ac:dyDescent="0.25">
      <c r="A2559" s="13">
        <v>44453</v>
      </c>
      <c r="B2559" s="97">
        <v>2903</v>
      </c>
      <c r="C2559" t="s">
        <v>134</v>
      </c>
      <c r="D2559" s="94" t="s">
        <v>362</v>
      </c>
      <c r="E2559" t="s">
        <v>17</v>
      </c>
      <c r="F2559" t="s">
        <v>562</v>
      </c>
      <c r="G2559" s="50" t="s">
        <v>559</v>
      </c>
      <c r="H2559" s="50">
        <v>2</v>
      </c>
      <c r="I2559" s="100">
        <v>6.7391919697301583</v>
      </c>
      <c r="J2559" s="52">
        <v>3834.68</v>
      </c>
      <c r="K2559" s="67">
        <f t="shared" si="160"/>
        <v>75021.197455193484</v>
      </c>
      <c r="L2559" s="95">
        <f>+VLOOKUP(E2559,MARGEN!A:B,2,FALSE)</f>
        <v>0.1</v>
      </c>
      <c r="M2559" s="112">
        <f t="shared" si="157"/>
        <v>7502.1197455193487</v>
      </c>
      <c r="N2559" s="113">
        <f t="shared" si="158"/>
        <v>300.08478982077395</v>
      </c>
      <c r="O2559" s="113">
        <f t="shared" si="159"/>
        <v>67218.992919853365</v>
      </c>
    </row>
    <row r="2560" spans="1:15" x14ac:dyDescent="0.25">
      <c r="A2560" s="13">
        <v>44453</v>
      </c>
      <c r="B2560" s="97">
        <v>2783</v>
      </c>
      <c r="C2560" t="s">
        <v>131</v>
      </c>
      <c r="D2560" s="94" t="s">
        <v>344</v>
      </c>
      <c r="E2560" t="s">
        <v>17</v>
      </c>
      <c r="F2560" t="s">
        <v>562</v>
      </c>
      <c r="G2560" s="50" t="s">
        <v>559</v>
      </c>
      <c r="H2560" s="50">
        <v>2</v>
      </c>
      <c r="I2560" s="100">
        <v>6.7391919697301583</v>
      </c>
      <c r="J2560" s="52">
        <v>3834.68</v>
      </c>
      <c r="K2560" s="67">
        <f t="shared" si="160"/>
        <v>71920.080095695317</v>
      </c>
      <c r="L2560" s="95">
        <f>+VLOOKUP(E2560,MARGEN!A:B,2,FALSE)</f>
        <v>0.1</v>
      </c>
      <c r="M2560" s="112">
        <f t="shared" si="157"/>
        <v>7192.0080095695321</v>
      </c>
      <c r="N2560" s="113">
        <f t="shared" si="158"/>
        <v>287.68032038278125</v>
      </c>
      <c r="O2560" s="113">
        <f t="shared" si="159"/>
        <v>64440.391765743007</v>
      </c>
    </row>
    <row r="2561" spans="1:15" x14ac:dyDescent="0.25">
      <c r="A2561" s="13">
        <v>44453</v>
      </c>
      <c r="B2561" s="97">
        <v>2711</v>
      </c>
      <c r="C2561" t="s">
        <v>132</v>
      </c>
      <c r="D2561" s="94" t="s">
        <v>376</v>
      </c>
      <c r="E2561" t="s">
        <v>17</v>
      </c>
      <c r="F2561" t="s">
        <v>562</v>
      </c>
      <c r="G2561" s="50" t="s">
        <v>559</v>
      </c>
      <c r="H2561" s="50">
        <v>2</v>
      </c>
      <c r="I2561" s="100">
        <v>6.7391919697301583</v>
      </c>
      <c r="J2561" s="52">
        <v>3834.68</v>
      </c>
      <c r="K2561" s="67">
        <f t="shared" si="160"/>
        <v>70059.409679996417</v>
      </c>
      <c r="L2561" s="95">
        <f>+VLOOKUP(E2561,MARGEN!A:B,2,FALSE)</f>
        <v>0.1</v>
      </c>
      <c r="M2561" s="112">
        <f t="shared" si="157"/>
        <v>7005.9409679996425</v>
      </c>
      <c r="N2561" s="113">
        <f t="shared" si="158"/>
        <v>280.23763871998568</v>
      </c>
      <c r="O2561" s="113">
        <f t="shared" si="159"/>
        <v>62773.231073276787</v>
      </c>
    </row>
    <row r="2562" spans="1:15" x14ac:dyDescent="0.25">
      <c r="A2562" s="13">
        <v>44453</v>
      </c>
      <c r="B2562" s="97">
        <v>2687</v>
      </c>
      <c r="C2562" t="s">
        <v>189</v>
      </c>
      <c r="D2562" s="94" t="s">
        <v>431</v>
      </c>
      <c r="E2562" t="s">
        <v>17</v>
      </c>
      <c r="F2562" t="s">
        <v>562</v>
      </c>
      <c r="G2562" s="50" t="s">
        <v>559</v>
      </c>
      <c r="H2562" s="50">
        <v>2</v>
      </c>
      <c r="I2562" s="100">
        <v>6.7391919697301583</v>
      </c>
      <c r="J2562" s="52">
        <v>3834.68</v>
      </c>
      <c r="K2562" s="67">
        <f t="shared" si="160"/>
        <v>69439.186208096769</v>
      </c>
      <c r="L2562" s="95">
        <f>+VLOOKUP(E2562,MARGEN!A:B,2,FALSE)</f>
        <v>0.1</v>
      </c>
      <c r="M2562" s="112">
        <f t="shared" si="157"/>
        <v>6943.9186208096771</v>
      </c>
      <c r="N2562" s="113">
        <f t="shared" si="158"/>
        <v>277.75674483238708</v>
      </c>
      <c r="O2562" s="113">
        <f t="shared" si="159"/>
        <v>62217.5108424547</v>
      </c>
    </row>
    <row r="2563" spans="1:15" x14ac:dyDescent="0.25">
      <c r="A2563" s="13">
        <v>44453</v>
      </c>
      <c r="B2563" s="97">
        <v>2663</v>
      </c>
      <c r="C2563" t="s">
        <v>186</v>
      </c>
      <c r="D2563" s="94" t="s">
        <v>440</v>
      </c>
      <c r="E2563" t="s">
        <v>17</v>
      </c>
      <c r="F2563" t="s">
        <v>566</v>
      </c>
      <c r="G2563" s="50" t="s">
        <v>559</v>
      </c>
      <c r="H2563" s="50">
        <v>2</v>
      </c>
      <c r="I2563" s="100">
        <v>6.7391919697301583</v>
      </c>
      <c r="J2563" s="52">
        <v>3834.68</v>
      </c>
      <c r="K2563" s="67">
        <f t="shared" si="160"/>
        <v>68818.962736197136</v>
      </c>
      <c r="L2563" s="95">
        <f>+VLOOKUP(E2563,MARGEN!A:B,2,FALSE)</f>
        <v>0.1</v>
      </c>
      <c r="M2563" s="112">
        <f t="shared" ref="M2563:M2626" si="161">+K2563*L2563</f>
        <v>6881.8962736197136</v>
      </c>
      <c r="N2563" s="113">
        <f t="shared" ref="N2563:N2626" si="162">+K2563*4/1000</f>
        <v>275.27585094478854</v>
      </c>
      <c r="O2563" s="113">
        <f t="shared" ref="O2563:O2626" si="163">+K2563-M2563-N2563</f>
        <v>61661.790611632634</v>
      </c>
    </row>
    <row r="2564" spans="1:15" x14ac:dyDescent="0.25">
      <c r="A2564" s="13">
        <v>44453</v>
      </c>
      <c r="B2564" s="97">
        <v>2567</v>
      </c>
      <c r="C2564" t="s">
        <v>310</v>
      </c>
      <c r="D2564" s="94" t="s">
        <v>540</v>
      </c>
      <c r="E2564" t="s">
        <v>17</v>
      </c>
      <c r="F2564" t="s">
        <v>566</v>
      </c>
      <c r="G2564" s="50" t="s">
        <v>559</v>
      </c>
      <c r="H2564" s="50">
        <v>2</v>
      </c>
      <c r="I2564" s="100">
        <v>6.7391919697301583</v>
      </c>
      <c r="J2564" s="52">
        <v>3834.68</v>
      </c>
      <c r="K2564" s="67">
        <f t="shared" si="160"/>
        <v>66338.068848598588</v>
      </c>
      <c r="L2564" s="95">
        <f>+VLOOKUP(E2564,MARGEN!A:B,2,FALSE)</f>
        <v>0.1</v>
      </c>
      <c r="M2564" s="112">
        <f t="shared" si="161"/>
        <v>6633.8068848598596</v>
      </c>
      <c r="N2564" s="113">
        <f t="shared" si="162"/>
        <v>265.35227539439433</v>
      </c>
      <c r="O2564" s="113">
        <f t="shared" si="163"/>
        <v>59438.909688344334</v>
      </c>
    </row>
    <row r="2565" spans="1:15" x14ac:dyDescent="0.25">
      <c r="A2565" s="13">
        <v>44453</v>
      </c>
      <c r="B2565" s="97">
        <v>2519</v>
      </c>
      <c r="C2565" t="s">
        <v>127</v>
      </c>
      <c r="D2565" s="94" t="s">
        <v>411</v>
      </c>
      <c r="E2565" t="s">
        <v>17</v>
      </c>
      <c r="F2565" t="s">
        <v>562</v>
      </c>
      <c r="G2565" s="50" t="s">
        <v>559</v>
      </c>
      <c r="H2565" s="50">
        <v>2</v>
      </c>
      <c r="I2565" s="100">
        <v>6.7391919697301583</v>
      </c>
      <c r="J2565" s="52">
        <v>3834.68</v>
      </c>
      <c r="K2565" s="67">
        <f t="shared" si="160"/>
        <v>65097.621904799322</v>
      </c>
      <c r="L2565" s="95">
        <f>+VLOOKUP(E2565,MARGEN!A:B,2,FALSE)</f>
        <v>0.1</v>
      </c>
      <c r="M2565" s="112">
        <f t="shared" si="161"/>
        <v>6509.7621904799325</v>
      </c>
      <c r="N2565" s="113">
        <f t="shared" si="162"/>
        <v>260.3904876191973</v>
      </c>
      <c r="O2565" s="113">
        <f t="shared" si="163"/>
        <v>58327.469226700196</v>
      </c>
    </row>
    <row r="2566" spans="1:15" x14ac:dyDescent="0.25">
      <c r="A2566" s="13">
        <v>44453</v>
      </c>
      <c r="B2566" s="97">
        <v>2519</v>
      </c>
      <c r="C2566" t="s">
        <v>146</v>
      </c>
      <c r="D2566" s="94" t="s">
        <v>348</v>
      </c>
      <c r="E2566" t="s">
        <v>17</v>
      </c>
      <c r="F2566" t="s">
        <v>562</v>
      </c>
      <c r="G2566" s="50" t="s">
        <v>559</v>
      </c>
      <c r="H2566" s="50">
        <v>2</v>
      </c>
      <c r="I2566" s="100">
        <v>6.7391919697301583</v>
      </c>
      <c r="J2566" s="52">
        <v>3834.68</v>
      </c>
      <c r="K2566" s="67">
        <f t="shared" si="160"/>
        <v>65097.621904799322</v>
      </c>
      <c r="L2566" s="95">
        <f>+VLOOKUP(E2566,MARGEN!A:B,2,FALSE)</f>
        <v>0.1</v>
      </c>
      <c r="M2566" s="112">
        <f t="shared" si="161"/>
        <v>6509.7621904799325</v>
      </c>
      <c r="N2566" s="113">
        <f t="shared" si="162"/>
        <v>260.3904876191973</v>
      </c>
      <c r="O2566" s="113">
        <f t="shared" si="163"/>
        <v>58327.469226700196</v>
      </c>
    </row>
    <row r="2567" spans="1:15" x14ac:dyDescent="0.25">
      <c r="A2567" s="13">
        <v>44453</v>
      </c>
      <c r="B2567" s="97">
        <v>2447</v>
      </c>
      <c r="C2567" t="s">
        <v>163</v>
      </c>
      <c r="D2567" s="94" t="s">
        <v>398</v>
      </c>
      <c r="E2567" t="s">
        <v>17</v>
      </c>
      <c r="F2567" t="s">
        <v>562</v>
      </c>
      <c r="G2567" s="50" t="s">
        <v>559</v>
      </c>
      <c r="H2567" s="50">
        <v>2</v>
      </c>
      <c r="I2567" s="100">
        <v>6.7391919697301583</v>
      </c>
      <c r="J2567" s="52">
        <v>3834.68</v>
      </c>
      <c r="K2567" s="67">
        <f t="shared" si="160"/>
        <v>63236.951489100415</v>
      </c>
      <c r="L2567" s="95">
        <f>+VLOOKUP(E2567,MARGEN!A:B,2,FALSE)</f>
        <v>0.1</v>
      </c>
      <c r="M2567" s="112">
        <f t="shared" si="161"/>
        <v>6323.695148910042</v>
      </c>
      <c r="N2567" s="113">
        <f t="shared" si="162"/>
        <v>252.94780595640165</v>
      </c>
      <c r="O2567" s="113">
        <f t="shared" si="163"/>
        <v>56660.308534233976</v>
      </c>
    </row>
    <row r="2568" spans="1:15" x14ac:dyDescent="0.25">
      <c r="A2568" s="13">
        <v>44453</v>
      </c>
      <c r="B2568" s="97">
        <v>2399</v>
      </c>
      <c r="C2568" t="s">
        <v>281</v>
      </c>
      <c r="D2568" s="94" t="s">
        <v>495</v>
      </c>
      <c r="E2568" t="s">
        <v>17</v>
      </c>
      <c r="F2568" t="s">
        <v>566</v>
      </c>
      <c r="G2568" s="50" t="s">
        <v>559</v>
      </c>
      <c r="H2568" s="50">
        <v>2</v>
      </c>
      <c r="I2568" s="100">
        <v>6.7391919697301583</v>
      </c>
      <c r="J2568" s="52">
        <v>3834.68</v>
      </c>
      <c r="K2568" s="67">
        <f t="shared" si="160"/>
        <v>61996.504545301133</v>
      </c>
      <c r="L2568" s="95">
        <f>+VLOOKUP(E2568,MARGEN!A:B,2,FALSE)</f>
        <v>0.1</v>
      </c>
      <c r="M2568" s="112">
        <f t="shared" si="161"/>
        <v>6199.6504545301141</v>
      </c>
      <c r="N2568" s="113">
        <f t="shared" si="162"/>
        <v>247.98601818120454</v>
      </c>
      <c r="O2568" s="113">
        <f t="shared" si="163"/>
        <v>55548.868072589816</v>
      </c>
    </row>
    <row r="2569" spans="1:15" x14ac:dyDescent="0.25">
      <c r="A2569" s="13">
        <v>44453</v>
      </c>
      <c r="B2569" s="97">
        <v>2327</v>
      </c>
      <c r="C2569" t="s">
        <v>156</v>
      </c>
      <c r="D2569" s="94" t="s">
        <v>429</v>
      </c>
      <c r="E2569" t="s">
        <v>17</v>
      </c>
      <c r="F2569" t="s">
        <v>551</v>
      </c>
      <c r="G2569" s="50" t="s">
        <v>205</v>
      </c>
      <c r="H2569" s="50">
        <v>2</v>
      </c>
      <c r="I2569" s="100">
        <v>6.7391919697301583</v>
      </c>
      <c r="J2569" s="52">
        <v>3834.68</v>
      </c>
      <c r="K2569" s="67">
        <f t="shared" ref="K2569:K2632" si="164">+B2569*I2569*J2569/1000</f>
        <v>60135.834129602234</v>
      </c>
      <c r="L2569" s="95">
        <f>+VLOOKUP(E2569,MARGEN!A:B,2,FALSE)</f>
        <v>0.1</v>
      </c>
      <c r="M2569" s="112">
        <f t="shared" si="161"/>
        <v>6013.5834129602235</v>
      </c>
      <c r="N2569" s="113">
        <f t="shared" si="162"/>
        <v>240.54333651840892</v>
      </c>
      <c r="O2569" s="113">
        <f t="shared" si="163"/>
        <v>53881.707380123604</v>
      </c>
    </row>
    <row r="2570" spans="1:15" x14ac:dyDescent="0.25">
      <c r="A2570" s="13">
        <v>44453</v>
      </c>
      <c r="B2570" s="97">
        <v>2303</v>
      </c>
      <c r="C2570" t="s">
        <v>130</v>
      </c>
      <c r="D2570" s="94" t="s">
        <v>367</v>
      </c>
      <c r="E2570" t="s">
        <v>17</v>
      </c>
      <c r="F2570" t="s">
        <v>551</v>
      </c>
      <c r="G2570" s="50" t="s">
        <v>205</v>
      </c>
      <c r="H2570" s="50">
        <v>2</v>
      </c>
      <c r="I2570" s="100">
        <v>6.7391919697301583</v>
      </c>
      <c r="J2570" s="52">
        <v>3834.68</v>
      </c>
      <c r="K2570" s="67">
        <f t="shared" si="164"/>
        <v>59515.610657702593</v>
      </c>
      <c r="L2570" s="95">
        <f>+VLOOKUP(E2570,MARGEN!A:B,2,FALSE)</f>
        <v>0.1</v>
      </c>
      <c r="M2570" s="112">
        <f t="shared" si="161"/>
        <v>5951.56106577026</v>
      </c>
      <c r="N2570" s="113">
        <f t="shared" si="162"/>
        <v>238.06244263081038</v>
      </c>
      <c r="O2570" s="113">
        <f t="shared" si="163"/>
        <v>53325.987149301516</v>
      </c>
    </row>
    <row r="2571" spans="1:15" x14ac:dyDescent="0.25">
      <c r="A2571" s="13">
        <v>44453</v>
      </c>
      <c r="B2571" s="97">
        <v>2303</v>
      </c>
      <c r="C2571" t="s">
        <v>283</v>
      </c>
      <c r="D2571" s="94" t="s">
        <v>543</v>
      </c>
      <c r="E2571" t="s">
        <v>17</v>
      </c>
      <c r="F2571" t="s">
        <v>562</v>
      </c>
      <c r="G2571" s="50" t="s">
        <v>559</v>
      </c>
      <c r="H2571" s="50">
        <v>2</v>
      </c>
      <c r="I2571" s="100">
        <v>6.7391919697301583</v>
      </c>
      <c r="J2571" s="52">
        <v>3834.68</v>
      </c>
      <c r="K2571" s="67">
        <f t="shared" si="164"/>
        <v>59515.610657702593</v>
      </c>
      <c r="L2571" s="95">
        <f>+VLOOKUP(E2571,MARGEN!A:B,2,FALSE)</f>
        <v>0.1</v>
      </c>
      <c r="M2571" s="112">
        <f t="shared" si="161"/>
        <v>5951.56106577026</v>
      </c>
      <c r="N2571" s="113">
        <f t="shared" si="162"/>
        <v>238.06244263081038</v>
      </c>
      <c r="O2571" s="113">
        <f t="shared" si="163"/>
        <v>53325.987149301516</v>
      </c>
    </row>
    <row r="2572" spans="1:15" x14ac:dyDescent="0.25">
      <c r="A2572" s="13">
        <v>44453</v>
      </c>
      <c r="B2572" s="97">
        <v>2303</v>
      </c>
      <c r="C2572" s="88" t="s">
        <v>128</v>
      </c>
      <c r="D2572" t="s">
        <v>416</v>
      </c>
      <c r="E2572" t="s">
        <v>17</v>
      </c>
      <c r="F2572" t="s">
        <v>562</v>
      </c>
      <c r="G2572" s="50" t="s">
        <v>559</v>
      </c>
      <c r="H2572" s="50">
        <v>2</v>
      </c>
      <c r="I2572" s="100">
        <v>6.7391919697301583</v>
      </c>
      <c r="J2572" s="52">
        <v>3834.68</v>
      </c>
      <c r="K2572" s="67">
        <f t="shared" si="164"/>
        <v>59515.610657702593</v>
      </c>
      <c r="L2572" s="95">
        <f>+VLOOKUP(E2572,MARGEN!A:B,2,FALSE)</f>
        <v>0.1</v>
      </c>
      <c r="M2572" s="112">
        <f t="shared" si="161"/>
        <v>5951.56106577026</v>
      </c>
      <c r="N2572" s="113">
        <f t="shared" si="162"/>
        <v>238.06244263081038</v>
      </c>
      <c r="O2572" s="113">
        <f t="shared" si="163"/>
        <v>53325.987149301516</v>
      </c>
    </row>
    <row r="2573" spans="1:15" x14ac:dyDescent="0.25">
      <c r="A2573" s="13">
        <v>44453</v>
      </c>
      <c r="B2573" s="97">
        <v>2279</v>
      </c>
      <c r="C2573" t="s">
        <v>122</v>
      </c>
      <c r="D2573" s="94" t="s">
        <v>446</v>
      </c>
      <c r="E2573" t="s">
        <v>17</v>
      </c>
      <c r="F2573" t="s">
        <v>562</v>
      </c>
      <c r="G2573" s="50" t="s">
        <v>559</v>
      </c>
      <c r="H2573" s="50">
        <v>2</v>
      </c>
      <c r="I2573" s="100">
        <v>6.7391919697301583</v>
      </c>
      <c r="J2573" s="52">
        <v>3834.68</v>
      </c>
      <c r="K2573" s="67">
        <f t="shared" si="164"/>
        <v>58895.387185802952</v>
      </c>
      <c r="L2573" s="95">
        <f>+VLOOKUP(E2573,MARGEN!A:B,2,FALSE)</f>
        <v>0.1</v>
      </c>
      <c r="M2573" s="112">
        <f t="shared" si="161"/>
        <v>5889.5387185802956</v>
      </c>
      <c r="N2573" s="113">
        <f t="shared" si="162"/>
        <v>235.58154874321181</v>
      </c>
      <c r="O2573" s="113">
        <f t="shared" si="163"/>
        <v>52770.266918479443</v>
      </c>
    </row>
    <row r="2574" spans="1:15" x14ac:dyDescent="0.25">
      <c r="A2574" s="13">
        <v>44453</v>
      </c>
      <c r="B2574" s="97">
        <v>2231</v>
      </c>
      <c r="C2574" t="s">
        <v>126</v>
      </c>
      <c r="D2574" s="94" t="s">
        <v>438</v>
      </c>
      <c r="E2574" t="s">
        <v>17</v>
      </c>
      <c r="F2574" t="s">
        <v>562</v>
      </c>
      <c r="G2574" s="50" t="s">
        <v>559</v>
      </c>
      <c r="H2574" s="50">
        <v>2</v>
      </c>
      <c r="I2574" s="100">
        <v>6.7391919697301583</v>
      </c>
      <c r="J2574" s="52">
        <v>3834.68</v>
      </c>
      <c r="K2574" s="67">
        <f t="shared" si="164"/>
        <v>57654.940242003679</v>
      </c>
      <c r="L2574" s="95">
        <f>+VLOOKUP(E2574,MARGEN!A:B,2,FALSE)</f>
        <v>0.1</v>
      </c>
      <c r="M2574" s="112">
        <f t="shared" si="161"/>
        <v>5765.4940242003686</v>
      </c>
      <c r="N2574" s="113">
        <f t="shared" si="162"/>
        <v>230.6197609680147</v>
      </c>
      <c r="O2574" s="113">
        <f t="shared" si="163"/>
        <v>51658.826456835297</v>
      </c>
    </row>
    <row r="2575" spans="1:15" x14ac:dyDescent="0.25">
      <c r="A2575" s="13">
        <v>44453</v>
      </c>
      <c r="B2575" s="97">
        <v>2183</v>
      </c>
      <c r="C2575" t="s">
        <v>284</v>
      </c>
      <c r="D2575" s="94" t="s">
        <v>525</v>
      </c>
      <c r="E2575" t="s">
        <v>17</v>
      </c>
      <c r="F2575" t="s">
        <v>566</v>
      </c>
      <c r="G2575" s="50" t="s">
        <v>559</v>
      </c>
      <c r="H2575" s="50">
        <v>2</v>
      </c>
      <c r="I2575" s="100">
        <v>6.7391919697301583</v>
      </c>
      <c r="J2575" s="52">
        <v>3834.68</v>
      </c>
      <c r="K2575" s="67">
        <f t="shared" si="164"/>
        <v>56414.493298204405</v>
      </c>
      <c r="L2575" s="95">
        <f>+VLOOKUP(E2575,MARGEN!A:B,2,FALSE)</f>
        <v>0.1</v>
      </c>
      <c r="M2575" s="112">
        <f t="shared" si="161"/>
        <v>5641.4493298204407</v>
      </c>
      <c r="N2575" s="113">
        <f t="shared" si="162"/>
        <v>225.65797319281762</v>
      </c>
      <c r="O2575" s="113">
        <f t="shared" si="163"/>
        <v>50547.385995191151</v>
      </c>
    </row>
    <row r="2576" spans="1:15" x14ac:dyDescent="0.25">
      <c r="A2576" s="13">
        <v>44453</v>
      </c>
      <c r="B2576" s="97">
        <v>2159</v>
      </c>
      <c r="C2576" t="s">
        <v>282</v>
      </c>
      <c r="D2576" s="94" t="s">
        <v>494</v>
      </c>
      <c r="E2576" t="s">
        <v>17</v>
      </c>
      <c r="F2576" t="s">
        <v>551</v>
      </c>
      <c r="G2576" s="50" t="s">
        <v>205</v>
      </c>
      <c r="H2576" s="50">
        <v>2</v>
      </c>
      <c r="I2576" s="100">
        <v>6.7391919697301583</v>
      </c>
      <c r="J2576" s="52">
        <v>3834.68</v>
      </c>
      <c r="K2576" s="67">
        <f t="shared" si="164"/>
        <v>55794.269826304779</v>
      </c>
      <c r="L2576" s="95">
        <f>+VLOOKUP(E2576,MARGEN!A:B,2,FALSE)</f>
        <v>0.1</v>
      </c>
      <c r="M2576" s="112">
        <f t="shared" si="161"/>
        <v>5579.4269826304781</v>
      </c>
      <c r="N2576" s="113">
        <f t="shared" si="162"/>
        <v>223.17707930521911</v>
      </c>
      <c r="O2576" s="113">
        <f t="shared" si="163"/>
        <v>49991.665764369078</v>
      </c>
    </row>
    <row r="2577" spans="1:15" x14ac:dyDescent="0.25">
      <c r="A2577" s="13">
        <v>44453</v>
      </c>
      <c r="B2577" s="97">
        <v>2135</v>
      </c>
      <c r="C2577" t="s">
        <v>312</v>
      </c>
      <c r="D2577" s="94" t="s">
        <v>542</v>
      </c>
      <c r="E2577" t="s">
        <v>17</v>
      </c>
      <c r="F2577" t="s">
        <v>551</v>
      </c>
      <c r="G2577" s="50" t="s">
        <v>205</v>
      </c>
      <c r="H2577" s="50">
        <v>2</v>
      </c>
      <c r="I2577" s="100">
        <v>6.7391919697301583</v>
      </c>
      <c r="J2577" s="52">
        <v>3834.68</v>
      </c>
      <c r="K2577" s="67">
        <f t="shared" si="164"/>
        <v>55174.046354405145</v>
      </c>
      <c r="L2577" s="95">
        <f>+VLOOKUP(E2577,MARGEN!A:B,2,FALSE)</f>
        <v>0.1</v>
      </c>
      <c r="M2577" s="112">
        <f t="shared" si="161"/>
        <v>5517.4046354405145</v>
      </c>
      <c r="N2577" s="113">
        <f t="shared" si="162"/>
        <v>220.69618541762057</v>
      </c>
      <c r="O2577" s="113">
        <f t="shared" si="163"/>
        <v>49435.945533547012</v>
      </c>
    </row>
    <row r="2578" spans="1:15" x14ac:dyDescent="0.25">
      <c r="A2578" s="13">
        <v>44453</v>
      </c>
      <c r="B2578" s="97">
        <v>2135</v>
      </c>
      <c r="C2578" t="s">
        <v>157</v>
      </c>
      <c r="D2578" s="94" t="s">
        <v>435</v>
      </c>
      <c r="E2578" t="s">
        <v>17</v>
      </c>
      <c r="F2578" t="s">
        <v>562</v>
      </c>
      <c r="G2578" s="50" t="s">
        <v>559</v>
      </c>
      <c r="H2578" s="50">
        <v>2</v>
      </c>
      <c r="I2578" s="100">
        <v>6.7391919697301583</v>
      </c>
      <c r="J2578" s="52">
        <v>3834.68</v>
      </c>
      <c r="K2578" s="67">
        <f t="shared" si="164"/>
        <v>55174.046354405145</v>
      </c>
      <c r="L2578" s="95">
        <f>+VLOOKUP(E2578,MARGEN!A:B,2,FALSE)</f>
        <v>0.1</v>
      </c>
      <c r="M2578" s="112">
        <f t="shared" si="161"/>
        <v>5517.4046354405145</v>
      </c>
      <c r="N2578" s="113">
        <f t="shared" si="162"/>
        <v>220.69618541762057</v>
      </c>
      <c r="O2578" s="113">
        <f t="shared" si="163"/>
        <v>49435.945533547012</v>
      </c>
    </row>
    <row r="2579" spans="1:15" x14ac:dyDescent="0.25">
      <c r="A2579" s="13">
        <v>44453</v>
      </c>
      <c r="B2579" s="97">
        <v>2015</v>
      </c>
      <c r="C2579" t="s">
        <v>123</v>
      </c>
      <c r="D2579" s="94" t="s">
        <v>396</v>
      </c>
      <c r="E2579" t="s">
        <v>17</v>
      </c>
      <c r="F2579" t="s">
        <v>562</v>
      </c>
      <c r="G2579" s="50" t="s">
        <v>559</v>
      </c>
      <c r="H2579" s="50">
        <v>2</v>
      </c>
      <c r="I2579" s="100">
        <v>6.7391919697301583</v>
      </c>
      <c r="J2579" s="52">
        <v>3834.68</v>
      </c>
      <c r="K2579" s="67">
        <f t="shared" si="164"/>
        <v>52072.928994906957</v>
      </c>
      <c r="L2579" s="95">
        <f>+VLOOKUP(E2579,MARGEN!A:B,2,FALSE)</f>
        <v>0.1</v>
      </c>
      <c r="M2579" s="112">
        <f t="shared" si="161"/>
        <v>5207.2928994906961</v>
      </c>
      <c r="N2579" s="113">
        <f t="shared" si="162"/>
        <v>208.29171597962784</v>
      </c>
      <c r="O2579" s="113">
        <f t="shared" si="163"/>
        <v>46657.344379436632</v>
      </c>
    </row>
    <row r="2580" spans="1:15" x14ac:dyDescent="0.25">
      <c r="A2580" s="13">
        <v>44453</v>
      </c>
      <c r="B2580" s="97">
        <v>1967</v>
      </c>
      <c r="C2580" t="s">
        <v>295</v>
      </c>
      <c r="D2580" s="94" t="s">
        <v>532</v>
      </c>
      <c r="E2580" t="s">
        <v>17</v>
      </c>
      <c r="F2580" t="s">
        <v>562</v>
      </c>
      <c r="G2580" s="50" t="s">
        <v>559</v>
      </c>
      <c r="H2580" s="50">
        <v>2</v>
      </c>
      <c r="I2580" s="100">
        <v>6.7391919697301583</v>
      </c>
      <c r="J2580" s="52">
        <v>3834.68</v>
      </c>
      <c r="K2580" s="67">
        <f t="shared" si="164"/>
        <v>50832.482051107683</v>
      </c>
      <c r="L2580" s="95">
        <f>+VLOOKUP(E2580,MARGEN!A:B,2,FALSE)</f>
        <v>0.1</v>
      </c>
      <c r="M2580" s="112">
        <f t="shared" si="161"/>
        <v>5083.248205110769</v>
      </c>
      <c r="N2580" s="113">
        <f t="shared" si="162"/>
        <v>203.32992820443073</v>
      </c>
      <c r="O2580" s="113">
        <f t="shared" si="163"/>
        <v>45545.903917792486</v>
      </c>
    </row>
    <row r="2581" spans="1:15" x14ac:dyDescent="0.25">
      <c r="A2581" s="13">
        <v>44453</v>
      </c>
      <c r="B2581" s="97">
        <v>1967</v>
      </c>
      <c r="C2581" t="s">
        <v>155</v>
      </c>
      <c r="D2581" s="94" t="s">
        <v>399</v>
      </c>
      <c r="E2581" t="s">
        <v>17</v>
      </c>
      <c r="F2581" t="s">
        <v>566</v>
      </c>
      <c r="G2581" s="50" t="s">
        <v>559</v>
      </c>
      <c r="H2581" s="50">
        <v>2</v>
      </c>
      <c r="I2581" s="100">
        <v>6.7391919697301583</v>
      </c>
      <c r="J2581" s="52">
        <v>3834.68</v>
      </c>
      <c r="K2581" s="67">
        <f t="shared" si="164"/>
        <v>50832.482051107683</v>
      </c>
      <c r="L2581" s="95">
        <f>+VLOOKUP(E2581,MARGEN!A:B,2,FALSE)</f>
        <v>0.1</v>
      </c>
      <c r="M2581" s="112">
        <f t="shared" si="161"/>
        <v>5083.248205110769</v>
      </c>
      <c r="N2581" s="113">
        <f t="shared" si="162"/>
        <v>203.32992820443073</v>
      </c>
      <c r="O2581" s="113">
        <f t="shared" si="163"/>
        <v>45545.903917792486</v>
      </c>
    </row>
    <row r="2582" spans="1:15" x14ac:dyDescent="0.25">
      <c r="A2582" s="13">
        <v>44453</v>
      </c>
      <c r="B2582" s="97">
        <v>1871</v>
      </c>
      <c r="C2582" t="s">
        <v>304</v>
      </c>
      <c r="D2582" s="94" t="s">
        <v>522</v>
      </c>
      <c r="E2582" t="s">
        <v>17</v>
      </c>
      <c r="F2582" t="s">
        <v>551</v>
      </c>
      <c r="G2582" s="50" t="s">
        <v>205</v>
      </c>
      <c r="H2582" s="50">
        <v>2</v>
      </c>
      <c r="I2582" s="100">
        <v>6.7391919697301583</v>
      </c>
      <c r="J2582" s="52">
        <v>3834.68</v>
      </c>
      <c r="K2582" s="67">
        <f t="shared" si="164"/>
        <v>48351.588163509143</v>
      </c>
      <c r="L2582" s="95">
        <f>+VLOOKUP(E2582,MARGEN!A:B,2,FALSE)</f>
        <v>0.1</v>
      </c>
      <c r="M2582" s="112">
        <f t="shared" si="161"/>
        <v>4835.1588163509141</v>
      </c>
      <c r="N2582" s="113">
        <f t="shared" si="162"/>
        <v>193.40635265403657</v>
      </c>
      <c r="O2582" s="113">
        <f t="shared" si="163"/>
        <v>43323.022994504194</v>
      </c>
    </row>
    <row r="2583" spans="1:15" x14ac:dyDescent="0.25">
      <c r="A2583" s="13">
        <v>44453</v>
      </c>
      <c r="B2583" s="97">
        <v>1847</v>
      </c>
      <c r="C2583" t="s">
        <v>125</v>
      </c>
      <c r="D2583" s="94" t="s">
        <v>341</v>
      </c>
      <c r="E2583" t="s">
        <v>17</v>
      </c>
      <c r="F2583" t="s">
        <v>562</v>
      </c>
      <c r="G2583" s="50" t="s">
        <v>559</v>
      </c>
      <c r="H2583" s="50">
        <v>2</v>
      </c>
      <c r="I2583" s="100">
        <v>6.7391919697301583</v>
      </c>
      <c r="J2583" s="52">
        <v>3834.68</v>
      </c>
      <c r="K2583" s="67">
        <f t="shared" si="164"/>
        <v>47731.364691609502</v>
      </c>
      <c r="L2583" s="95">
        <f>+VLOOKUP(E2583,MARGEN!A:B,2,FALSE)</f>
        <v>0.1</v>
      </c>
      <c r="M2583" s="112">
        <f t="shared" si="161"/>
        <v>4773.1364691609506</v>
      </c>
      <c r="N2583" s="113">
        <f t="shared" si="162"/>
        <v>190.925458766438</v>
      </c>
      <c r="O2583" s="113">
        <f t="shared" si="163"/>
        <v>42767.302763682113</v>
      </c>
    </row>
    <row r="2584" spans="1:15" x14ac:dyDescent="0.25">
      <c r="A2584" s="13">
        <v>44453</v>
      </c>
      <c r="B2584" s="97">
        <v>1799</v>
      </c>
      <c r="C2584" t="s">
        <v>172</v>
      </c>
      <c r="D2584" s="94" t="s">
        <v>371</v>
      </c>
      <c r="E2584" t="s">
        <v>17</v>
      </c>
      <c r="F2584" t="s">
        <v>566</v>
      </c>
      <c r="G2584" s="50" t="s">
        <v>559</v>
      </c>
      <c r="H2584" s="50">
        <v>2</v>
      </c>
      <c r="I2584" s="100">
        <v>6.7391919697301583</v>
      </c>
      <c r="J2584" s="52">
        <v>3834.68</v>
      </c>
      <c r="K2584" s="67">
        <f t="shared" si="164"/>
        <v>46490.917747810228</v>
      </c>
      <c r="L2584" s="95">
        <f>+VLOOKUP(E2584,MARGEN!A:B,2,FALSE)</f>
        <v>0.1</v>
      </c>
      <c r="M2584" s="112">
        <f t="shared" si="161"/>
        <v>4649.0917747810227</v>
      </c>
      <c r="N2584" s="113">
        <f t="shared" si="162"/>
        <v>185.96367099124092</v>
      </c>
      <c r="O2584" s="113">
        <f t="shared" si="163"/>
        <v>41655.862302037967</v>
      </c>
    </row>
    <row r="2585" spans="1:15" x14ac:dyDescent="0.25">
      <c r="A2585" s="13">
        <v>44453</v>
      </c>
      <c r="B2585" s="97">
        <v>1775</v>
      </c>
      <c r="C2585" t="s">
        <v>311</v>
      </c>
      <c r="D2585" s="94" t="s">
        <v>541</v>
      </c>
      <c r="E2585" t="s">
        <v>17</v>
      </c>
      <c r="F2585" t="s">
        <v>566</v>
      </c>
      <c r="G2585" s="50" t="s">
        <v>559</v>
      </c>
      <c r="H2585" s="50">
        <v>2</v>
      </c>
      <c r="I2585" s="100">
        <v>6.7391919697301583</v>
      </c>
      <c r="J2585" s="52">
        <v>3834.68</v>
      </c>
      <c r="K2585" s="67">
        <f t="shared" si="164"/>
        <v>45870.694275910595</v>
      </c>
      <c r="L2585" s="95">
        <f>+VLOOKUP(E2585,MARGEN!A:B,2,FALSE)</f>
        <v>0.1</v>
      </c>
      <c r="M2585" s="112">
        <f t="shared" si="161"/>
        <v>4587.06942759106</v>
      </c>
      <c r="N2585" s="113">
        <f t="shared" si="162"/>
        <v>183.48277710364238</v>
      </c>
      <c r="O2585" s="113">
        <f t="shared" si="163"/>
        <v>41100.142071215894</v>
      </c>
    </row>
    <row r="2586" spans="1:15" x14ac:dyDescent="0.25">
      <c r="A2586" s="13">
        <v>44453</v>
      </c>
      <c r="B2586" s="97">
        <v>1751</v>
      </c>
      <c r="C2586" t="s">
        <v>154</v>
      </c>
      <c r="D2586" s="94" t="s">
        <v>419</v>
      </c>
      <c r="E2586" t="s">
        <v>17</v>
      </c>
      <c r="F2586" t="s">
        <v>566</v>
      </c>
      <c r="G2586" s="50" t="s">
        <v>559</v>
      </c>
      <c r="H2586" s="50">
        <v>2</v>
      </c>
      <c r="I2586" s="100">
        <v>6.7391919697301583</v>
      </c>
      <c r="J2586" s="52">
        <v>3834.68</v>
      </c>
      <c r="K2586" s="67">
        <f t="shared" si="164"/>
        <v>45250.470804010954</v>
      </c>
      <c r="L2586" s="95">
        <f>+VLOOKUP(E2586,MARGEN!A:B,2,FALSE)</f>
        <v>0.1</v>
      </c>
      <c r="M2586" s="112">
        <f t="shared" si="161"/>
        <v>4525.0470804010956</v>
      </c>
      <c r="N2586" s="113">
        <f t="shared" si="162"/>
        <v>181.00188321604381</v>
      </c>
      <c r="O2586" s="113">
        <f t="shared" si="163"/>
        <v>40544.421840393814</v>
      </c>
    </row>
    <row r="2587" spans="1:15" x14ac:dyDescent="0.25">
      <c r="A2587" s="13">
        <v>44453</v>
      </c>
      <c r="B2587" s="97">
        <v>1727</v>
      </c>
      <c r="C2587" t="s">
        <v>188</v>
      </c>
      <c r="D2587" s="94" t="s">
        <v>397</v>
      </c>
      <c r="E2587" t="s">
        <v>17</v>
      </c>
      <c r="F2587" t="s">
        <v>551</v>
      </c>
      <c r="G2587" s="50" t="s">
        <v>205</v>
      </c>
      <c r="H2587" s="50">
        <v>2</v>
      </c>
      <c r="I2587" s="100">
        <v>6.7391919697301583</v>
      </c>
      <c r="J2587" s="52">
        <v>3834.68</v>
      </c>
      <c r="K2587" s="67">
        <f t="shared" si="164"/>
        <v>44630.247332111321</v>
      </c>
      <c r="L2587" s="95">
        <f>+VLOOKUP(E2587,MARGEN!A:B,2,FALSE)</f>
        <v>0.1</v>
      </c>
      <c r="M2587" s="112">
        <f t="shared" si="161"/>
        <v>4463.0247332111321</v>
      </c>
      <c r="N2587" s="113">
        <f t="shared" si="162"/>
        <v>178.5209893284453</v>
      </c>
      <c r="O2587" s="113">
        <f t="shared" si="163"/>
        <v>39988.701609571741</v>
      </c>
    </row>
    <row r="2588" spans="1:15" x14ac:dyDescent="0.25">
      <c r="A2588" s="13">
        <v>44453</v>
      </c>
      <c r="B2588" s="97">
        <v>1727</v>
      </c>
      <c r="C2588" t="s">
        <v>174</v>
      </c>
      <c r="D2588" s="94" t="s">
        <v>395</v>
      </c>
      <c r="E2588" t="s">
        <v>17</v>
      </c>
      <c r="F2588" t="s">
        <v>562</v>
      </c>
      <c r="G2588" s="50" t="s">
        <v>559</v>
      </c>
      <c r="H2588" s="50">
        <v>2</v>
      </c>
      <c r="I2588" s="100">
        <v>6.7391919697301583</v>
      </c>
      <c r="J2588" s="52">
        <v>3834.68</v>
      </c>
      <c r="K2588" s="67">
        <f t="shared" si="164"/>
        <v>44630.247332111321</v>
      </c>
      <c r="L2588" s="95">
        <f>+VLOOKUP(E2588,MARGEN!A:B,2,FALSE)</f>
        <v>0.1</v>
      </c>
      <c r="M2588" s="112">
        <f t="shared" si="161"/>
        <v>4463.0247332111321</v>
      </c>
      <c r="N2588" s="113">
        <f t="shared" si="162"/>
        <v>178.5209893284453</v>
      </c>
      <c r="O2588" s="113">
        <f t="shared" si="163"/>
        <v>39988.701609571741</v>
      </c>
    </row>
    <row r="2589" spans="1:15" x14ac:dyDescent="0.25">
      <c r="A2589" s="13">
        <v>44453</v>
      </c>
      <c r="B2589" s="51">
        <v>1727</v>
      </c>
      <c r="C2589" s="66" t="s">
        <v>170</v>
      </c>
      <c r="D2589" s="66" t="s">
        <v>437</v>
      </c>
      <c r="E2589" t="s">
        <v>17</v>
      </c>
      <c r="F2589" s="50" t="s">
        <v>562</v>
      </c>
      <c r="G2589" s="50" t="s">
        <v>559</v>
      </c>
      <c r="H2589" s="50">
        <v>2</v>
      </c>
      <c r="I2589" s="100">
        <v>6.7391919697301583</v>
      </c>
      <c r="J2589" s="52">
        <v>3834.68</v>
      </c>
      <c r="K2589" s="67">
        <f t="shared" si="164"/>
        <v>44630.247332111321</v>
      </c>
      <c r="L2589" s="95">
        <f>+VLOOKUP(E2589,MARGEN!A:B,2,FALSE)</f>
        <v>0.1</v>
      </c>
      <c r="M2589" s="112">
        <f t="shared" si="161"/>
        <v>4463.0247332111321</v>
      </c>
      <c r="N2589" s="113">
        <f t="shared" si="162"/>
        <v>178.5209893284453</v>
      </c>
      <c r="O2589" s="113">
        <f t="shared" si="163"/>
        <v>39988.701609571741</v>
      </c>
    </row>
    <row r="2590" spans="1:15" x14ac:dyDescent="0.25">
      <c r="A2590" s="13">
        <v>44453</v>
      </c>
      <c r="B2590" s="51">
        <v>1703</v>
      </c>
      <c r="C2590" s="66" t="s">
        <v>120</v>
      </c>
      <c r="D2590" s="66" t="s">
        <v>452</v>
      </c>
      <c r="E2590" t="s">
        <v>17</v>
      </c>
      <c r="F2590" s="50" t="s">
        <v>551</v>
      </c>
      <c r="G2590" s="50" t="s">
        <v>205</v>
      </c>
      <c r="H2590" s="50">
        <v>2</v>
      </c>
      <c r="I2590" s="100">
        <v>6.7391919697301583</v>
      </c>
      <c r="J2590" s="52">
        <v>3834.68</v>
      </c>
      <c r="K2590" s="67">
        <f t="shared" si="164"/>
        <v>44010.023860211688</v>
      </c>
      <c r="L2590" s="95">
        <f>+VLOOKUP(E2590,MARGEN!A:B,2,FALSE)</f>
        <v>0.1</v>
      </c>
      <c r="M2590" s="112">
        <f t="shared" si="161"/>
        <v>4401.0023860211686</v>
      </c>
      <c r="N2590" s="113">
        <f t="shared" si="162"/>
        <v>176.04009544084676</v>
      </c>
      <c r="O2590" s="113">
        <f t="shared" si="163"/>
        <v>39432.981378749675</v>
      </c>
    </row>
    <row r="2591" spans="1:15" x14ac:dyDescent="0.25">
      <c r="A2591" s="13">
        <v>44453</v>
      </c>
      <c r="B2591" s="97">
        <v>1703</v>
      </c>
      <c r="C2591" t="s">
        <v>296</v>
      </c>
      <c r="D2591" t="s">
        <v>498</v>
      </c>
      <c r="E2591" t="s">
        <v>17</v>
      </c>
      <c r="F2591" t="s">
        <v>562</v>
      </c>
      <c r="G2591" s="50" t="s">
        <v>559</v>
      </c>
      <c r="H2591" s="50">
        <v>2</v>
      </c>
      <c r="I2591" s="100">
        <v>6.7391919697301583</v>
      </c>
      <c r="J2591" s="52">
        <v>3834.68</v>
      </c>
      <c r="K2591" s="67">
        <f t="shared" si="164"/>
        <v>44010.023860211688</v>
      </c>
      <c r="L2591" s="95">
        <f>+VLOOKUP(E2591,MARGEN!A:B,2,FALSE)</f>
        <v>0.1</v>
      </c>
      <c r="M2591" s="112">
        <f t="shared" si="161"/>
        <v>4401.0023860211686</v>
      </c>
      <c r="N2591" s="113">
        <f t="shared" si="162"/>
        <v>176.04009544084676</v>
      </c>
      <c r="O2591" s="113">
        <f t="shared" si="163"/>
        <v>39432.981378749675</v>
      </c>
    </row>
    <row r="2592" spans="1:15" x14ac:dyDescent="0.25">
      <c r="A2592" s="13">
        <v>44453</v>
      </c>
      <c r="B2592" s="97">
        <v>1703</v>
      </c>
      <c r="C2592" t="s">
        <v>286</v>
      </c>
      <c r="D2592" s="94" t="s">
        <v>531</v>
      </c>
      <c r="E2592" t="s">
        <v>17</v>
      </c>
      <c r="F2592" t="s">
        <v>566</v>
      </c>
      <c r="G2592" s="50" t="s">
        <v>559</v>
      </c>
      <c r="H2592" s="50">
        <v>2</v>
      </c>
      <c r="I2592" s="100">
        <v>6.7391919697301583</v>
      </c>
      <c r="J2592" s="52">
        <v>3834.68</v>
      </c>
      <c r="K2592" s="67">
        <f t="shared" si="164"/>
        <v>44010.023860211688</v>
      </c>
      <c r="L2592" s="95">
        <f>+VLOOKUP(E2592,MARGEN!A:B,2,FALSE)</f>
        <v>0.1</v>
      </c>
      <c r="M2592" s="112">
        <f t="shared" si="161"/>
        <v>4401.0023860211686</v>
      </c>
      <c r="N2592" s="113">
        <f t="shared" si="162"/>
        <v>176.04009544084676</v>
      </c>
      <c r="O2592" s="113">
        <f t="shared" si="163"/>
        <v>39432.981378749675</v>
      </c>
    </row>
    <row r="2593" spans="1:15" x14ac:dyDescent="0.25">
      <c r="A2593" s="13">
        <v>44453</v>
      </c>
      <c r="B2593" s="97">
        <v>1679</v>
      </c>
      <c r="C2593" t="s">
        <v>175</v>
      </c>
      <c r="D2593" t="s">
        <v>432</v>
      </c>
      <c r="E2593" t="s">
        <v>17</v>
      </c>
      <c r="F2593" t="s">
        <v>551</v>
      </c>
      <c r="G2593" s="50" t="s">
        <v>205</v>
      </c>
      <c r="H2593" s="50">
        <v>2</v>
      </c>
      <c r="I2593" s="100">
        <v>6.7391919697301583</v>
      </c>
      <c r="J2593" s="52">
        <v>3834.68</v>
      </c>
      <c r="K2593" s="67">
        <f t="shared" si="164"/>
        <v>43389.800388312047</v>
      </c>
      <c r="L2593" s="95">
        <f>+VLOOKUP(E2593,MARGEN!A:B,2,FALSE)</f>
        <v>0.1</v>
      </c>
      <c r="M2593" s="112">
        <f t="shared" si="161"/>
        <v>4338.9800388312051</v>
      </c>
      <c r="N2593" s="113">
        <f t="shared" si="162"/>
        <v>173.55920155324819</v>
      </c>
      <c r="O2593" s="113">
        <f t="shared" si="163"/>
        <v>38877.261147927595</v>
      </c>
    </row>
    <row r="2594" spans="1:15" x14ac:dyDescent="0.25">
      <c r="A2594" s="13">
        <v>44453</v>
      </c>
      <c r="B2594" s="97">
        <v>1679</v>
      </c>
      <c r="C2594" t="s">
        <v>287</v>
      </c>
      <c r="D2594" s="94" t="s">
        <v>496</v>
      </c>
      <c r="E2594" t="s">
        <v>17</v>
      </c>
      <c r="F2594" t="s">
        <v>551</v>
      </c>
      <c r="G2594" s="50" t="s">
        <v>205</v>
      </c>
      <c r="H2594" s="50">
        <v>2</v>
      </c>
      <c r="I2594" s="100">
        <v>6.7391919697301583</v>
      </c>
      <c r="J2594" s="52">
        <v>3834.68</v>
      </c>
      <c r="K2594" s="67">
        <f t="shared" si="164"/>
        <v>43389.800388312047</v>
      </c>
      <c r="L2594" s="95">
        <f>+VLOOKUP(E2594,MARGEN!A:B,2,FALSE)</f>
        <v>0.1</v>
      </c>
      <c r="M2594" s="112">
        <f t="shared" si="161"/>
        <v>4338.9800388312051</v>
      </c>
      <c r="N2594" s="113">
        <f t="shared" si="162"/>
        <v>173.55920155324819</v>
      </c>
      <c r="O2594" s="113">
        <f t="shared" si="163"/>
        <v>38877.261147927595</v>
      </c>
    </row>
    <row r="2595" spans="1:15" x14ac:dyDescent="0.25">
      <c r="A2595" s="13">
        <v>44453</v>
      </c>
      <c r="B2595" s="97">
        <v>1679</v>
      </c>
      <c r="C2595" t="s">
        <v>121</v>
      </c>
      <c r="D2595" s="94" t="s">
        <v>381</v>
      </c>
      <c r="E2595" t="s">
        <v>17</v>
      </c>
      <c r="F2595" t="s">
        <v>562</v>
      </c>
      <c r="G2595" s="50" t="s">
        <v>559</v>
      </c>
      <c r="H2595" s="50">
        <v>2</v>
      </c>
      <c r="I2595" s="100">
        <v>6.7391919697301583</v>
      </c>
      <c r="J2595" s="52">
        <v>3834.68</v>
      </c>
      <c r="K2595" s="67">
        <f t="shared" si="164"/>
        <v>43389.800388312047</v>
      </c>
      <c r="L2595" s="95">
        <f>+VLOOKUP(E2595,MARGEN!A:B,2,FALSE)</f>
        <v>0.1</v>
      </c>
      <c r="M2595" s="112">
        <f t="shared" si="161"/>
        <v>4338.9800388312051</v>
      </c>
      <c r="N2595" s="113">
        <f t="shared" si="162"/>
        <v>173.55920155324819</v>
      </c>
      <c r="O2595" s="113">
        <f t="shared" si="163"/>
        <v>38877.261147927595</v>
      </c>
    </row>
    <row r="2596" spans="1:15" x14ac:dyDescent="0.25">
      <c r="A2596" s="13">
        <v>44453</v>
      </c>
      <c r="B2596" s="97">
        <v>1679</v>
      </c>
      <c r="C2596" t="s">
        <v>194</v>
      </c>
      <c r="D2596" s="94" t="s">
        <v>417</v>
      </c>
      <c r="E2596" t="s">
        <v>17</v>
      </c>
      <c r="F2596" t="s">
        <v>562</v>
      </c>
      <c r="G2596" s="50" t="s">
        <v>559</v>
      </c>
      <c r="H2596" s="50">
        <v>2</v>
      </c>
      <c r="I2596" s="100">
        <v>6.7391919697301583</v>
      </c>
      <c r="J2596" s="52">
        <v>3834.68</v>
      </c>
      <c r="K2596" s="67">
        <f t="shared" si="164"/>
        <v>43389.800388312047</v>
      </c>
      <c r="L2596" s="95">
        <f>+VLOOKUP(E2596,MARGEN!A:B,2,FALSE)</f>
        <v>0.1</v>
      </c>
      <c r="M2596" s="112">
        <f t="shared" si="161"/>
        <v>4338.9800388312051</v>
      </c>
      <c r="N2596" s="113">
        <f t="shared" si="162"/>
        <v>173.55920155324819</v>
      </c>
      <c r="O2596" s="113">
        <f t="shared" si="163"/>
        <v>38877.261147927595</v>
      </c>
    </row>
    <row r="2597" spans="1:15" x14ac:dyDescent="0.25">
      <c r="A2597" s="13">
        <v>44453</v>
      </c>
      <c r="B2597" s="97">
        <v>1679</v>
      </c>
      <c r="C2597" t="s">
        <v>288</v>
      </c>
      <c r="D2597" s="94" t="s">
        <v>530</v>
      </c>
      <c r="E2597" t="s">
        <v>17</v>
      </c>
      <c r="F2597" t="s">
        <v>566</v>
      </c>
      <c r="G2597" s="50" t="s">
        <v>559</v>
      </c>
      <c r="H2597" s="50">
        <v>2</v>
      </c>
      <c r="I2597" s="100">
        <v>6.7391919697301583</v>
      </c>
      <c r="J2597" s="52">
        <v>3834.68</v>
      </c>
      <c r="K2597" s="67">
        <f t="shared" si="164"/>
        <v>43389.800388312047</v>
      </c>
      <c r="L2597" s="95">
        <f>+VLOOKUP(E2597,MARGEN!A:B,2,FALSE)</f>
        <v>0.1</v>
      </c>
      <c r="M2597" s="112">
        <f t="shared" si="161"/>
        <v>4338.9800388312051</v>
      </c>
      <c r="N2597" s="113">
        <f t="shared" si="162"/>
        <v>173.55920155324819</v>
      </c>
      <c r="O2597" s="113">
        <f t="shared" si="163"/>
        <v>38877.261147927595</v>
      </c>
    </row>
    <row r="2598" spans="1:15" x14ac:dyDescent="0.25">
      <c r="A2598" s="13">
        <v>44453</v>
      </c>
      <c r="B2598" s="97">
        <v>1655</v>
      </c>
      <c r="C2598" t="s">
        <v>285</v>
      </c>
      <c r="D2598" s="94" t="s">
        <v>534</v>
      </c>
      <c r="E2598" t="s">
        <v>17</v>
      </c>
      <c r="F2598" t="s">
        <v>566</v>
      </c>
      <c r="G2598" s="50" t="s">
        <v>559</v>
      </c>
      <c r="H2598" s="50">
        <v>2</v>
      </c>
      <c r="I2598" s="100">
        <v>6.7391919697301583</v>
      </c>
      <c r="J2598" s="52">
        <v>3834.68</v>
      </c>
      <c r="K2598" s="67">
        <f t="shared" si="164"/>
        <v>42769.576916412421</v>
      </c>
      <c r="L2598" s="95">
        <f>+VLOOKUP(E2598,MARGEN!A:B,2,FALSE)</f>
        <v>0.1</v>
      </c>
      <c r="M2598" s="112">
        <f t="shared" si="161"/>
        <v>4276.9576916412425</v>
      </c>
      <c r="N2598" s="113">
        <f t="shared" si="162"/>
        <v>171.07830766564967</v>
      </c>
      <c r="O2598" s="113">
        <f t="shared" si="163"/>
        <v>38321.540917105529</v>
      </c>
    </row>
    <row r="2599" spans="1:15" x14ac:dyDescent="0.25">
      <c r="A2599" s="13">
        <v>44453</v>
      </c>
      <c r="B2599" s="97">
        <v>1655</v>
      </c>
      <c r="C2599" t="s">
        <v>223</v>
      </c>
      <c r="D2599" s="94" t="s">
        <v>389</v>
      </c>
      <c r="E2599" t="s">
        <v>17</v>
      </c>
      <c r="F2599" t="s">
        <v>566</v>
      </c>
      <c r="G2599" s="50" t="s">
        <v>559</v>
      </c>
      <c r="H2599" s="50">
        <v>2</v>
      </c>
      <c r="I2599" s="100">
        <v>6.7391919697301583</v>
      </c>
      <c r="J2599" s="52">
        <v>3834.68</v>
      </c>
      <c r="K2599" s="67">
        <f t="shared" si="164"/>
        <v>42769.576916412421</v>
      </c>
      <c r="L2599" s="95">
        <f>+VLOOKUP(E2599,MARGEN!A:B,2,FALSE)</f>
        <v>0.1</v>
      </c>
      <c r="M2599" s="112">
        <f t="shared" si="161"/>
        <v>4276.9576916412425</v>
      </c>
      <c r="N2599" s="113">
        <f t="shared" si="162"/>
        <v>171.07830766564967</v>
      </c>
      <c r="O2599" s="113">
        <f t="shared" si="163"/>
        <v>38321.540917105529</v>
      </c>
    </row>
    <row r="2600" spans="1:15" x14ac:dyDescent="0.25">
      <c r="A2600" s="13">
        <v>44453</v>
      </c>
      <c r="B2600" s="51">
        <v>1631</v>
      </c>
      <c r="C2600" s="66" t="s">
        <v>196</v>
      </c>
      <c r="D2600" s="66" t="s">
        <v>413</v>
      </c>
      <c r="E2600" t="s">
        <v>17</v>
      </c>
      <c r="F2600" s="50" t="s">
        <v>562</v>
      </c>
      <c r="G2600" s="50" t="s">
        <v>559</v>
      </c>
      <c r="H2600" s="50">
        <v>2</v>
      </c>
      <c r="I2600" s="100">
        <v>6.7391919697301583</v>
      </c>
      <c r="J2600" s="52">
        <v>3834.68</v>
      </c>
      <c r="K2600" s="67">
        <f t="shared" si="164"/>
        <v>42149.353444512773</v>
      </c>
      <c r="L2600" s="95">
        <f>+VLOOKUP(E2600,MARGEN!A:B,2,FALSE)</f>
        <v>0.1</v>
      </c>
      <c r="M2600" s="112">
        <f t="shared" si="161"/>
        <v>4214.9353444512772</v>
      </c>
      <c r="N2600" s="113">
        <f t="shared" si="162"/>
        <v>168.59741377805111</v>
      </c>
      <c r="O2600" s="113">
        <f t="shared" si="163"/>
        <v>37765.820686283449</v>
      </c>
    </row>
    <row r="2601" spans="1:15" x14ac:dyDescent="0.25">
      <c r="A2601" s="13">
        <v>44453</v>
      </c>
      <c r="B2601" s="97">
        <v>1631</v>
      </c>
      <c r="C2601" t="s">
        <v>209</v>
      </c>
      <c r="D2601" s="94" t="s">
        <v>441</v>
      </c>
      <c r="E2601" t="s">
        <v>17</v>
      </c>
      <c r="F2601" t="s">
        <v>562</v>
      </c>
      <c r="G2601" s="50" t="s">
        <v>559</v>
      </c>
      <c r="H2601" s="50">
        <v>2</v>
      </c>
      <c r="I2601" s="100">
        <v>6.7391919697301583</v>
      </c>
      <c r="J2601" s="52">
        <v>3834.68</v>
      </c>
      <c r="K2601" s="67">
        <f t="shared" si="164"/>
        <v>42149.353444512773</v>
      </c>
      <c r="L2601" s="95">
        <f>+VLOOKUP(E2601,MARGEN!A:B,2,FALSE)</f>
        <v>0.1</v>
      </c>
      <c r="M2601" s="112">
        <f t="shared" si="161"/>
        <v>4214.9353444512772</v>
      </c>
      <c r="N2601" s="113">
        <f t="shared" si="162"/>
        <v>168.59741377805111</v>
      </c>
      <c r="O2601" s="113">
        <f t="shared" si="163"/>
        <v>37765.820686283449</v>
      </c>
    </row>
    <row r="2602" spans="1:15" x14ac:dyDescent="0.25">
      <c r="A2602" s="13">
        <v>44453</v>
      </c>
      <c r="B2602" s="97">
        <v>1631</v>
      </c>
      <c r="C2602" t="s">
        <v>171</v>
      </c>
      <c r="D2602" s="94" t="s">
        <v>387</v>
      </c>
      <c r="E2602" t="s">
        <v>17</v>
      </c>
      <c r="F2602" t="s">
        <v>566</v>
      </c>
      <c r="G2602" s="50" t="s">
        <v>559</v>
      </c>
      <c r="H2602" s="50">
        <v>2</v>
      </c>
      <c r="I2602" s="100">
        <v>6.7391919697301583</v>
      </c>
      <c r="J2602" s="52">
        <v>3834.68</v>
      </c>
      <c r="K2602" s="67">
        <f t="shared" si="164"/>
        <v>42149.353444512773</v>
      </c>
      <c r="L2602" s="95">
        <f>+VLOOKUP(E2602,MARGEN!A:B,2,FALSE)</f>
        <v>0.1</v>
      </c>
      <c r="M2602" s="112">
        <f t="shared" si="161"/>
        <v>4214.9353444512772</v>
      </c>
      <c r="N2602" s="113">
        <f t="shared" si="162"/>
        <v>168.59741377805111</v>
      </c>
      <c r="O2602" s="113">
        <f t="shared" si="163"/>
        <v>37765.820686283449</v>
      </c>
    </row>
    <row r="2603" spans="1:15" x14ac:dyDescent="0.25">
      <c r="A2603" s="13">
        <v>44453</v>
      </c>
      <c r="B2603" s="97">
        <v>1607</v>
      </c>
      <c r="C2603" t="s">
        <v>180</v>
      </c>
      <c r="D2603" s="94" t="s">
        <v>447</v>
      </c>
      <c r="E2603" t="s">
        <v>17</v>
      </c>
      <c r="F2603" t="s">
        <v>562</v>
      </c>
      <c r="G2603" s="50" t="s">
        <v>559</v>
      </c>
      <c r="H2603" s="50">
        <v>2</v>
      </c>
      <c r="I2603" s="100">
        <v>6.7391919697301583</v>
      </c>
      <c r="J2603" s="52">
        <v>3834.68</v>
      </c>
      <c r="K2603" s="67">
        <f t="shared" si="164"/>
        <v>41529.12997261314</v>
      </c>
      <c r="L2603" s="95">
        <f>+VLOOKUP(E2603,MARGEN!A:B,2,FALSE)</f>
        <v>0.1</v>
      </c>
      <c r="M2603" s="112">
        <f t="shared" si="161"/>
        <v>4152.9129972613146</v>
      </c>
      <c r="N2603" s="113">
        <f t="shared" si="162"/>
        <v>166.11651989045257</v>
      </c>
      <c r="O2603" s="113">
        <f t="shared" si="163"/>
        <v>37210.100455461376</v>
      </c>
    </row>
    <row r="2604" spans="1:15" x14ac:dyDescent="0.25">
      <c r="A2604" s="13">
        <v>44453</v>
      </c>
      <c r="B2604" s="97">
        <v>1559</v>
      </c>
      <c r="C2604" s="88" t="s">
        <v>552</v>
      </c>
      <c r="D2604" t="s">
        <v>563</v>
      </c>
      <c r="E2604" t="s">
        <v>17</v>
      </c>
      <c r="F2604" t="s">
        <v>551</v>
      </c>
      <c r="G2604" s="50" t="s">
        <v>205</v>
      </c>
      <c r="H2604" s="50">
        <v>2</v>
      </c>
      <c r="I2604" s="100">
        <v>6.7391919697301583</v>
      </c>
      <c r="J2604" s="52">
        <v>3834.68</v>
      </c>
      <c r="K2604" s="67">
        <f t="shared" si="164"/>
        <v>40288.683028813866</v>
      </c>
      <c r="L2604" s="95">
        <f>+VLOOKUP(E2604,MARGEN!A:B,2,FALSE)</f>
        <v>0.1</v>
      </c>
      <c r="M2604" s="112">
        <f t="shared" si="161"/>
        <v>4028.8683028813866</v>
      </c>
      <c r="N2604" s="113">
        <f t="shared" si="162"/>
        <v>161.15473211525546</v>
      </c>
      <c r="O2604" s="113">
        <f t="shared" si="163"/>
        <v>36098.659993817222</v>
      </c>
    </row>
    <row r="2605" spans="1:15" x14ac:dyDescent="0.25">
      <c r="A2605" s="13">
        <v>44453</v>
      </c>
      <c r="B2605" s="97">
        <v>1559</v>
      </c>
      <c r="C2605" t="s">
        <v>176</v>
      </c>
      <c r="D2605" s="94" t="s">
        <v>430</v>
      </c>
      <c r="E2605" t="s">
        <v>17</v>
      </c>
      <c r="F2605" t="s">
        <v>562</v>
      </c>
      <c r="G2605" s="50" t="s">
        <v>559</v>
      </c>
      <c r="H2605" s="50">
        <v>2</v>
      </c>
      <c r="I2605" s="100">
        <v>6.7391919697301583</v>
      </c>
      <c r="J2605" s="52">
        <v>3834.68</v>
      </c>
      <c r="K2605" s="67">
        <f t="shared" si="164"/>
        <v>40288.683028813866</v>
      </c>
      <c r="L2605" s="95">
        <f>+VLOOKUP(E2605,MARGEN!A:B,2,FALSE)</f>
        <v>0.1</v>
      </c>
      <c r="M2605" s="112">
        <f t="shared" si="161"/>
        <v>4028.8683028813866</v>
      </c>
      <c r="N2605" s="113">
        <f t="shared" si="162"/>
        <v>161.15473211525546</v>
      </c>
      <c r="O2605" s="113">
        <f t="shared" si="163"/>
        <v>36098.659993817222</v>
      </c>
    </row>
    <row r="2606" spans="1:15" x14ac:dyDescent="0.25">
      <c r="A2606" s="13">
        <v>44453</v>
      </c>
      <c r="B2606" s="97">
        <v>1535</v>
      </c>
      <c r="C2606" t="s">
        <v>137</v>
      </c>
      <c r="D2606" s="94" t="s">
        <v>418</v>
      </c>
      <c r="E2606" t="s">
        <v>17</v>
      </c>
      <c r="F2606" t="s">
        <v>566</v>
      </c>
      <c r="G2606" s="50" t="s">
        <v>559</v>
      </c>
      <c r="H2606" s="50">
        <v>2</v>
      </c>
      <c r="I2606" s="100">
        <v>6.7391919697301583</v>
      </c>
      <c r="J2606" s="52">
        <v>3834.68</v>
      </c>
      <c r="K2606" s="67">
        <f t="shared" si="164"/>
        <v>39668.459556914233</v>
      </c>
      <c r="L2606" s="95">
        <f>+VLOOKUP(E2606,MARGEN!A:B,2,FALSE)</f>
        <v>0.1</v>
      </c>
      <c r="M2606" s="112">
        <f t="shared" si="161"/>
        <v>3966.8459556914236</v>
      </c>
      <c r="N2606" s="113">
        <f t="shared" si="162"/>
        <v>158.67383822765694</v>
      </c>
      <c r="O2606" s="113">
        <f t="shared" si="163"/>
        <v>35542.939762995149</v>
      </c>
    </row>
    <row r="2607" spans="1:15" x14ac:dyDescent="0.25">
      <c r="A2607" s="13">
        <v>44453</v>
      </c>
      <c r="B2607" s="97">
        <v>1511</v>
      </c>
      <c r="C2607" t="s">
        <v>291</v>
      </c>
      <c r="D2607" s="94" t="s">
        <v>492</v>
      </c>
      <c r="E2607" t="s">
        <v>17</v>
      </c>
      <c r="F2607" t="s">
        <v>566</v>
      </c>
      <c r="G2607" s="50" t="s">
        <v>559</v>
      </c>
      <c r="H2607" s="50">
        <v>2</v>
      </c>
      <c r="I2607" s="100">
        <v>6.7391919697301583</v>
      </c>
      <c r="J2607" s="52">
        <v>3834.68</v>
      </c>
      <c r="K2607" s="67">
        <f t="shared" si="164"/>
        <v>39048.2360850146</v>
      </c>
      <c r="L2607" s="95">
        <f>+VLOOKUP(E2607,MARGEN!A:B,2,FALSE)</f>
        <v>0.1</v>
      </c>
      <c r="M2607" s="112">
        <f t="shared" si="161"/>
        <v>3904.8236085014601</v>
      </c>
      <c r="N2607" s="113">
        <f t="shared" si="162"/>
        <v>156.1929443400584</v>
      </c>
      <c r="O2607" s="113">
        <f t="shared" si="163"/>
        <v>34987.219532173083</v>
      </c>
    </row>
    <row r="2608" spans="1:15" x14ac:dyDescent="0.25">
      <c r="A2608" s="13">
        <v>44453</v>
      </c>
      <c r="B2608" s="51">
        <v>1511</v>
      </c>
      <c r="C2608" s="66" t="s">
        <v>152</v>
      </c>
      <c r="D2608" s="94" t="s">
        <v>425</v>
      </c>
      <c r="E2608" t="s">
        <v>17</v>
      </c>
      <c r="F2608" s="50" t="s">
        <v>566</v>
      </c>
      <c r="G2608" s="50" t="s">
        <v>559</v>
      </c>
      <c r="H2608" s="50">
        <v>2</v>
      </c>
      <c r="I2608" s="100">
        <v>6.7391919697301583</v>
      </c>
      <c r="J2608" s="52">
        <v>3834.68</v>
      </c>
      <c r="K2608" s="67">
        <f t="shared" si="164"/>
        <v>39048.2360850146</v>
      </c>
      <c r="L2608" s="95">
        <f>+VLOOKUP(E2608,MARGEN!A:B,2,FALSE)</f>
        <v>0.1</v>
      </c>
      <c r="M2608" s="112">
        <f t="shared" si="161"/>
        <v>3904.8236085014601</v>
      </c>
      <c r="N2608" s="113">
        <f t="shared" si="162"/>
        <v>156.1929443400584</v>
      </c>
      <c r="O2608" s="113">
        <f t="shared" si="163"/>
        <v>34987.219532173083</v>
      </c>
    </row>
    <row r="2609" spans="1:15" x14ac:dyDescent="0.25">
      <c r="A2609" s="13">
        <v>44453</v>
      </c>
      <c r="B2609" s="97">
        <v>1487</v>
      </c>
      <c r="C2609" t="s">
        <v>294</v>
      </c>
      <c r="D2609" s="94" t="s">
        <v>527</v>
      </c>
      <c r="E2609" t="s">
        <v>17</v>
      </c>
      <c r="F2609" t="s">
        <v>566</v>
      </c>
      <c r="G2609" s="50" t="s">
        <v>559</v>
      </c>
      <c r="H2609" s="50">
        <v>2</v>
      </c>
      <c r="I2609" s="100">
        <v>6.7391919697301583</v>
      </c>
      <c r="J2609" s="52">
        <v>3834.68</v>
      </c>
      <c r="K2609" s="67">
        <f t="shared" si="164"/>
        <v>38428.012613114959</v>
      </c>
      <c r="L2609" s="95">
        <f>+VLOOKUP(E2609,MARGEN!A:B,2,FALSE)</f>
        <v>0.1</v>
      </c>
      <c r="M2609" s="112">
        <f t="shared" si="161"/>
        <v>3842.8012613114961</v>
      </c>
      <c r="N2609" s="113">
        <f t="shared" si="162"/>
        <v>153.71205045245983</v>
      </c>
      <c r="O2609" s="113">
        <f t="shared" si="163"/>
        <v>34431.499301351003</v>
      </c>
    </row>
    <row r="2610" spans="1:15" x14ac:dyDescent="0.25">
      <c r="A2610" s="13">
        <v>44453</v>
      </c>
      <c r="B2610" s="97">
        <v>1487</v>
      </c>
      <c r="C2610" t="s">
        <v>169</v>
      </c>
      <c r="D2610" s="94" t="s">
        <v>351</v>
      </c>
      <c r="E2610" t="s">
        <v>17</v>
      </c>
      <c r="F2610" t="s">
        <v>566</v>
      </c>
      <c r="G2610" s="50" t="s">
        <v>559</v>
      </c>
      <c r="H2610" s="50">
        <v>2</v>
      </c>
      <c r="I2610" s="100">
        <v>6.7391919697301583</v>
      </c>
      <c r="J2610" s="52">
        <v>3834.68</v>
      </c>
      <c r="K2610" s="67">
        <f t="shared" si="164"/>
        <v>38428.012613114959</v>
      </c>
      <c r="L2610" s="95">
        <f>+VLOOKUP(E2610,MARGEN!A:B,2,FALSE)</f>
        <v>0.1</v>
      </c>
      <c r="M2610" s="112">
        <f t="shared" si="161"/>
        <v>3842.8012613114961</v>
      </c>
      <c r="N2610" s="113">
        <f t="shared" si="162"/>
        <v>153.71205045245983</v>
      </c>
      <c r="O2610" s="113">
        <f t="shared" si="163"/>
        <v>34431.499301351003</v>
      </c>
    </row>
    <row r="2611" spans="1:15" x14ac:dyDescent="0.25">
      <c r="A2611" s="13">
        <v>44453</v>
      </c>
      <c r="B2611" s="97">
        <v>1487</v>
      </c>
      <c r="C2611" t="s">
        <v>119</v>
      </c>
      <c r="D2611" s="94" t="s">
        <v>377</v>
      </c>
      <c r="E2611" t="s">
        <v>17</v>
      </c>
      <c r="F2611" t="s">
        <v>562</v>
      </c>
      <c r="G2611" s="50" t="s">
        <v>559</v>
      </c>
      <c r="H2611" s="50">
        <v>2</v>
      </c>
      <c r="I2611" s="100">
        <v>6.7391919697301583</v>
      </c>
      <c r="J2611" s="52">
        <v>3834.68</v>
      </c>
      <c r="K2611" s="67">
        <f t="shared" si="164"/>
        <v>38428.012613114959</v>
      </c>
      <c r="L2611" s="95">
        <f>+VLOOKUP(E2611,MARGEN!A:B,2,FALSE)</f>
        <v>0.1</v>
      </c>
      <c r="M2611" s="112">
        <f t="shared" si="161"/>
        <v>3842.8012613114961</v>
      </c>
      <c r="N2611" s="113">
        <f t="shared" si="162"/>
        <v>153.71205045245983</v>
      </c>
      <c r="O2611" s="113">
        <f t="shared" si="163"/>
        <v>34431.499301351003</v>
      </c>
    </row>
    <row r="2612" spans="1:15" x14ac:dyDescent="0.25">
      <c r="A2612" s="13">
        <v>44453</v>
      </c>
      <c r="B2612" s="97">
        <v>1487</v>
      </c>
      <c r="C2612" t="s">
        <v>202</v>
      </c>
      <c r="D2612" s="94" t="s">
        <v>436</v>
      </c>
      <c r="E2612" t="s">
        <v>17</v>
      </c>
      <c r="F2612" t="s">
        <v>566</v>
      </c>
      <c r="G2612" s="50" t="s">
        <v>559</v>
      </c>
      <c r="H2612" s="50">
        <v>2</v>
      </c>
      <c r="I2612" s="100">
        <v>6.7391919697301583</v>
      </c>
      <c r="J2612" s="52">
        <v>3834.68</v>
      </c>
      <c r="K2612" s="67">
        <f t="shared" si="164"/>
        <v>38428.012613114959</v>
      </c>
      <c r="L2612" s="95">
        <f>+VLOOKUP(E2612,MARGEN!A:B,2,FALSE)</f>
        <v>0.1</v>
      </c>
      <c r="M2612" s="112">
        <f t="shared" si="161"/>
        <v>3842.8012613114961</v>
      </c>
      <c r="N2612" s="113">
        <f t="shared" si="162"/>
        <v>153.71205045245983</v>
      </c>
      <c r="O2612" s="113">
        <f t="shared" si="163"/>
        <v>34431.499301351003</v>
      </c>
    </row>
    <row r="2613" spans="1:15" x14ac:dyDescent="0.25">
      <c r="A2613" s="13">
        <v>44453</v>
      </c>
      <c r="B2613" s="51">
        <v>1463</v>
      </c>
      <c r="C2613" s="66" t="s">
        <v>297</v>
      </c>
      <c r="D2613" s="66" t="s">
        <v>526</v>
      </c>
      <c r="E2613" t="s">
        <v>17</v>
      </c>
      <c r="F2613" s="50" t="s">
        <v>566</v>
      </c>
      <c r="G2613" s="50" t="s">
        <v>559</v>
      </c>
      <c r="H2613" s="50">
        <v>2</v>
      </c>
      <c r="I2613" s="100">
        <v>6.7391919697301583</v>
      </c>
      <c r="J2613" s="52">
        <v>3834.68</v>
      </c>
      <c r="K2613" s="67">
        <f t="shared" si="164"/>
        <v>37807.789141215326</v>
      </c>
      <c r="L2613" s="95">
        <f>+VLOOKUP(E2613,MARGEN!A:B,2,FALSE)</f>
        <v>0.1</v>
      </c>
      <c r="M2613" s="112">
        <f t="shared" si="161"/>
        <v>3780.7789141215326</v>
      </c>
      <c r="N2613" s="113">
        <f t="shared" si="162"/>
        <v>151.23115656486129</v>
      </c>
      <c r="O2613" s="113">
        <f t="shared" si="163"/>
        <v>33875.77907052893</v>
      </c>
    </row>
    <row r="2614" spans="1:15" x14ac:dyDescent="0.25">
      <c r="A2614" s="13">
        <v>44453</v>
      </c>
      <c r="B2614" s="51">
        <v>1439</v>
      </c>
      <c r="C2614" s="66" t="s">
        <v>168</v>
      </c>
      <c r="D2614" s="66" t="s">
        <v>352</v>
      </c>
      <c r="E2614" t="s">
        <v>17</v>
      </c>
      <c r="F2614" s="50" t="s">
        <v>562</v>
      </c>
      <c r="G2614" s="50" t="s">
        <v>559</v>
      </c>
      <c r="H2614" s="50">
        <v>2</v>
      </c>
      <c r="I2614" s="100">
        <v>6.7391919697301583</v>
      </c>
      <c r="J2614" s="52">
        <v>3834.68</v>
      </c>
      <c r="K2614" s="67">
        <f t="shared" si="164"/>
        <v>37187.565669315685</v>
      </c>
      <c r="L2614" s="95">
        <f>+VLOOKUP(E2614,MARGEN!A:B,2,FALSE)</f>
        <v>0.1</v>
      </c>
      <c r="M2614" s="112">
        <f t="shared" si="161"/>
        <v>3718.7565669315686</v>
      </c>
      <c r="N2614" s="113">
        <f t="shared" si="162"/>
        <v>148.75026267726275</v>
      </c>
      <c r="O2614" s="113">
        <f t="shared" si="163"/>
        <v>33320.058839706857</v>
      </c>
    </row>
    <row r="2615" spans="1:15" x14ac:dyDescent="0.25">
      <c r="A2615" s="13">
        <v>44453</v>
      </c>
      <c r="B2615" s="97">
        <v>1439</v>
      </c>
      <c r="C2615" t="s">
        <v>200</v>
      </c>
      <c r="D2615" s="94" t="s">
        <v>428</v>
      </c>
      <c r="E2615" t="s">
        <v>17</v>
      </c>
      <c r="F2615" t="s">
        <v>566</v>
      </c>
      <c r="G2615" s="50" t="s">
        <v>559</v>
      </c>
      <c r="H2615" s="50">
        <v>2</v>
      </c>
      <c r="I2615" s="100">
        <v>6.7391919697301583</v>
      </c>
      <c r="J2615" s="52">
        <v>3834.68</v>
      </c>
      <c r="K2615" s="67">
        <f t="shared" si="164"/>
        <v>37187.565669315685</v>
      </c>
      <c r="L2615" s="95">
        <f>+VLOOKUP(E2615,MARGEN!A:B,2,FALSE)</f>
        <v>0.1</v>
      </c>
      <c r="M2615" s="112">
        <f t="shared" si="161"/>
        <v>3718.7565669315686</v>
      </c>
      <c r="N2615" s="113">
        <f t="shared" si="162"/>
        <v>148.75026267726275</v>
      </c>
      <c r="O2615" s="113">
        <f t="shared" si="163"/>
        <v>33320.058839706857</v>
      </c>
    </row>
    <row r="2616" spans="1:15" x14ac:dyDescent="0.25">
      <c r="A2616" s="13">
        <v>44453</v>
      </c>
      <c r="B2616" s="97">
        <v>1439</v>
      </c>
      <c r="C2616" t="s">
        <v>210</v>
      </c>
      <c r="D2616" s="94" t="s">
        <v>402</v>
      </c>
      <c r="E2616" t="s">
        <v>17</v>
      </c>
      <c r="F2616" t="s">
        <v>566</v>
      </c>
      <c r="G2616" s="50" t="s">
        <v>559</v>
      </c>
      <c r="H2616" s="50">
        <v>2</v>
      </c>
      <c r="I2616" s="100">
        <v>6.7391919697301583</v>
      </c>
      <c r="J2616" s="52">
        <v>3834.68</v>
      </c>
      <c r="K2616" s="67">
        <f t="shared" si="164"/>
        <v>37187.565669315685</v>
      </c>
      <c r="L2616" s="95">
        <f>+VLOOKUP(E2616,MARGEN!A:B,2,FALSE)</f>
        <v>0.1</v>
      </c>
      <c r="M2616" s="112">
        <f t="shared" si="161"/>
        <v>3718.7565669315686</v>
      </c>
      <c r="N2616" s="113">
        <f t="shared" si="162"/>
        <v>148.75026267726275</v>
      </c>
      <c r="O2616" s="113">
        <f t="shared" si="163"/>
        <v>33320.058839706857</v>
      </c>
    </row>
    <row r="2617" spans="1:15" x14ac:dyDescent="0.25">
      <c r="A2617" s="13">
        <v>44453</v>
      </c>
      <c r="B2617" s="97">
        <v>1367</v>
      </c>
      <c r="C2617" t="s">
        <v>173</v>
      </c>
      <c r="D2617" s="94" t="s">
        <v>451</v>
      </c>
      <c r="E2617" t="s">
        <v>17</v>
      </c>
      <c r="F2617" t="s">
        <v>562</v>
      </c>
      <c r="G2617" s="50" t="s">
        <v>559</v>
      </c>
      <c r="H2617" s="50">
        <v>2</v>
      </c>
      <c r="I2617" s="100">
        <v>6.7391919697301583</v>
      </c>
      <c r="J2617" s="52">
        <v>3834.68</v>
      </c>
      <c r="K2617" s="67">
        <f t="shared" si="164"/>
        <v>35326.895253616778</v>
      </c>
      <c r="L2617" s="95">
        <f>+VLOOKUP(E2617,MARGEN!A:B,2,FALSE)</f>
        <v>0.1</v>
      </c>
      <c r="M2617" s="112">
        <f t="shared" si="161"/>
        <v>3532.6895253616781</v>
      </c>
      <c r="N2617" s="113">
        <f t="shared" si="162"/>
        <v>141.3075810144671</v>
      </c>
      <c r="O2617" s="113">
        <f t="shared" si="163"/>
        <v>31652.898147240634</v>
      </c>
    </row>
    <row r="2618" spans="1:15" x14ac:dyDescent="0.25">
      <c r="A2618" s="13">
        <v>44453</v>
      </c>
      <c r="B2618" s="97">
        <v>1343</v>
      </c>
      <c r="C2618" t="s">
        <v>292</v>
      </c>
      <c r="D2618" s="94" t="s">
        <v>535</v>
      </c>
      <c r="E2618" t="s">
        <v>17</v>
      </c>
      <c r="F2618" t="s">
        <v>566</v>
      </c>
      <c r="G2618" s="50" t="s">
        <v>559</v>
      </c>
      <c r="H2618" s="50">
        <v>2</v>
      </c>
      <c r="I2618" s="100">
        <v>6.7391919697301583</v>
      </c>
      <c r="J2618" s="52">
        <v>3834.68</v>
      </c>
      <c r="K2618" s="67">
        <f t="shared" si="164"/>
        <v>34706.671781717145</v>
      </c>
      <c r="L2618" s="95">
        <f>+VLOOKUP(E2618,MARGEN!A:B,2,FALSE)</f>
        <v>0.1</v>
      </c>
      <c r="M2618" s="112">
        <f t="shared" si="161"/>
        <v>3470.6671781717146</v>
      </c>
      <c r="N2618" s="113">
        <f t="shared" si="162"/>
        <v>138.82668712686859</v>
      </c>
      <c r="O2618" s="113">
        <f t="shared" si="163"/>
        <v>31097.177916418561</v>
      </c>
    </row>
    <row r="2619" spans="1:15" x14ac:dyDescent="0.25">
      <c r="A2619" s="13">
        <v>44453</v>
      </c>
      <c r="B2619" s="97">
        <v>1319</v>
      </c>
      <c r="C2619" s="88" t="s">
        <v>118</v>
      </c>
      <c r="D2619" t="s">
        <v>329</v>
      </c>
      <c r="E2619" t="s">
        <v>17</v>
      </c>
      <c r="F2619" t="s">
        <v>551</v>
      </c>
      <c r="G2619" s="50" t="s">
        <v>205</v>
      </c>
      <c r="H2619" s="50">
        <v>2</v>
      </c>
      <c r="I2619" s="100">
        <v>6.7391919697301583</v>
      </c>
      <c r="J2619" s="52">
        <v>3834.68</v>
      </c>
      <c r="K2619" s="67">
        <f t="shared" si="164"/>
        <v>34086.448309817511</v>
      </c>
      <c r="L2619" s="95">
        <f>+VLOOKUP(E2619,MARGEN!A:B,2,FALSE)</f>
        <v>0.1</v>
      </c>
      <c r="M2619" s="112">
        <f t="shared" si="161"/>
        <v>3408.6448309817515</v>
      </c>
      <c r="N2619" s="113">
        <f t="shared" si="162"/>
        <v>136.34579323927005</v>
      </c>
      <c r="O2619" s="113">
        <f t="shared" si="163"/>
        <v>30541.457685596492</v>
      </c>
    </row>
    <row r="2620" spans="1:15" x14ac:dyDescent="0.25">
      <c r="A2620" s="13">
        <v>44453</v>
      </c>
      <c r="B2620" s="97">
        <v>1319</v>
      </c>
      <c r="C2620" t="s">
        <v>141</v>
      </c>
      <c r="D2620" s="94" t="s">
        <v>450</v>
      </c>
      <c r="E2620" t="s">
        <v>17</v>
      </c>
      <c r="F2620" t="s">
        <v>551</v>
      </c>
      <c r="G2620" s="50" t="s">
        <v>205</v>
      </c>
      <c r="H2620" s="50">
        <v>2</v>
      </c>
      <c r="I2620" s="100">
        <v>6.7391919697301583</v>
      </c>
      <c r="J2620" s="52">
        <v>3834.68</v>
      </c>
      <c r="K2620" s="67">
        <f t="shared" si="164"/>
        <v>34086.448309817511</v>
      </c>
      <c r="L2620" s="95">
        <f>+VLOOKUP(E2620,MARGEN!A:B,2,FALSE)</f>
        <v>0.1</v>
      </c>
      <c r="M2620" s="112">
        <f t="shared" si="161"/>
        <v>3408.6448309817515</v>
      </c>
      <c r="N2620" s="113">
        <f t="shared" si="162"/>
        <v>136.34579323927005</v>
      </c>
      <c r="O2620" s="113">
        <f t="shared" si="163"/>
        <v>30541.457685596492</v>
      </c>
    </row>
    <row r="2621" spans="1:15" x14ac:dyDescent="0.25">
      <c r="A2621" s="13">
        <v>44453</v>
      </c>
      <c r="B2621" s="51">
        <v>1295</v>
      </c>
      <c r="C2621" s="66" t="s">
        <v>302</v>
      </c>
      <c r="D2621" s="66" t="s">
        <v>538</v>
      </c>
      <c r="E2621" t="s">
        <v>17</v>
      </c>
      <c r="F2621" s="50" t="s">
        <v>551</v>
      </c>
      <c r="G2621" s="50" t="s">
        <v>205</v>
      </c>
      <c r="H2621" s="50">
        <v>2</v>
      </c>
      <c r="I2621" s="100">
        <v>6.7391919697301583</v>
      </c>
      <c r="J2621" s="52">
        <v>3834.68</v>
      </c>
      <c r="K2621" s="67">
        <f t="shared" si="164"/>
        <v>33466.224837917871</v>
      </c>
      <c r="L2621" s="95">
        <f>+VLOOKUP(E2621,MARGEN!A:B,2,FALSE)</f>
        <v>0.1</v>
      </c>
      <c r="M2621" s="112">
        <f t="shared" si="161"/>
        <v>3346.6224837917871</v>
      </c>
      <c r="N2621" s="113">
        <f t="shared" si="162"/>
        <v>133.86489935167148</v>
      </c>
      <c r="O2621" s="113">
        <f t="shared" si="163"/>
        <v>29985.737454774411</v>
      </c>
    </row>
    <row r="2622" spans="1:15" x14ac:dyDescent="0.25">
      <c r="A2622" s="13">
        <v>44453</v>
      </c>
      <c r="B2622" s="97">
        <v>1295</v>
      </c>
      <c r="C2622" t="s">
        <v>183</v>
      </c>
      <c r="D2622" s="94" t="s">
        <v>390</v>
      </c>
      <c r="E2622" t="s">
        <v>17</v>
      </c>
      <c r="F2622" t="s">
        <v>551</v>
      </c>
      <c r="G2622" s="50" t="s">
        <v>205</v>
      </c>
      <c r="H2622" s="50">
        <v>2</v>
      </c>
      <c r="I2622" s="100">
        <v>6.7391919697301583</v>
      </c>
      <c r="J2622" s="52">
        <v>3834.68</v>
      </c>
      <c r="K2622" s="67">
        <f t="shared" si="164"/>
        <v>33466.224837917871</v>
      </c>
      <c r="L2622" s="95">
        <f>+VLOOKUP(E2622,MARGEN!A:B,2,FALSE)</f>
        <v>0.1</v>
      </c>
      <c r="M2622" s="112">
        <f t="shared" si="161"/>
        <v>3346.6224837917871</v>
      </c>
      <c r="N2622" s="113">
        <f t="shared" si="162"/>
        <v>133.86489935167148</v>
      </c>
      <c r="O2622" s="113">
        <f t="shared" si="163"/>
        <v>29985.737454774411</v>
      </c>
    </row>
    <row r="2623" spans="1:15" x14ac:dyDescent="0.25">
      <c r="A2623" s="13">
        <v>44453</v>
      </c>
      <c r="B2623" s="97">
        <v>1295</v>
      </c>
      <c r="C2623" t="s">
        <v>211</v>
      </c>
      <c r="D2623" s="94" t="s">
        <v>382</v>
      </c>
      <c r="E2623" t="s">
        <v>17</v>
      </c>
      <c r="F2623" t="s">
        <v>566</v>
      </c>
      <c r="G2623" s="50" t="s">
        <v>559</v>
      </c>
      <c r="H2623" s="50">
        <v>2</v>
      </c>
      <c r="I2623" s="100">
        <v>6.7391919697301583</v>
      </c>
      <c r="J2623" s="52">
        <v>3834.68</v>
      </c>
      <c r="K2623" s="67">
        <f t="shared" si="164"/>
        <v>33466.224837917871</v>
      </c>
      <c r="L2623" s="95">
        <f>+VLOOKUP(E2623,MARGEN!A:B,2,FALSE)</f>
        <v>0.1</v>
      </c>
      <c r="M2623" s="112">
        <f t="shared" si="161"/>
        <v>3346.6224837917871</v>
      </c>
      <c r="N2623" s="113">
        <f t="shared" si="162"/>
        <v>133.86489935167148</v>
      </c>
      <c r="O2623" s="113">
        <f t="shared" si="163"/>
        <v>29985.737454774411</v>
      </c>
    </row>
    <row r="2624" spans="1:15" x14ac:dyDescent="0.25">
      <c r="A2624" s="13">
        <v>44453</v>
      </c>
      <c r="B2624" s="97">
        <v>1295</v>
      </c>
      <c r="C2624" t="s">
        <v>151</v>
      </c>
      <c r="D2624" s="94" t="s">
        <v>394</v>
      </c>
      <c r="E2624" t="s">
        <v>17</v>
      </c>
      <c r="F2624" t="s">
        <v>566</v>
      </c>
      <c r="G2624" s="50" t="s">
        <v>559</v>
      </c>
      <c r="H2624" s="50">
        <v>2</v>
      </c>
      <c r="I2624" s="100">
        <v>6.7391919697301583</v>
      </c>
      <c r="J2624" s="52">
        <v>3834.68</v>
      </c>
      <c r="K2624" s="67">
        <f t="shared" si="164"/>
        <v>33466.224837917871</v>
      </c>
      <c r="L2624" s="95">
        <f>+VLOOKUP(E2624,MARGEN!A:B,2,FALSE)</f>
        <v>0.1</v>
      </c>
      <c r="M2624" s="112">
        <f t="shared" si="161"/>
        <v>3346.6224837917871</v>
      </c>
      <c r="N2624" s="113">
        <f t="shared" si="162"/>
        <v>133.86489935167148</v>
      </c>
      <c r="O2624" s="113">
        <f t="shared" si="163"/>
        <v>29985.737454774411</v>
      </c>
    </row>
    <row r="2625" spans="1:15" x14ac:dyDescent="0.25">
      <c r="A2625" s="13">
        <v>44453</v>
      </c>
      <c r="B2625" s="97">
        <v>1271</v>
      </c>
      <c r="C2625" t="s">
        <v>298</v>
      </c>
      <c r="D2625" s="94" t="s">
        <v>536</v>
      </c>
      <c r="E2625" t="s">
        <v>17</v>
      </c>
      <c r="F2625" t="s">
        <v>562</v>
      </c>
      <c r="G2625" s="50" t="s">
        <v>559</v>
      </c>
      <c r="H2625" s="50">
        <v>2</v>
      </c>
      <c r="I2625" s="100">
        <v>6.7391919697301583</v>
      </c>
      <c r="J2625" s="52">
        <v>3834.68</v>
      </c>
      <c r="K2625" s="67">
        <f t="shared" si="164"/>
        <v>32846.00136601823</v>
      </c>
      <c r="L2625" s="95">
        <f>+VLOOKUP(E2625,MARGEN!A:B,2,FALSE)</f>
        <v>0.1</v>
      </c>
      <c r="M2625" s="112">
        <f t="shared" si="161"/>
        <v>3284.6001366018231</v>
      </c>
      <c r="N2625" s="113">
        <f t="shared" si="162"/>
        <v>131.38400546407291</v>
      </c>
      <c r="O2625" s="113">
        <f t="shared" si="163"/>
        <v>29430.017223952334</v>
      </c>
    </row>
    <row r="2626" spans="1:15" x14ac:dyDescent="0.25">
      <c r="A2626" s="13">
        <v>44453</v>
      </c>
      <c r="B2626" s="97">
        <v>1247</v>
      </c>
      <c r="C2626" t="s">
        <v>303</v>
      </c>
      <c r="D2626" s="94" t="s">
        <v>539</v>
      </c>
      <c r="E2626" t="s">
        <v>17</v>
      </c>
      <c r="F2626" t="s">
        <v>566</v>
      </c>
      <c r="G2626" s="50" t="s">
        <v>559</v>
      </c>
      <c r="H2626" s="50">
        <v>2</v>
      </c>
      <c r="I2626" s="100">
        <v>6.7391919697301583</v>
      </c>
      <c r="J2626" s="52">
        <v>3834.68</v>
      </c>
      <c r="K2626" s="67">
        <f t="shared" si="164"/>
        <v>32225.777894118601</v>
      </c>
      <c r="L2626" s="95">
        <f>+VLOOKUP(E2626,MARGEN!A:B,2,FALSE)</f>
        <v>0.1</v>
      </c>
      <c r="M2626" s="112">
        <f t="shared" si="161"/>
        <v>3222.5777894118601</v>
      </c>
      <c r="N2626" s="113">
        <f t="shared" si="162"/>
        <v>128.9031115764744</v>
      </c>
      <c r="O2626" s="113">
        <f t="shared" si="163"/>
        <v>28874.296993130265</v>
      </c>
    </row>
    <row r="2627" spans="1:15" x14ac:dyDescent="0.25">
      <c r="A2627" s="13">
        <v>44453</v>
      </c>
      <c r="B2627" s="97">
        <v>1223</v>
      </c>
      <c r="C2627" t="s">
        <v>299</v>
      </c>
      <c r="D2627" s="94" t="s">
        <v>537</v>
      </c>
      <c r="E2627" t="s">
        <v>17</v>
      </c>
      <c r="F2627" t="s">
        <v>566</v>
      </c>
      <c r="G2627" s="50" t="s">
        <v>559</v>
      </c>
      <c r="H2627" s="50">
        <v>2</v>
      </c>
      <c r="I2627" s="100">
        <v>6.7391919697301583</v>
      </c>
      <c r="J2627" s="52">
        <v>3834.68</v>
      </c>
      <c r="K2627" s="67">
        <f t="shared" si="164"/>
        <v>31605.55442221896</v>
      </c>
      <c r="L2627" s="95">
        <f>+VLOOKUP(E2627,MARGEN!A:B,2,FALSE)</f>
        <v>0.1</v>
      </c>
      <c r="M2627" s="112">
        <f t="shared" ref="M2627:M2690" si="165">+K2627*L2627</f>
        <v>3160.5554422218961</v>
      </c>
      <c r="N2627" s="113">
        <f t="shared" ref="N2627:N2690" si="166">+K2627*4/1000</f>
        <v>126.42221768887585</v>
      </c>
      <c r="O2627" s="113">
        <f t="shared" ref="O2627:O2690" si="167">+K2627-M2627-N2627</f>
        <v>28318.576762308188</v>
      </c>
    </row>
    <row r="2628" spans="1:15" x14ac:dyDescent="0.25">
      <c r="A2628" s="13">
        <v>44453</v>
      </c>
      <c r="B2628" s="97">
        <v>1223</v>
      </c>
      <c r="C2628" t="s">
        <v>308</v>
      </c>
      <c r="D2628" s="94" t="s">
        <v>500</v>
      </c>
      <c r="E2628" t="s">
        <v>17</v>
      </c>
      <c r="F2628" t="s">
        <v>566</v>
      </c>
      <c r="G2628" s="50" t="s">
        <v>559</v>
      </c>
      <c r="H2628" s="50">
        <v>2</v>
      </c>
      <c r="I2628" s="100">
        <v>6.7391919697301583</v>
      </c>
      <c r="J2628" s="52">
        <v>3834.68</v>
      </c>
      <c r="K2628" s="67">
        <f t="shared" si="164"/>
        <v>31605.55442221896</v>
      </c>
      <c r="L2628" s="95">
        <f>+VLOOKUP(E2628,MARGEN!A:B,2,FALSE)</f>
        <v>0.1</v>
      </c>
      <c r="M2628" s="112">
        <f t="shared" si="165"/>
        <v>3160.5554422218961</v>
      </c>
      <c r="N2628" s="113">
        <f t="shared" si="166"/>
        <v>126.42221768887585</v>
      </c>
      <c r="O2628" s="113">
        <f t="shared" si="167"/>
        <v>28318.576762308188</v>
      </c>
    </row>
    <row r="2629" spans="1:15" x14ac:dyDescent="0.25">
      <c r="A2629" s="13">
        <v>44453</v>
      </c>
      <c r="B2629" s="97">
        <v>1223</v>
      </c>
      <c r="C2629" t="s">
        <v>199</v>
      </c>
      <c r="D2629" s="94" t="s">
        <v>414</v>
      </c>
      <c r="E2629" t="s">
        <v>17</v>
      </c>
      <c r="F2629" t="s">
        <v>566</v>
      </c>
      <c r="G2629" s="50" t="s">
        <v>559</v>
      </c>
      <c r="H2629" s="50">
        <v>2</v>
      </c>
      <c r="I2629" s="100">
        <v>6.7391919697301583</v>
      </c>
      <c r="J2629" s="52">
        <v>3834.68</v>
      </c>
      <c r="K2629" s="67">
        <f t="shared" si="164"/>
        <v>31605.55442221896</v>
      </c>
      <c r="L2629" s="95">
        <f>+VLOOKUP(E2629,MARGEN!A:B,2,FALSE)</f>
        <v>0.1</v>
      </c>
      <c r="M2629" s="112">
        <f t="shared" si="165"/>
        <v>3160.5554422218961</v>
      </c>
      <c r="N2629" s="113">
        <f t="shared" si="166"/>
        <v>126.42221768887585</v>
      </c>
      <c r="O2629" s="113">
        <f t="shared" si="167"/>
        <v>28318.576762308188</v>
      </c>
    </row>
    <row r="2630" spans="1:15" x14ac:dyDescent="0.25">
      <c r="A2630" s="13">
        <v>44453</v>
      </c>
      <c r="B2630" s="97">
        <v>1199</v>
      </c>
      <c r="C2630" t="s">
        <v>201</v>
      </c>
      <c r="D2630" s="94" t="s">
        <v>374</v>
      </c>
      <c r="E2630" t="s">
        <v>17</v>
      </c>
      <c r="F2630" t="s">
        <v>566</v>
      </c>
      <c r="G2630" s="50" t="s">
        <v>559</v>
      </c>
      <c r="H2630" s="50">
        <v>2</v>
      </c>
      <c r="I2630" s="100">
        <v>6.7391919697301583</v>
      </c>
      <c r="J2630" s="52">
        <v>3834.68</v>
      </c>
      <c r="K2630" s="67">
        <f t="shared" si="164"/>
        <v>30985.330950319327</v>
      </c>
      <c r="L2630" s="95">
        <f>+VLOOKUP(E2630,MARGEN!A:B,2,FALSE)</f>
        <v>0.1</v>
      </c>
      <c r="M2630" s="112">
        <f t="shared" si="165"/>
        <v>3098.533095031933</v>
      </c>
      <c r="N2630" s="113">
        <f t="shared" si="166"/>
        <v>123.94132380127731</v>
      </c>
      <c r="O2630" s="113">
        <f t="shared" si="167"/>
        <v>27762.856531486115</v>
      </c>
    </row>
    <row r="2631" spans="1:15" x14ac:dyDescent="0.25">
      <c r="A2631" s="13">
        <v>44453</v>
      </c>
      <c r="B2631" s="97">
        <v>1151</v>
      </c>
      <c r="C2631" t="s">
        <v>184</v>
      </c>
      <c r="D2631" s="94" t="s">
        <v>443</v>
      </c>
      <c r="E2631" t="s">
        <v>17</v>
      </c>
      <c r="F2631" t="s">
        <v>566</v>
      </c>
      <c r="G2631" s="50" t="s">
        <v>559</v>
      </c>
      <c r="H2631" s="50">
        <v>2</v>
      </c>
      <c r="I2631" s="100">
        <v>6.7391919697301583</v>
      </c>
      <c r="J2631" s="52">
        <v>3834.68</v>
      </c>
      <c r="K2631" s="67">
        <f t="shared" si="164"/>
        <v>29744.884006520053</v>
      </c>
      <c r="L2631" s="95">
        <f>+VLOOKUP(E2631,MARGEN!A:B,2,FALSE)</f>
        <v>0.1</v>
      </c>
      <c r="M2631" s="112">
        <f t="shared" si="165"/>
        <v>2974.4884006520056</v>
      </c>
      <c r="N2631" s="113">
        <f t="shared" si="166"/>
        <v>118.97953602608021</v>
      </c>
      <c r="O2631" s="113">
        <f t="shared" si="167"/>
        <v>26651.416069841969</v>
      </c>
    </row>
    <row r="2632" spans="1:15" x14ac:dyDescent="0.25">
      <c r="A2632" s="13">
        <v>44453</v>
      </c>
      <c r="B2632" s="97">
        <v>1127</v>
      </c>
      <c r="C2632" t="s">
        <v>153</v>
      </c>
      <c r="D2632" s="94" t="s">
        <v>444</v>
      </c>
      <c r="E2632" t="s">
        <v>17</v>
      </c>
      <c r="F2632" t="s">
        <v>551</v>
      </c>
      <c r="G2632" s="50" t="s">
        <v>205</v>
      </c>
      <c r="H2632" s="50">
        <v>2</v>
      </c>
      <c r="I2632" s="100">
        <v>6.7391919697301583</v>
      </c>
      <c r="J2632" s="52">
        <v>3834.68</v>
      </c>
      <c r="K2632" s="67">
        <f t="shared" si="164"/>
        <v>29124.660534620416</v>
      </c>
      <c r="L2632" s="95">
        <f>+VLOOKUP(E2632,MARGEN!A:B,2,FALSE)</f>
        <v>0.1</v>
      </c>
      <c r="M2632" s="112">
        <f t="shared" si="165"/>
        <v>2912.4660534620416</v>
      </c>
      <c r="N2632" s="113">
        <f t="shared" si="166"/>
        <v>116.49864213848167</v>
      </c>
      <c r="O2632" s="113">
        <f t="shared" si="167"/>
        <v>26095.695839019892</v>
      </c>
    </row>
    <row r="2633" spans="1:15" x14ac:dyDescent="0.25">
      <c r="A2633" s="13">
        <v>44453</v>
      </c>
      <c r="B2633" s="97">
        <v>911</v>
      </c>
      <c r="C2633" t="s">
        <v>182</v>
      </c>
      <c r="D2633" s="94" t="s">
        <v>455</v>
      </c>
      <c r="E2633" t="s">
        <v>17</v>
      </c>
      <c r="F2633" t="s">
        <v>551</v>
      </c>
      <c r="G2633" s="50" t="s">
        <v>205</v>
      </c>
      <c r="H2633" s="50">
        <v>2</v>
      </c>
      <c r="I2633" s="100">
        <v>6.7391919697301583</v>
      </c>
      <c r="J2633" s="52">
        <v>3834.68</v>
      </c>
      <c r="K2633" s="67">
        <f t="shared" ref="K2633:K2696" si="168">+B2633*I2633*J2633/1000</f>
        <v>23542.649287523691</v>
      </c>
      <c r="L2633" s="95">
        <f>+VLOOKUP(E2633,MARGEN!A:B,2,FALSE)</f>
        <v>0.1</v>
      </c>
      <c r="M2633" s="112">
        <f t="shared" si="165"/>
        <v>2354.2649287523691</v>
      </c>
      <c r="N2633" s="113">
        <f t="shared" si="166"/>
        <v>94.170597150094764</v>
      </c>
      <c r="O2633" s="113">
        <f t="shared" si="167"/>
        <v>21094.213761621224</v>
      </c>
    </row>
    <row r="2634" spans="1:15" x14ac:dyDescent="0.25">
      <c r="A2634" s="13">
        <v>44453</v>
      </c>
      <c r="B2634" s="97">
        <v>791</v>
      </c>
      <c r="C2634" t="s">
        <v>307</v>
      </c>
      <c r="D2634" s="94" t="s">
        <v>497</v>
      </c>
      <c r="E2634" t="s">
        <v>17</v>
      </c>
      <c r="F2634" t="s">
        <v>551</v>
      </c>
      <c r="G2634" s="50" t="s">
        <v>205</v>
      </c>
      <c r="H2634" s="50">
        <v>2</v>
      </c>
      <c r="I2634" s="100">
        <v>6.7391919697301583</v>
      </c>
      <c r="J2634" s="52">
        <v>3834.68</v>
      </c>
      <c r="K2634" s="67">
        <f t="shared" si="168"/>
        <v>20441.53192802551</v>
      </c>
      <c r="L2634" s="95">
        <f>+VLOOKUP(E2634,MARGEN!A:B,2,FALSE)</f>
        <v>0.1</v>
      </c>
      <c r="M2634" s="112">
        <f t="shared" si="165"/>
        <v>2044.1531928025511</v>
      </c>
      <c r="N2634" s="113">
        <f t="shared" si="166"/>
        <v>81.766127712102033</v>
      </c>
      <c r="O2634" s="113">
        <f t="shared" si="167"/>
        <v>18315.612607510859</v>
      </c>
    </row>
    <row r="2635" spans="1:15" x14ac:dyDescent="0.25">
      <c r="A2635" s="13">
        <v>44453</v>
      </c>
      <c r="B2635" s="97">
        <v>767</v>
      </c>
      <c r="C2635" t="s">
        <v>181</v>
      </c>
      <c r="D2635" s="94" t="s">
        <v>415</v>
      </c>
      <c r="E2635" t="s">
        <v>17</v>
      </c>
      <c r="F2635" t="s">
        <v>562</v>
      </c>
      <c r="G2635" s="50" t="s">
        <v>559</v>
      </c>
      <c r="H2635" s="50">
        <v>2</v>
      </c>
      <c r="I2635" s="100">
        <v>6.7391919697301583</v>
      </c>
      <c r="J2635" s="52">
        <v>3834.68</v>
      </c>
      <c r="K2635" s="67">
        <f t="shared" si="168"/>
        <v>19821.308456125873</v>
      </c>
      <c r="L2635" s="95">
        <f>+VLOOKUP(E2635,MARGEN!A:B,2,FALSE)</f>
        <v>0.1</v>
      </c>
      <c r="M2635" s="112">
        <f t="shared" si="165"/>
        <v>1982.1308456125873</v>
      </c>
      <c r="N2635" s="113">
        <f t="shared" si="166"/>
        <v>79.285233824503493</v>
      </c>
      <c r="O2635" s="113">
        <f t="shared" si="167"/>
        <v>17759.892376688782</v>
      </c>
    </row>
    <row r="2636" spans="1:15" x14ac:dyDescent="0.25">
      <c r="A2636" s="13">
        <v>44454</v>
      </c>
      <c r="B2636" s="97">
        <v>8470</v>
      </c>
      <c r="C2636" t="s">
        <v>164</v>
      </c>
      <c r="D2636" s="94" t="s">
        <v>445</v>
      </c>
      <c r="E2636" t="s">
        <v>17</v>
      </c>
      <c r="F2636" t="s">
        <v>551</v>
      </c>
      <c r="G2636" s="50" t="s">
        <v>205</v>
      </c>
      <c r="H2636" s="50">
        <v>2</v>
      </c>
      <c r="I2636" s="100">
        <v>6.7391919697301583</v>
      </c>
      <c r="J2636" s="52">
        <v>3834.68</v>
      </c>
      <c r="K2636" s="67">
        <f t="shared" si="168"/>
        <v>218887.20029124661</v>
      </c>
      <c r="L2636" s="95">
        <f>+VLOOKUP(E2636,MARGEN!A:B,2,FALSE)</f>
        <v>0.1</v>
      </c>
      <c r="M2636" s="112">
        <f t="shared" si="165"/>
        <v>21888.720029124663</v>
      </c>
      <c r="N2636" s="113">
        <f t="shared" si="166"/>
        <v>875.54880116498646</v>
      </c>
      <c r="O2636" s="113">
        <f t="shared" si="167"/>
        <v>196122.93146095696</v>
      </c>
    </row>
    <row r="2637" spans="1:15" x14ac:dyDescent="0.25">
      <c r="A2637" s="13">
        <v>44454</v>
      </c>
      <c r="B2637" s="97">
        <v>6766</v>
      </c>
      <c r="C2637" t="s">
        <v>150</v>
      </c>
      <c r="D2637" s="94" t="s">
        <v>357</v>
      </c>
      <c r="E2637" t="s">
        <v>17</v>
      </c>
      <c r="F2637" t="s">
        <v>551</v>
      </c>
      <c r="G2637" s="50" t="s">
        <v>205</v>
      </c>
      <c r="H2637" s="50">
        <v>2</v>
      </c>
      <c r="I2637" s="100">
        <v>6.7391919697301583</v>
      </c>
      <c r="J2637" s="52">
        <v>3834.68</v>
      </c>
      <c r="K2637" s="67">
        <f t="shared" si="168"/>
        <v>174851.33378637244</v>
      </c>
      <c r="L2637" s="95">
        <f>+VLOOKUP(E2637,MARGEN!A:B,2,FALSE)</f>
        <v>0.1</v>
      </c>
      <c r="M2637" s="112">
        <f t="shared" si="165"/>
        <v>17485.133378637245</v>
      </c>
      <c r="N2637" s="113">
        <f t="shared" si="166"/>
        <v>699.40533514548974</v>
      </c>
      <c r="O2637" s="113">
        <f t="shared" si="167"/>
        <v>156666.79507258971</v>
      </c>
    </row>
    <row r="2638" spans="1:15" x14ac:dyDescent="0.25">
      <c r="A2638" s="13">
        <v>44454</v>
      </c>
      <c r="B2638" s="97">
        <v>5974</v>
      </c>
      <c r="C2638" t="s">
        <v>279</v>
      </c>
      <c r="D2638" s="94" t="s">
        <v>493</v>
      </c>
      <c r="E2638" t="s">
        <v>17</v>
      </c>
      <c r="F2638" t="s">
        <v>551</v>
      </c>
      <c r="G2638" s="50" t="s">
        <v>205</v>
      </c>
      <c r="H2638" s="50">
        <v>2</v>
      </c>
      <c r="I2638" s="100">
        <v>6.7391919697301583</v>
      </c>
      <c r="J2638" s="52">
        <v>3834.68</v>
      </c>
      <c r="K2638" s="67">
        <f t="shared" si="168"/>
        <v>154383.95921368443</v>
      </c>
      <c r="L2638" s="95">
        <f>+VLOOKUP(E2638,MARGEN!A:B,2,FALSE)</f>
        <v>0.1</v>
      </c>
      <c r="M2638" s="112">
        <f t="shared" si="165"/>
        <v>15438.395921368443</v>
      </c>
      <c r="N2638" s="113">
        <f t="shared" si="166"/>
        <v>617.53583685473768</v>
      </c>
      <c r="O2638" s="113">
        <f t="shared" si="167"/>
        <v>138328.02745546124</v>
      </c>
    </row>
    <row r="2639" spans="1:15" x14ac:dyDescent="0.25">
      <c r="A2639" s="13">
        <v>44454</v>
      </c>
      <c r="B2639" s="97">
        <v>5278</v>
      </c>
      <c r="C2639" t="s">
        <v>278</v>
      </c>
      <c r="D2639" s="94" t="s">
        <v>453</v>
      </c>
      <c r="E2639" t="s">
        <v>17</v>
      </c>
      <c r="F2639" t="s">
        <v>551</v>
      </c>
      <c r="G2639" s="50" t="s">
        <v>205</v>
      </c>
      <c r="H2639" s="50">
        <v>2</v>
      </c>
      <c r="I2639" s="100">
        <v>6.7391919697301583</v>
      </c>
      <c r="J2639" s="52">
        <v>3834.68</v>
      </c>
      <c r="K2639" s="67">
        <f t="shared" si="168"/>
        <v>136397.47852859498</v>
      </c>
      <c r="L2639" s="95">
        <f>+VLOOKUP(E2639,MARGEN!A:B,2,FALSE)</f>
        <v>0.1</v>
      </c>
      <c r="M2639" s="112">
        <f t="shared" si="165"/>
        <v>13639.747852859498</v>
      </c>
      <c r="N2639" s="113">
        <f t="shared" si="166"/>
        <v>545.58991411437989</v>
      </c>
      <c r="O2639" s="113">
        <f t="shared" si="167"/>
        <v>122212.14076162111</v>
      </c>
    </row>
    <row r="2640" spans="1:15" x14ac:dyDescent="0.25">
      <c r="A2640" s="13">
        <v>44454</v>
      </c>
      <c r="B2640" s="97">
        <v>4631</v>
      </c>
      <c r="C2640" t="s">
        <v>136</v>
      </c>
      <c r="D2640" s="94" t="s">
        <v>359</v>
      </c>
      <c r="E2640" t="s">
        <v>17</v>
      </c>
      <c r="F2640" t="s">
        <v>551</v>
      </c>
      <c r="G2640" s="50" t="s">
        <v>205</v>
      </c>
      <c r="H2640" s="50">
        <v>2</v>
      </c>
      <c r="I2640" s="100">
        <v>6.7391919697301583</v>
      </c>
      <c r="J2640" s="52">
        <v>3834.68</v>
      </c>
      <c r="K2640" s="67">
        <f t="shared" si="168"/>
        <v>119677.28743196731</v>
      </c>
      <c r="L2640" s="95">
        <f>+VLOOKUP(E2640,MARGEN!A:B,2,FALSE)</f>
        <v>0.1</v>
      </c>
      <c r="M2640" s="112">
        <f t="shared" si="165"/>
        <v>11967.728743196732</v>
      </c>
      <c r="N2640" s="113">
        <f t="shared" si="166"/>
        <v>478.70914972786926</v>
      </c>
      <c r="O2640" s="113">
        <f t="shared" si="167"/>
        <v>107230.84953904271</v>
      </c>
    </row>
    <row r="2641" spans="1:15" x14ac:dyDescent="0.25">
      <c r="A2641" s="13">
        <v>44454</v>
      </c>
      <c r="B2641" s="51">
        <v>4055</v>
      </c>
      <c r="C2641" s="66" t="s">
        <v>148</v>
      </c>
      <c r="D2641" s="66" t="s">
        <v>323</v>
      </c>
      <c r="E2641" t="s">
        <v>17</v>
      </c>
      <c r="F2641" s="50" t="s">
        <v>551</v>
      </c>
      <c r="G2641" s="50" t="s">
        <v>205</v>
      </c>
      <c r="H2641" s="50">
        <v>2</v>
      </c>
      <c r="I2641" s="100">
        <v>6.7391919697301583</v>
      </c>
      <c r="J2641" s="52">
        <v>3834.68</v>
      </c>
      <c r="K2641" s="67">
        <f t="shared" si="168"/>
        <v>104791.92410637604</v>
      </c>
      <c r="L2641" s="95">
        <f>+VLOOKUP(E2641,MARGEN!A:B,2,FALSE)</f>
        <v>0.1</v>
      </c>
      <c r="M2641" s="112">
        <f t="shared" si="165"/>
        <v>10479.192410637605</v>
      </c>
      <c r="N2641" s="113">
        <f t="shared" si="166"/>
        <v>419.16769642550418</v>
      </c>
      <c r="O2641" s="113">
        <f t="shared" si="167"/>
        <v>93893.56399931293</v>
      </c>
    </row>
    <row r="2642" spans="1:15" x14ac:dyDescent="0.25">
      <c r="A2642" s="13">
        <v>44454</v>
      </c>
      <c r="B2642" s="97">
        <v>3887</v>
      </c>
      <c r="C2642" s="88" t="s">
        <v>293</v>
      </c>
      <c r="D2642" t="s">
        <v>499</v>
      </c>
      <c r="E2642" t="s">
        <v>17</v>
      </c>
      <c r="F2642" t="s">
        <v>551</v>
      </c>
      <c r="G2642" s="50" t="s">
        <v>205</v>
      </c>
      <c r="H2642" s="50">
        <v>2</v>
      </c>
      <c r="I2642" s="100">
        <v>6.7391919697301583</v>
      </c>
      <c r="J2642" s="52">
        <v>3834.68</v>
      </c>
      <c r="K2642" s="67">
        <f t="shared" si="168"/>
        <v>100450.35980307858</v>
      </c>
      <c r="L2642" s="95">
        <f>+VLOOKUP(E2642,MARGEN!A:B,2,FALSE)</f>
        <v>0.1</v>
      </c>
      <c r="M2642" s="112">
        <f t="shared" si="165"/>
        <v>10045.035980307859</v>
      </c>
      <c r="N2642" s="113">
        <f t="shared" si="166"/>
        <v>401.80143921231434</v>
      </c>
      <c r="O2642" s="113">
        <f t="shared" si="167"/>
        <v>90003.522383558404</v>
      </c>
    </row>
    <row r="2643" spans="1:15" x14ac:dyDescent="0.25">
      <c r="A2643" s="13">
        <v>44454</v>
      </c>
      <c r="B2643" s="97">
        <v>3791</v>
      </c>
      <c r="C2643" t="s">
        <v>144</v>
      </c>
      <c r="D2643" s="94" t="s">
        <v>343</v>
      </c>
      <c r="E2643" t="s">
        <v>17</v>
      </c>
      <c r="F2643" t="s">
        <v>551</v>
      </c>
      <c r="G2643" s="50" t="s">
        <v>205</v>
      </c>
      <c r="H2643" s="50">
        <v>2</v>
      </c>
      <c r="I2643" s="100">
        <v>6.7391919697301583</v>
      </c>
      <c r="J2643" s="52">
        <v>3834.68</v>
      </c>
      <c r="K2643" s="67">
        <f t="shared" si="168"/>
        <v>97969.465915480032</v>
      </c>
      <c r="L2643" s="95">
        <f>+VLOOKUP(E2643,MARGEN!A:B,2,FALSE)</f>
        <v>0.1</v>
      </c>
      <c r="M2643" s="112">
        <f t="shared" si="165"/>
        <v>9796.9465915480032</v>
      </c>
      <c r="N2643" s="113">
        <f t="shared" si="166"/>
        <v>391.87786366192012</v>
      </c>
      <c r="O2643" s="113">
        <f t="shared" si="167"/>
        <v>87780.641460270112</v>
      </c>
    </row>
    <row r="2644" spans="1:15" x14ac:dyDescent="0.25">
      <c r="A2644" s="13">
        <v>44454</v>
      </c>
      <c r="B2644" s="97">
        <v>3623</v>
      </c>
      <c r="C2644" t="s">
        <v>149</v>
      </c>
      <c r="D2644" s="94" t="s">
        <v>325</v>
      </c>
      <c r="E2644" t="s">
        <v>17</v>
      </c>
      <c r="F2644" t="s">
        <v>562</v>
      </c>
      <c r="G2644" s="50" t="s">
        <v>559</v>
      </c>
      <c r="H2644" s="50">
        <v>2</v>
      </c>
      <c r="I2644" s="100">
        <v>6.7391919697301583</v>
      </c>
      <c r="J2644" s="52">
        <v>3834.68</v>
      </c>
      <c r="K2644" s="67">
        <f t="shared" si="168"/>
        <v>93627.901612182584</v>
      </c>
      <c r="L2644" s="95">
        <f>+VLOOKUP(E2644,MARGEN!A:B,2,FALSE)</f>
        <v>0.1</v>
      </c>
      <c r="M2644" s="112">
        <f t="shared" si="165"/>
        <v>9362.7901612182595</v>
      </c>
      <c r="N2644" s="113">
        <f t="shared" si="166"/>
        <v>374.51160644873033</v>
      </c>
      <c r="O2644" s="113">
        <f t="shared" si="167"/>
        <v>83890.599844515586</v>
      </c>
    </row>
    <row r="2645" spans="1:15" x14ac:dyDescent="0.25">
      <c r="A2645" s="13">
        <v>44454</v>
      </c>
      <c r="B2645" s="97">
        <v>3599</v>
      </c>
      <c r="C2645" t="s">
        <v>192</v>
      </c>
      <c r="D2645" s="94" t="s">
        <v>347</v>
      </c>
      <c r="E2645" t="s">
        <v>17</v>
      </c>
      <c r="F2645" t="s">
        <v>551</v>
      </c>
      <c r="G2645" s="50" t="s">
        <v>205</v>
      </c>
      <c r="H2645" s="50">
        <v>2</v>
      </c>
      <c r="I2645" s="100">
        <v>6.7391919697301583</v>
      </c>
      <c r="J2645" s="52">
        <v>3834.68</v>
      </c>
      <c r="K2645" s="67">
        <f t="shared" si="168"/>
        <v>93007.678140282951</v>
      </c>
      <c r="L2645" s="95">
        <f>+VLOOKUP(E2645,MARGEN!A:B,2,FALSE)</f>
        <v>0.1</v>
      </c>
      <c r="M2645" s="112">
        <f t="shared" si="165"/>
        <v>9300.7678140282951</v>
      </c>
      <c r="N2645" s="113">
        <f t="shared" si="166"/>
        <v>372.03071256113179</v>
      </c>
      <c r="O2645" s="113">
        <f t="shared" si="167"/>
        <v>83334.879613693527</v>
      </c>
    </row>
    <row r="2646" spans="1:15" x14ac:dyDescent="0.25">
      <c r="A2646" s="13">
        <v>44454</v>
      </c>
      <c r="B2646" s="97">
        <v>3479</v>
      </c>
      <c r="C2646" t="s">
        <v>165</v>
      </c>
      <c r="D2646" s="94" t="s">
        <v>375</v>
      </c>
      <c r="E2646" t="s">
        <v>17</v>
      </c>
      <c r="F2646" t="s">
        <v>551</v>
      </c>
      <c r="G2646" s="50" t="s">
        <v>205</v>
      </c>
      <c r="H2646" s="50">
        <v>2</v>
      </c>
      <c r="I2646" s="100">
        <v>6.7391919697301583</v>
      </c>
      <c r="J2646" s="52">
        <v>3834.68</v>
      </c>
      <c r="K2646" s="67">
        <f t="shared" si="168"/>
        <v>89906.56078078477</v>
      </c>
      <c r="L2646" s="95">
        <f>+VLOOKUP(E2646,MARGEN!A:B,2,FALSE)</f>
        <v>0.1</v>
      </c>
      <c r="M2646" s="112">
        <f t="shared" si="165"/>
        <v>8990.6560780784766</v>
      </c>
      <c r="N2646" s="113">
        <f t="shared" si="166"/>
        <v>359.62624312313909</v>
      </c>
      <c r="O2646" s="113">
        <f t="shared" si="167"/>
        <v>80556.278459583147</v>
      </c>
    </row>
    <row r="2647" spans="1:15" x14ac:dyDescent="0.25">
      <c r="A2647" s="13">
        <v>44454</v>
      </c>
      <c r="B2647" s="97">
        <v>3383</v>
      </c>
      <c r="C2647" t="s">
        <v>135</v>
      </c>
      <c r="D2647" s="94" t="s">
        <v>533</v>
      </c>
      <c r="E2647" t="s">
        <v>17</v>
      </c>
      <c r="F2647" t="s">
        <v>562</v>
      </c>
      <c r="G2647" s="50" t="s">
        <v>559</v>
      </c>
      <c r="H2647" s="50">
        <v>2</v>
      </c>
      <c r="I2647" s="100">
        <v>6.7391919697301583</v>
      </c>
      <c r="J2647" s="52">
        <v>3834.68</v>
      </c>
      <c r="K2647" s="67">
        <f t="shared" si="168"/>
        <v>87425.666893186222</v>
      </c>
      <c r="L2647" s="95">
        <f>+VLOOKUP(E2647,MARGEN!A:B,2,FALSE)</f>
        <v>0.1</v>
      </c>
      <c r="M2647" s="112">
        <f t="shared" si="165"/>
        <v>8742.5666893186226</v>
      </c>
      <c r="N2647" s="113">
        <f t="shared" si="166"/>
        <v>349.70266757274487</v>
      </c>
      <c r="O2647" s="113">
        <f t="shared" si="167"/>
        <v>78333.397536294855</v>
      </c>
    </row>
    <row r="2648" spans="1:15" x14ac:dyDescent="0.25">
      <c r="A2648" s="13">
        <v>44454</v>
      </c>
      <c r="B2648" s="97">
        <v>3359</v>
      </c>
      <c r="C2648" t="s">
        <v>309</v>
      </c>
      <c r="D2648" s="94" t="s">
        <v>544</v>
      </c>
      <c r="E2648" t="s">
        <v>17</v>
      </c>
      <c r="F2648" t="s">
        <v>551</v>
      </c>
      <c r="G2648" s="50" t="s">
        <v>205</v>
      </c>
      <c r="H2648" s="50">
        <v>2</v>
      </c>
      <c r="I2648" s="100">
        <v>6.7391919697301583</v>
      </c>
      <c r="J2648" s="52">
        <v>3834.68</v>
      </c>
      <c r="K2648" s="67">
        <f t="shared" si="168"/>
        <v>86805.443421286589</v>
      </c>
      <c r="L2648" s="95">
        <f>+VLOOKUP(E2648,MARGEN!A:B,2,FALSE)</f>
        <v>0.1</v>
      </c>
      <c r="M2648" s="112">
        <f t="shared" si="165"/>
        <v>8680.54434212866</v>
      </c>
      <c r="N2648" s="113">
        <f t="shared" si="166"/>
        <v>347.22177368514633</v>
      </c>
      <c r="O2648" s="113">
        <f t="shared" si="167"/>
        <v>77777.677305472782</v>
      </c>
    </row>
    <row r="2649" spans="1:15" x14ac:dyDescent="0.25">
      <c r="A2649" s="13">
        <v>44454</v>
      </c>
      <c r="B2649" s="97">
        <v>2903</v>
      </c>
      <c r="C2649" t="s">
        <v>134</v>
      </c>
      <c r="D2649" s="94" t="s">
        <v>362</v>
      </c>
      <c r="E2649" t="s">
        <v>17</v>
      </c>
      <c r="F2649" t="s">
        <v>562</v>
      </c>
      <c r="G2649" s="50" t="s">
        <v>559</v>
      </c>
      <c r="H2649" s="50">
        <v>2</v>
      </c>
      <c r="I2649" s="100">
        <v>6.7391919697301583</v>
      </c>
      <c r="J2649" s="52">
        <v>3834.68</v>
      </c>
      <c r="K2649" s="67">
        <f t="shared" si="168"/>
        <v>75021.197455193484</v>
      </c>
      <c r="L2649" s="95">
        <f>+VLOOKUP(E2649,MARGEN!A:B,2,FALSE)</f>
        <v>0.1</v>
      </c>
      <c r="M2649" s="112">
        <f t="shared" si="165"/>
        <v>7502.1197455193487</v>
      </c>
      <c r="N2649" s="113">
        <f t="shared" si="166"/>
        <v>300.08478982077395</v>
      </c>
      <c r="O2649" s="113">
        <f t="shared" si="167"/>
        <v>67218.992919853365</v>
      </c>
    </row>
    <row r="2650" spans="1:15" x14ac:dyDescent="0.25">
      <c r="A2650" s="13">
        <v>44454</v>
      </c>
      <c r="B2650" s="97">
        <v>2783</v>
      </c>
      <c r="C2650" t="s">
        <v>131</v>
      </c>
      <c r="D2650" s="94" t="s">
        <v>344</v>
      </c>
      <c r="E2650" t="s">
        <v>17</v>
      </c>
      <c r="F2650" t="s">
        <v>562</v>
      </c>
      <c r="G2650" s="50" t="s">
        <v>559</v>
      </c>
      <c r="H2650" s="50">
        <v>2</v>
      </c>
      <c r="I2650" s="100">
        <v>6.7391919697301583</v>
      </c>
      <c r="J2650" s="52">
        <v>3834.68</v>
      </c>
      <c r="K2650" s="67">
        <f t="shared" si="168"/>
        <v>71920.080095695317</v>
      </c>
      <c r="L2650" s="95">
        <f>+VLOOKUP(E2650,MARGEN!A:B,2,FALSE)</f>
        <v>0.1</v>
      </c>
      <c r="M2650" s="112">
        <f t="shared" si="165"/>
        <v>7192.0080095695321</v>
      </c>
      <c r="N2650" s="113">
        <f t="shared" si="166"/>
        <v>287.68032038278125</v>
      </c>
      <c r="O2650" s="113">
        <f t="shared" si="167"/>
        <v>64440.391765743007</v>
      </c>
    </row>
    <row r="2651" spans="1:15" x14ac:dyDescent="0.25">
      <c r="A2651" s="13">
        <v>44454</v>
      </c>
      <c r="B2651" s="97">
        <v>2783</v>
      </c>
      <c r="C2651" t="s">
        <v>189</v>
      </c>
      <c r="D2651" s="94" t="s">
        <v>431</v>
      </c>
      <c r="E2651" t="s">
        <v>17</v>
      </c>
      <c r="F2651" t="s">
        <v>562</v>
      </c>
      <c r="G2651" s="50" t="s">
        <v>559</v>
      </c>
      <c r="H2651" s="50">
        <v>2</v>
      </c>
      <c r="I2651" s="100">
        <v>6.7391919697301583</v>
      </c>
      <c r="J2651" s="52">
        <v>3834.68</v>
      </c>
      <c r="K2651" s="67">
        <f t="shared" si="168"/>
        <v>71920.080095695317</v>
      </c>
      <c r="L2651" s="95">
        <f>+VLOOKUP(E2651,MARGEN!A:B,2,FALSE)</f>
        <v>0.1</v>
      </c>
      <c r="M2651" s="112">
        <f t="shared" si="165"/>
        <v>7192.0080095695321</v>
      </c>
      <c r="N2651" s="113">
        <f t="shared" si="166"/>
        <v>287.68032038278125</v>
      </c>
      <c r="O2651" s="113">
        <f t="shared" si="167"/>
        <v>64440.391765743007</v>
      </c>
    </row>
    <row r="2652" spans="1:15" x14ac:dyDescent="0.25">
      <c r="A2652" s="13">
        <v>44454</v>
      </c>
      <c r="B2652" s="51">
        <v>2711</v>
      </c>
      <c r="C2652" s="66" t="s">
        <v>132</v>
      </c>
      <c r="D2652" s="66" t="s">
        <v>376</v>
      </c>
      <c r="E2652" t="s">
        <v>17</v>
      </c>
      <c r="F2652" s="50" t="s">
        <v>562</v>
      </c>
      <c r="G2652" s="50" t="s">
        <v>559</v>
      </c>
      <c r="H2652" s="50">
        <v>2</v>
      </c>
      <c r="I2652" s="100">
        <v>6.7391919697301583</v>
      </c>
      <c r="J2652" s="52">
        <v>3834.68</v>
      </c>
      <c r="K2652" s="67">
        <f t="shared" si="168"/>
        <v>70059.409679996417</v>
      </c>
      <c r="L2652" s="95">
        <f>+VLOOKUP(E2652,MARGEN!A:B,2,FALSE)</f>
        <v>0.1</v>
      </c>
      <c r="M2652" s="112">
        <f t="shared" si="165"/>
        <v>7005.9409679996425</v>
      </c>
      <c r="N2652" s="113">
        <f t="shared" si="166"/>
        <v>280.23763871998568</v>
      </c>
      <c r="O2652" s="113">
        <f t="shared" si="167"/>
        <v>62773.231073276787</v>
      </c>
    </row>
    <row r="2653" spans="1:15" x14ac:dyDescent="0.25">
      <c r="A2653" s="13">
        <v>44454</v>
      </c>
      <c r="B2653" s="97">
        <v>2663</v>
      </c>
      <c r="C2653" s="88" t="s">
        <v>186</v>
      </c>
      <c r="D2653" t="s">
        <v>440</v>
      </c>
      <c r="E2653" t="s">
        <v>17</v>
      </c>
      <c r="F2653" t="s">
        <v>551</v>
      </c>
      <c r="G2653" s="50" t="s">
        <v>205</v>
      </c>
      <c r="H2653" s="50">
        <v>2</v>
      </c>
      <c r="I2653" s="100">
        <v>6.7391919697301583</v>
      </c>
      <c r="J2653" s="52">
        <v>3834.68</v>
      </c>
      <c r="K2653" s="67">
        <f t="shared" si="168"/>
        <v>68818.962736197136</v>
      </c>
      <c r="L2653" s="95">
        <f>+VLOOKUP(E2653,MARGEN!A:B,2,FALSE)</f>
        <v>0.1</v>
      </c>
      <c r="M2653" s="112">
        <f t="shared" si="165"/>
        <v>6881.8962736197136</v>
      </c>
      <c r="N2653" s="113">
        <f t="shared" si="166"/>
        <v>275.27585094478854</v>
      </c>
      <c r="O2653" s="113">
        <f t="shared" si="167"/>
        <v>61661.790611632634</v>
      </c>
    </row>
    <row r="2654" spans="1:15" x14ac:dyDescent="0.25">
      <c r="A2654" s="13">
        <v>44454</v>
      </c>
      <c r="B2654" s="97">
        <v>2567</v>
      </c>
      <c r="C2654" t="s">
        <v>310</v>
      </c>
      <c r="D2654" s="94" t="s">
        <v>540</v>
      </c>
      <c r="E2654" t="s">
        <v>17</v>
      </c>
      <c r="F2654" t="s">
        <v>551</v>
      </c>
      <c r="G2654" s="50" t="s">
        <v>205</v>
      </c>
      <c r="H2654" s="50">
        <v>2</v>
      </c>
      <c r="I2654" s="100">
        <v>6.7391919697301583</v>
      </c>
      <c r="J2654" s="52">
        <v>3834.68</v>
      </c>
      <c r="K2654" s="67">
        <f t="shared" si="168"/>
        <v>66338.068848598588</v>
      </c>
      <c r="L2654" s="95">
        <f>+VLOOKUP(E2654,MARGEN!A:B,2,FALSE)</f>
        <v>0.1</v>
      </c>
      <c r="M2654" s="112">
        <f t="shared" si="165"/>
        <v>6633.8068848598596</v>
      </c>
      <c r="N2654" s="113">
        <f t="shared" si="166"/>
        <v>265.35227539439433</v>
      </c>
      <c r="O2654" s="113">
        <f t="shared" si="167"/>
        <v>59438.909688344334</v>
      </c>
    </row>
    <row r="2655" spans="1:15" x14ac:dyDescent="0.25">
      <c r="A2655" s="13">
        <v>44454</v>
      </c>
      <c r="B2655" s="97">
        <v>2519</v>
      </c>
      <c r="C2655" t="s">
        <v>146</v>
      </c>
      <c r="D2655" s="94" t="s">
        <v>348</v>
      </c>
      <c r="E2655" t="s">
        <v>17</v>
      </c>
      <c r="F2655" t="s">
        <v>562</v>
      </c>
      <c r="G2655" s="50" t="s">
        <v>559</v>
      </c>
      <c r="H2655" s="50">
        <v>2</v>
      </c>
      <c r="I2655" s="100">
        <v>6.7391919697301583</v>
      </c>
      <c r="J2655" s="52">
        <v>3834.68</v>
      </c>
      <c r="K2655" s="67">
        <f t="shared" si="168"/>
        <v>65097.621904799322</v>
      </c>
      <c r="L2655" s="95">
        <f>+VLOOKUP(E2655,MARGEN!A:B,2,FALSE)</f>
        <v>0.1</v>
      </c>
      <c r="M2655" s="112">
        <f t="shared" si="165"/>
        <v>6509.7621904799325</v>
      </c>
      <c r="N2655" s="113">
        <f t="shared" si="166"/>
        <v>260.3904876191973</v>
      </c>
      <c r="O2655" s="113">
        <f t="shared" si="167"/>
        <v>58327.469226700196</v>
      </c>
    </row>
    <row r="2656" spans="1:15" x14ac:dyDescent="0.25">
      <c r="A2656" s="13">
        <v>44454</v>
      </c>
      <c r="B2656" s="97">
        <v>2519</v>
      </c>
      <c r="C2656" s="88" t="s">
        <v>127</v>
      </c>
      <c r="D2656" t="s">
        <v>411</v>
      </c>
      <c r="E2656" t="s">
        <v>17</v>
      </c>
      <c r="F2656" t="s">
        <v>562</v>
      </c>
      <c r="G2656" s="50" t="s">
        <v>559</v>
      </c>
      <c r="H2656" s="50">
        <v>2</v>
      </c>
      <c r="I2656" s="100">
        <v>6.7391919697301583</v>
      </c>
      <c r="J2656" s="52">
        <v>3834.68</v>
      </c>
      <c r="K2656" s="67">
        <f t="shared" si="168"/>
        <v>65097.621904799322</v>
      </c>
      <c r="L2656" s="95">
        <f>+VLOOKUP(E2656,MARGEN!A:B,2,FALSE)</f>
        <v>0.1</v>
      </c>
      <c r="M2656" s="112">
        <f t="shared" si="165"/>
        <v>6509.7621904799325</v>
      </c>
      <c r="N2656" s="113">
        <f t="shared" si="166"/>
        <v>260.3904876191973</v>
      </c>
      <c r="O2656" s="113">
        <f t="shared" si="167"/>
        <v>58327.469226700196</v>
      </c>
    </row>
    <row r="2657" spans="1:15" x14ac:dyDescent="0.25">
      <c r="A2657" s="13">
        <v>44454</v>
      </c>
      <c r="B2657" s="97">
        <v>2423</v>
      </c>
      <c r="C2657" t="s">
        <v>281</v>
      </c>
      <c r="D2657" s="94" t="s">
        <v>495</v>
      </c>
      <c r="E2657" t="s">
        <v>17</v>
      </c>
      <c r="F2657" t="s">
        <v>551</v>
      </c>
      <c r="G2657" s="50" t="s">
        <v>205</v>
      </c>
      <c r="H2657" s="50">
        <v>2</v>
      </c>
      <c r="I2657" s="100">
        <v>6.7391919697301583</v>
      </c>
      <c r="J2657" s="52">
        <v>3834.68</v>
      </c>
      <c r="K2657" s="67">
        <f t="shared" si="168"/>
        <v>62616.728017200774</v>
      </c>
      <c r="L2657" s="95">
        <f>+VLOOKUP(E2657,MARGEN!A:B,2,FALSE)</f>
        <v>0.1</v>
      </c>
      <c r="M2657" s="112">
        <f t="shared" si="165"/>
        <v>6261.6728017200776</v>
      </c>
      <c r="N2657" s="113">
        <f t="shared" si="166"/>
        <v>250.46691206880308</v>
      </c>
      <c r="O2657" s="113">
        <f t="shared" si="167"/>
        <v>56104.588303411889</v>
      </c>
    </row>
    <row r="2658" spans="1:15" x14ac:dyDescent="0.25">
      <c r="A2658" s="13">
        <v>44454</v>
      </c>
      <c r="B2658" s="97">
        <v>2399</v>
      </c>
      <c r="C2658" t="s">
        <v>163</v>
      </c>
      <c r="D2658" s="94" t="s">
        <v>398</v>
      </c>
      <c r="E2658" t="s">
        <v>17</v>
      </c>
      <c r="F2658" t="s">
        <v>562</v>
      </c>
      <c r="G2658" s="50" t="s">
        <v>559</v>
      </c>
      <c r="H2658" s="50">
        <v>2</v>
      </c>
      <c r="I2658" s="100">
        <v>6.7391919697301583</v>
      </c>
      <c r="J2658" s="52">
        <v>3834.68</v>
      </c>
      <c r="K2658" s="67">
        <f t="shared" si="168"/>
        <v>61996.504545301133</v>
      </c>
      <c r="L2658" s="95">
        <f>+VLOOKUP(E2658,MARGEN!A:B,2,FALSE)</f>
        <v>0.1</v>
      </c>
      <c r="M2658" s="112">
        <f t="shared" si="165"/>
        <v>6199.6504545301141</v>
      </c>
      <c r="N2658" s="113">
        <f t="shared" si="166"/>
        <v>247.98601818120454</v>
      </c>
      <c r="O2658" s="113">
        <f t="shared" si="167"/>
        <v>55548.868072589816</v>
      </c>
    </row>
    <row r="2659" spans="1:15" x14ac:dyDescent="0.25">
      <c r="A2659" s="13">
        <v>44454</v>
      </c>
      <c r="B2659" s="97">
        <v>2327</v>
      </c>
      <c r="C2659" t="s">
        <v>156</v>
      </c>
      <c r="D2659" s="94" t="s">
        <v>429</v>
      </c>
      <c r="E2659" t="s">
        <v>17</v>
      </c>
      <c r="F2659" t="s">
        <v>551</v>
      </c>
      <c r="G2659" s="50" t="s">
        <v>205</v>
      </c>
      <c r="H2659" s="50">
        <v>2</v>
      </c>
      <c r="I2659" s="100">
        <v>6.7391919697301583</v>
      </c>
      <c r="J2659" s="52">
        <v>3834.68</v>
      </c>
      <c r="K2659" s="67">
        <f t="shared" si="168"/>
        <v>60135.834129602234</v>
      </c>
      <c r="L2659" s="95">
        <f>+VLOOKUP(E2659,MARGEN!A:B,2,FALSE)</f>
        <v>0.1</v>
      </c>
      <c r="M2659" s="112">
        <f t="shared" si="165"/>
        <v>6013.5834129602235</v>
      </c>
      <c r="N2659" s="113">
        <f t="shared" si="166"/>
        <v>240.54333651840892</v>
      </c>
      <c r="O2659" s="113">
        <f t="shared" si="167"/>
        <v>53881.707380123604</v>
      </c>
    </row>
    <row r="2660" spans="1:15" x14ac:dyDescent="0.25">
      <c r="A2660" s="13">
        <v>44454</v>
      </c>
      <c r="B2660" s="97">
        <v>2327</v>
      </c>
      <c r="C2660" t="s">
        <v>283</v>
      </c>
      <c r="D2660" s="94" t="s">
        <v>543</v>
      </c>
      <c r="E2660" t="s">
        <v>17</v>
      </c>
      <c r="F2660" t="s">
        <v>562</v>
      </c>
      <c r="G2660" s="50" t="s">
        <v>559</v>
      </c>
      <c r="H2660" s="50">
        <v>2</v>
      </c>
      <c r="I2660" s="100">
        <v>6.7391919697301583</v>
      </c>
      <c r="J2660" s="52">
        <v>3834.68</v>
      </c>
      <c r="K2660" s="67">
        <f t="shared" si="168"/>
        <v>60135.834129602234</v>
      </c>
      <c r="L2660" s="95">
        <f>+VLOOKUP(E2660,MARGEN!A:B,2,FALSE)</f>
        <v>0.1</v>
      </c>
      <c r="M2660" s="112">
        <f t="shared" si="165"/>
        <v>6013.5834129602235</v>
      </c>
      <c r="N2660" s="113">
        <f t="shared" si="166"/>
        <v>240.54333651840892</v>
      </c>
      <c r="O2660" s="113">
        <f t="shared" si="167"/>
        <v>53881.707380123604</v>
      </c>
    </row>
    <row r="2661" spans="1:15" x14ac:dyDescent="0.25">
      <c r="A2661" s="13">
        <v>44454</v>
      </c>
      <c r="B2661" s="97">
        <v>2303</v>
      </c>
      <c r="C2661" t="s">
        <v>128</v>
      </c>
      <c r="D2661" s="94" t="s">
        <v>416</v>
      </c>
      <c r="E2661" t="s">
        <v>17</v>
      </c>
      <c r="F2661" t="s">
        <v>562</v>
      </c>
      <c r="G2661" s="50" t="s">
        <v>559</v>
      </c>
      <c r="H2661" s="50">
        <v>2</v>
      </c>
      <c r="I2661" s="100">
        <v>6.7391919697301583</v>
      </c>
      <c r="J2661" s="52">
        <v>3834.68</v>
      </c>
      <c r="K2661" s="67">
        <f t="shared" si="168"/>
        <v>59515.610657702593</v>
      </c>
      <c r="L2661" s="95">
        <f>+VLOOKUP(E2661,MARGEN!A:B,2,FALSE)</f>
        <v>0.1</v>
      </c>
      <c r="M2661" s="112">
        <f t="shared" si="165"/>
        <v>5951.56106577026</v>
      </c>
      <c r="N2661" s="113">
        <f t="shared" si="166"/>
        <v>238.06244263081038</v>
      </c>
      <c r="O2661" s="113">
        <f t="shared" si="167"/>
        <v>53325.987149301516</v>
      </c>
    </row>
    <row r="2662" spans="1:15" x14ac:dyDescent="0.25">
      <c r="A2662" s="13">
        <v>44454</v>
      </c>
      <c r="B2662" s="97">
        <v>2279</v>
      </c>
      <c r="C2662" t="s">
        <v>122</v>
      </c>
      <c r="D2662" s="94" t="s">
        <v>446</v>
      </c>
      <c r="E2662" t="s">
        <v>17</v>
      </c>
      <c r="F2662" t="s">
        <v>562</v>
      </c>
      <c r="G2662" s="50" t="s">
        <v>559</v>
      </c>
      <c r="H2662" s="50">
        <v>2</v>
      </c>
      <c r="I2662" s="100">
        <v>6.7391919697301583</v>
      </c>
      <c r="J2662" s="52">
        <v>3834.68</v>
      </c>
      <c r="K2662" s="67">
        <f t="shared" si="168"/>
        <v>58895.387185802952</v>
      </c>
      <c r="L2662" s="95">
        <f>+VLOOKUP(E2662,MARGEN!A:B,2,FALSE)</f>
        <v>0.1</v>
      </c>
      <c r="M2662" s="112">
        <f t="shared" si="165"/>
        <v>5889.5387185802956</v>
      </c>
      <c r="N2662" s="113">
        <f t="shared" si="166"/>
        <v>235.58154874321181</v>
      </c>
      <c r="O2662" s="113">
        <f t="shared" si="167"/>
        <v>52770.266918479443</v>
      </c>
    </row>
    <row r="2663" spans="1:15" x14ac:dyDescent="0.25">
      <c r="A2663" s="13">
        <v>44454</v>
      </c>
      <c r="B2663" s="97">
        <v>2231</v>
      </c>
      <c r="C2663" t="s">
        <v>126</v>
      </c>
      <c r="D2663" s="94" t="s">
        <v>438</v>
      </c>
      <c r="E2663" t="s">
        <v>17</v>
      </c>
      <c r="F2663" t="s">
        <v>562</v>
      </c>
      <c r="G2663" s="50" t="s">
        <v>559</v>
      </c>
      <c r="H2663" s="50">
        <v>2</v>
      </c>
      <c r="I2663" s="100">
        <v>6.7391919697301583</v>
      </c>
      <c r="J2663" s="52">
        <v>3834.68</v>
      </c>
      <c r="K2663" s="67">
        <f t="shared" si="168"/>
        <v>57654.940242003679</v>
      </c>
      <c r="L2663" s="95">
        <f>+VLOOKUP(E2663,MARGEN!A:B,2,FALSE)</f>
        <v>0.1</v>
      </c>
      <c r="M2663" s="112">
        <f t="shared" si="165"/>
        <v>5765.4940242003686</v>
      </c>
      <c r="N2663" s="113">
        <f t="shared" si="166"/>
        <v>230.6197609680147</v>
      </c>
      <c r="O2663" s="113">
        <f t="shared" si="167"/>
        <v>51658.826456835297</v>
      </c>
    </row>
    <row r="2664" spans="1:15" x14ac:dyDescent="0.25">
      <c r="A2664" s="13">
        <v>44454</v>
      </c>
      <c r="B2664" s="97">
        <v>2231</v>
      </c>
      <c r="C2664" t="s">
        <v>157</v>
      </c>
      <c r="D2664" s="94" t="s">
        <v>435</v>
      </c>
      <c r="E2664" t="s">
        <v>17</v>
      </c>
      <c r="F2664" t="s">
        <v>562</v>
      </c>
      <c r="G2664" s="50" t="s">
        <v>559</v>
      </c>
      <c r="H2664" s="50">
        <v>2</v>
      </c>
      <c r="I2664" s="100">
        <v>6.7391919697301583</v>
      </c>
      <c r="J2664" s="52">
        <v>3834.68</v>
      </c>
      <c r="K2664" s="67">
        <f t="shared" si="168"/>
        <v>57654.940242003679</v>
      </c>
      <c r="L2664" s="95">
        <f>+VLOOKUP(E2664,MARGEN!A:B,2,FALSE)</f>
        <v>0.1</v>
      </c>
      <c r="M2664" s="112">
        <f t="shared" si="165"/>
        <v>5765.4940242003686</v>
      </c>
      <c r="N2664" s="113">
        <f t="shared" si="166"/>
        <v>230.6197609680147</v>
      </c>
      <c r="O2664" s="113">
        <f t="shared" si="167"/>
        <v>51658.826456835297</v>
      </c>
    </row>
    <row r="2665" spans="1:15" x14ac:dyDescent="0.25">
      <c r="A2665" s="13">
        <v>44454</v>
      </c>
      <c r="B2665" s="97">
        <v>2207</v>
      </c>
      <c r="C2665" t="s">
        <v>284</v>
      </c>
      <c r="D2665" s="94" t="s">
        <v>525</v>
      </c>
      <c r="E2665" t="s">
        <v>17</v>
      </c>
      <c r="F2665" t="s">
        <v>551</v>
      </c>
      <c r="G2665" s="50" t="s">
        <v>205</v>
      </c>
      <c r="H2665" s="50">
        <v>2</v>
      </c>
      <c r="I2665" s="100">
        <v>6.7391919697301583</v>
      </c>
      <c r="J2665" s="52">
        <v>3834.68</v>
      </c>
      <c r="K2665" s="67">
        <f t="shared" si="168"/>
        <v>57034.716770104053</v>
      </c>
      <c r="L2665" s="95">
        <f>+VLOOKUP(E2665,MARGEN!A:B,2,FALSE)</f>
        <v>0.1</v>
      </c>
      <c r="M2665" s="112">
        <f t="shared" si="165"/>
        <v>5703.471677010406</v>
      </c>
      <c r="N2665" s="113">
        <f t="shared" si="166"/>
        <v>228.13886708041622</v>
      </c>
      <c r="O2665" s="113">
        <f t="shared" si="167"/>
        <v>51103.106226013231</v>
      </c>
    </row>
    <row r="2666" spans="1:15" x14ac:dyDescent="0.25">
      <c r="A2666" s="13">
        <v>44454</v>
      </c>
      <c r="B2666" s="97">
        <v>2135</v>
      </c>
      <c r="C2666" t="s">
        <v>312</v>
      </c>
      <c r="D2666" t="s">
        <v>542</v>
      </c>
      <c r="E2666" t="s">
        <v>17</v>
      </c>
      <c r="F2666" t="s">
        <v>551</v>
      </c>
      <c r="G2666" s="50" t="s">
        <v>205</v>
      </c>
      <c r="H2666" s="50">
        <v>2</v>
      </c>
      <c r="I2666" s="100">
        <v>6.7391919697301583</v>
      </c>
      <c r="J2666" s="52">
        <v>3834.68</v>
      </c>
      <c r="K2666" s="67">
        <f t="shared" si="168"/>
        <v>55174.046354405145</v>
      </c>
      <c r="L2666" s="95">
        <f>+VLOOKUP(E2666,MARGEN!A:B,2,FALSE)</f>
        <v>0.1</v>
      </c>
      <c r="M2666" s="112">
        <f t="shared" si="165"/>
        <v>5517.4046354405145</v>
      </c>
      <c r="N2666" s="113">
        <f t="shared" si="166"/>
        <v>220.69618541762057</v>
      </c>
      <c r="O2666" s="113">
        <f t="shared" si="167"/>
        <v>49435.945533547012</v>
      </c>
    </row>
    <row r="2667" spans="1:15" x14ac:dyDescent="0.25">
      <c r="A2667" s="13">
        <v>44454</v>
      </c>
      <c r="B2667" s="97">
        <v>2015</v>
      </c>
      <c r="C2667" t="s">
        <v>123</v>
      </c>
      <c r="D2667" s="94" t="s">
        <v>396</v>
      </c>
      <c r="E2667" t="s">
        <v>17</v>
      </c>
      <c r="F2667" t="s">
        <v>562</v>
      </c>
      <c r="G2667" s="50" t="s">
        <v>559</v>
      </c>
      <c r="H2667" s="50">
        <v>2</v>
      </c>
      <c r="I2667" s="100">
        <v>6.7391919697301583</v>
      </c>
      <c r="J2667" s="52">
        <v>3834.68</v>
      </c>
      <c r="K2667" s="67">
        <f t="shared" si="168"/>
        <v>52072.928994906957</v>
      </c>
      <c r="L2667" s="95">
        <f>+VLOOKUP(E2667,MARGEN!A:B,2,FALSE)</f>
        <v>0.1</v>
      </c>
      <c r="M2667" s="112">
        <f t="shared" si="165"/>
        <v>5207.2928994906961</v>
      </c>
      <c r="N2667" s="113">
        <f t="shared" si="166"/>
        <v>208.29171597962784</v>
      </c>
      <c r="O2667" s="113">
        <f t="shared" si="167"/>
        <v>46657.344379436632</v>
      </c>
    </row>
    <row r="2668" spans="1:15" x14ac:dyDescent="0.25">
      <c r="A2668" s="13">
        <v>44454</v>
      </c>
      <c r="B2668" s="97">
        <v>1991</v>
      </c>
      <c r="C2668" t="s">
        <v>295</v>
      </c>
      <c r="D2668" s="94" t="s">
        <v>532</v>
      </c>
      <c r="E2668" t="s">
        <v>17</v>
      </c>
      <c r="F2668" t="s">
        <v>562</v>
      </c>
      <c r="G2668" s="50" t="s">
        <v>559</v>
      </c>
      <c r="H2668" s="50">
        <v>2</v>
      </c>
      <c r="I2668" s="100">
        <v>6.7391919697301583</v>
      </c>
      <c r="J2668" s="52">
        <v>3834.68</v>
      </c>
      <c r="K2668" s="67">
        <f t="shared" si="168"/>
        <v>51452.705523007324</v>
      </c>
      <c r="L2668" s="95">
        <f>+VLOOKUP(E2668,MARGEN!A:B,2,FALSE)</f>
        <v>0.1</v>
      </c>
      <c r="M2668" s="112">
        <f t="shared" si="165"/>
        <v>5145.2705523007326</v>
      </c>
      <c r="N2668" s="113">
        <f t="shared" si="166"/>
        <v>205.8108220920293</v>
      </c>
      <c r="O2668" s="113">
        <f t="shared" si="167"/>
        <v>46101.624148614566</v>
      </c>
    </row>
    <row r="2669" spans="1:15" x14ac:dyDescent="0.25">
      <c r="A2669" s="13">
        <v>44454</v>
      </c>
      <c r="B2669" s="97">
        <v>1967</v>
      </c>
      <c r="C2669" t="s">
        <v>155</v>
      </c>
      <c r="D2669" s="94" t="s">
        <v>399</v>
      </c>
      <c r="E2669" t="s">
        <v>17</v>
      </c>
      <c r="F2669" t="s">
        <v>551</v>
      </c>
      <c r="G2669" s="50" t="s">
        <v>205</v>
      </c>
      <c r="H2669" s="50">
        <v>2</v>
      </c>
      <c r="I2669" s="100">
        <v>6.7391919697301583</v>
      </c>
      <c r="J2669" s="52">
        <v>3834.68</v>
      </c>
      <c r="K2669" s="67">
        <f t="shared" si="168"/>
        <v>50832.482051107683</v>
      </c>
      <c r="L2669" s="95">
        <f>+VLOOKUP(E2669,MARGEN!A:B,2,FALSE)</f>
        <v>0.1</v>
      </c>
      <c r="M2669" s="112">
        <f t="shared" si="165"/>
        <v>5083.248205110769</v>
      </c>
      <c r="N2669" s="113">
        <f t="shared" si="166"/>
        <v>203.32992820443073</v>
      </c>
      <c r="O2669" s="113">
        <f t="shared" si="167"/>
        <v>45545.903917792486</v>
      </c>
    </row>
    <row r="2670" spans="1:15" x14ac:dyDescent="0.25">
      <c r="A2670" s="13">
        <v>44454</v>
      </c>
      <c r="B2670" s="97">
        <v>1871</v>
      </c>
      <c r="C2670" t="s">
        <v>125</v>
      </c>
      <c r="D2670" s="94" t="s">
        <v>341</v>
      </c>
      <c r="E2670" t="s">
        <v>17</v>
      </c>
      <c r="F2670" t="s">
        <v>562</v>
      </c>
      <c r="G2670" s="50" t="s">
        <v>559</v>
      </c>
      <c r="H2670" s="50">
        <v>2</v>
      </c>
      <c r="I2670" s="100">
        <v>6.7391919697301583</v>
      </c>
      <c r="J2670" s="52">
        <v>3834.68</v>
      </c>
      <c r="K2670" s="67">
        <f t="shared" si="168"/>
        <v>48351.588163509143</v>
      </c>
      <c r="L2670" s="95">
        <f>+VLOOKUP(E2670,MARGEN!A:B,2,FALSE)</f>
        <v>0.1</v>
      </c>
      <c r="M2670" s="112">
        <f t="shared" si="165"/>
        <v>4835.1588163509141</v>
      </c>
      <c r="N2670" s="113">
        <f t="shared" si="166"/>
        <v>193.40635265403657</v>
      </c>
      <c r="O2670" s="113">
        <f t="shared" si="167"/>
        <v>43323.022994504194</v>
      </c>
    </row>
    <row r="2671" spans="1:15" x14ac:dyDescent="0.25">
      <c r="A2671" s="13">
        <v>44454</v>
      </c>
      <c r="B2671" s="97">
        <v>1799</v>
      </c>
      <c r="C2671" t="s">
        <v>223</v>
      </c>
      <c r="D2671" s="94" t="s">
        <v>389</v>
      </c>
      <c r="E2671" t="s">
        <v>17</v>
      </c>
      <c r="F2671" t="s">
        <v>551</v>
      </c>
      <c r="G2671" s="50" t="s">
        <v>205</v>
      </c>
      <c r="H2671" s="50">
        <v>2</v>
      </c>
      <c r="I2671" s="100">
        <v>6.7391919697301583</v>
      </c>
      <c r="J2671" s="52">
        <v>3834.68</v>
      </c>
      <c r="K2671" s="67">
        <f t="shared" si="168"/>
        <v>46490.917747810228</v>
      </c>
      <c r="L2671" s="95">
        <f>+VLOOKUP(E2671,MARGEN!A:B,2,FALSE)</f>
        <v>0.1</v>
      </c>
      <c r="M2671" s="112">
        <f t="shared" si="165"/>
        <v>4649.0917747810227</v>
      </c>
      <c r="N2671" s="113">
        <f t="shared" si="166"/>
        <v>185.96367099124092</v>
      </c>
      <c r="O2671" s="113">
        <f t="shared" si="167"/>
        <v>41655.862302037967</v>
      </c>
    </row>
    <row r="2672" spans="1:15" x14ac:dyDescent="0.25">
      <c r="A2672" s="13">
        <v>44454</v>
      </c>
      <c r="B2672" s="97">
        <v>1799</v>
      </c>
      <c r="C2672" t="s">
        <v>172</v>
      </c>
      <c r="D2672" s="94" t="s">
        <v>371</v>
      </c>
      <c r="E2672" t="s">
        <v>17</v>
      </c>
      <c r="F2672" t="s">
        <v>551</v>
      </c>
      <c r="G2672" s="50" t="s">
        <v>205</v>
      </c>
      <c r="H2672" s="50">
        <v>2</v>
      </c>
      <c r="I2672" s="100">
        <v>6.7391919697301583</v>
      </c>
      <c r="J2672" s="52">
        <v>3834.68</v>
      </c>
      <c r="K2672" s="67">
        <f t="shared" si="168"/>
        <v>46490.917747810228</v>
      </c>
      <c r="L2672" s="95">
        <f>+VLOOKUP(E2672,MARGEN!A:B,2,FALSE)</f>
        <v>0.1</v>
      </c>
      <c r="M2672" s="112">
        <f t="shared" si="165"/>
        <v>4649.0917747810227</v>
      </c>
      <c r="N2672" s="113">
        <f t="shared" si="166"/>
        <v>185.96367099124092</v>
      </c>
      <c r="O2672" s="113">
        <f t="shared" si="167"/>
        <v>41655.862302037967</v>
      </c>
    </row>
    <row r="2673" spans="1:15" x14ac:dyDescent="0.25">
      <c r="A2673" s="13">
        <v>44454</v>
      </c>
      <c r="B2673" s="97">
        <v>1751</v>
      </c>
      <c r="C2673" t="s">
        <v>154</v>
      </c>
      <c r="D2673" s="94" t="s">
        <v>419</v>
      </c>
      <c r="E2673" t="s">
        <v>17</v>
      </c>
      <c r="F2673" t="s">
        <v>551</v>
      </c>
      <c r="G2673" s="50" t="s">
        <v>205</v>
      </c>
      <c r="H2673" s="50">
        <v>2</v>
      </c>
      <c r="I2673" s="100">
        <v>6.7391919697301583</v>
      </c>
      <c r="J2673" s="52">
        <v>3834.68</v>
      </c>
      <c r="K2673" s="67">
        <f t="shared" si="168"/>
        <v>45250.470804010954</v>
      </c>
      <c r="L2673" s="95">
        <f>+VLOOKUP(E2673,MARGEN!A:B,2,FALSE)</f>
        <v>0.1</v>
      </c>
      <c r="M2673" s="112">
        <f t="shared" si="165"/>
        <v>4525.0470804010956</v>
      </c>
      <c r="N2673" s="113">
        <f t="shared" si="166"/>
        <v>181.00188321604381</v>
      </c>
      <c r="O2673" s="113">
        <f t="shared" si="167"/>
        <v>40544.421840393814</v>
      </c>
    </row>
    <row r="2674" spans="1:15" x14ac:dyDescent="0.25">
      <c r="A2674" s="13">
        <v>44454</v>
      </c>
      <c r="B2674" s="97">
        <v>1727</v>
      </c>
      <c r="C2674" t="s">
        <v>174</v>
      </c>
      <c r="D2674" s="94" t="s">
        <v>395</v>
      </c>
      <c r="E2674" t="s">
        <v>17</v>
      </c>
      <c r="F2674" t="s">
        <v>562</v>
      </c>
      <c r="G2674" s="50" t="s">
        <v>559</v>
      </c>
      <c r="H2674" s="50">
        <v>2</v>
      </c>
      <c r="I2674" s="100">
        <v>6.7391919697301583</v>
      </c>
      <c r="J2674" s="52">
        <v>3834.68</v>
      </c>
      <c r="K2674" s="67">
        <f t="shared" si="168"/>
        <v>44630.247332111321</v>
      </c>
      <c r="L2674" s="95">
        <f>+VLOOKUP(E2674,MARGEN!A:B,2,FALSE)</f>
        <v>0.1</v>
      </c>
      <c r="M2674" s="112">
        <f t="shared" si="165"/>
        <v>4463.0247332111321</v>
      </c>
      <c r="N2674" s="113">
        <f t="shared" si="166"/>
        <v>178.5209893284453</v>
      </c>
      <c r="O2674" s="113">
        <f t="shared" si="167"/>
        <v>39988.701609571741</v>
      </c>
    </row>
    <row r="2675" spans="1:15" x14ac:dyDescent="0.25">
      <c r="A2675" s="13">
        <v>44454</v>
      </c>
      <c r="B2675" s="97">
        <v>1727</v>
      </c>
      <c r="C2675" t="s">
        <v>170</v>
      </c>
      <c r="D2675" s="94" t="s">
        <v>437</v>
      </c>
      <c r="E2675" t="s">
        <v>17</v>
      </c>
      <c r="F2675" t="s">
        <v>562</v>
      </c>
      <c r="G2675" s="50" t="s">
        <v>559</v>
      </c>
      <c r="H2675" s="50">
        <v>2</v>
      </c>
      <c r="I2675" s="100">
        <v>6.7391919697301583</v>
      </c>
      <c r="J2675" s="52">
        <v>3834.68</v>
      </c>
      <c r="K2675" s="67">
        <f t="shared" si="168"/>
        <v>44630.247332111321</v>
      </c>
      <c r="L2675" s="95">
        <f>+VLOOKUP(E2675,MARGEN!A:B,2,FALSE)</f>
        <v>0.1</v>
      </c>
      <c r="M2675" s="112">
        <f t="shared" si="165"/>
        <v>4463.0247332111321</v>
      </c>
      <c r="N2675" s="113">
        <f t="shared" si="166"/>
        <v>178.5209893284453</v>
      </c>
      <c r="O2675" s="113">
        <f t="shared" si="167"/>
        <v>39988.701609571741</v>
      </c>
    </row>
    <row r="2676" spans="1:15" x14ac:dyDescent="0.25">
      <c r="A2676" s="13">
        <v>44454</v>
      </c>
      <c r="B2676" s="97">
        <v>1703</v>
      </c>
      <c r="C2676" t="s">
        <v>296</v>
      </c>
      <c r="D2676" s="94" t="s">
        <v>498</v>
      </c>
      <c r="E2676" t="s">
        <v>17</v>
      </c>
      <c r="F2676" t="s">
        <v>562</v>
      </c>
      <c r="G2676" s="50" t="s">
        <v>559</v>
      </c>
      <c r="H2676" s="50">
        <v>2</v>
      </c>
      <c r="I2676" s="100">
        <v>6.7391919697301583</v>
      </c>
      <c r="J2676" s="52">
        <v>3834.68</v>
      </c>
      <c r="K2676" s="67">
        <f t="shared" si="168"/>
        <v>44010.023860211688</v>
      </c>
      <c r="L2676" s="95">
        <f>+VLOOKUP(E2676,MARGEN!A:B,2,FALSE)</f>
        <v>0.1</v>
      </c>
      <c r="M2676" s="112">
        <f t="shared" si="165"/>
        <v>4401.0023860211686</v>
      </c>
      <c r="N2676" s="113">
        <f t="shared" si="166"/>
        <v>176.04009544084676</v>
      </c>
      <c r="O2676" s="113">
        <f t="shared" si="167"/>
        <v>39432.981378749675</v>
      </c>
    </row>
    <row r="2677" spans="1:15" x14ac:dyDescent="0.25">
      <c r="A2677" s="13">
        <v>44454</v>
      </c>
      <c r="B2677" s="97">
        <v>1703</v>
      </c>
      <c r="C2677" t="s">
        <v>286</v>
      </c>
      <c r="D2677" s="94" t="s">
        <v>531</v>
      </c>
      <c r="E2677" t="s">
        <v>17</v>
      </c>
      <c r="F2677" t="s">
        <v>551</v>
      </c>
      <c r="G2677" s="50" t="s">
        <v>205</v>
      </c>
      <c r="H2677" s="50">
        <v>2</v>
      </c>
      <c r="I2677" s="100">
        <v>6.7391919697301583</v>
      </c>
      <c r="J2677" s="52">
        <v>3834.68</v>
      </c>
      <c r="K2677" s="67">
        <f t="shared" si="168"/>
        <v>44010.023860211688</v>
      </c>
      <c r="L2677" s="95">
        <f>+VLOOKUP(E2677,MARGEN!A:B,2,FALSE)</f>
        <v>0.1</v>
      </c>
      <c r="M2677" s="112">
        <f t="shared" si="165"/>
        <v>4401.0023860211686</v>
      </c>
      <c r="N2677" s="113">
        <f t="shared" si="166"/>
        <v>176.04009544084676</v>
      </c>
      <c r="O2677" s="113">
        <f t="shared" si="167"/>
        <v>39432.981378749675</v>
      </c>
    </row>
    <row r="2678" spans="1:15" x14ac:dyDescent="0.25">
      <c r="A2678" s="13">
        <v>44454</v>
      </c>
      <c r="B2678" s="97">
        <v>1679</v>
      </c>
      <c r="C2678" t="s">
        <v>287</v>
      </c>
      <c r="D2678" s="94" t="s">
        <v>496</v>
      </c>
      <c r="E2678" t="s">
        <v>17</v>
      </c>
      <c r="F2678" t="s">
        <v>551</v>
      </c>
      <c r="G2678" s="50" t="s">
        <v>205</v>
      </c>
      <c r="H2678" s="50">
        <v>2</v>
      </c>
      <c r="I2678" s="100">
        <v>6.7391919697301583</v>
      </c>
      <c r="J2678" s="52">
        <v>3834.68</v>
      </c>
      <c r="K2678" s="67">
        <f t="shared" si="168"/>
        <v>43389.800388312047</v>
      </c>
      <c r="L2678" s="95">
        <f>+VLOOKUP(E2678,MARGEN!A:B,2,FALSE)</f>
        <v>0.1</v>
      </c>
      <c r="M2678" s="112">
        <f t="shared" si="165"/>
        <v>4338.9800388312051</v>
      </c>
      <c r="N2678" s="113">
        <f t="shared" si="166"/>
        <v>173.55920155324819</v>
      </c>
      <c r="O2678" s="113">
        <f t="shared" si="167"/>
        <v>38877.261147927595</v>
      </c>
    </row>
    <row r="2679" spans="1:15" x14ac:dyDescent="0.25">
      <c r="A2679" s="13">
        <v>44454</v>
      </c>
      <c r="B2679" s="97">
        <v>1679</v>
      </c>
      <c r="C2679" t="s">
        <v>194</v>
      </c>
      <c r="D2679" s="94" t="s">
        <v>417</v>
      </c>
      <c r="E2679" t="s">
        <v>17</v>
      </c>
      <c r="F2679" t="s">
        <v>562</v>
      </c>
      <c r="G2679" s="50" t="s">
        <v>559</v>
      </c>
      <c r="H2679" s="50">
        <v>2</v>
      </c>
      <c r="I2679" s="100">
        <v>6.7391919697301583</v>
      </c>
      <c r="J2679" s="52">
        <v>3834.68</v>
      </c>
      <c r="K2679" s="67">
        <f t="shared" si="168"/>
        <v>43389.800388312047</v>
      </c>
      <c r="L2679" s="95">
        <f>+VLOOKUP(E2679,MARGEN!A:B,2,FALSE)</f>
        <v>0.1</v>
      </c>
      <c r="M2679" s="112">
        <f t="shared" si="165"/>
        <v>4338.9800388312051</v>
      </c>
      <c r="N2679" s="113">
        <f t="shared" si="166"/>
        <v>173.55920155324819</v>
      </c>
      <c r="O2679" s="113">
        <f t="shared" si="167"/>
        <v>38877.261147927595</v>
      </c>
    </row>
    <row r="2680" spans="1:15" x14ac:dyDescent="0.25">
      <c r="A2680" s="13">
        <v>44454</v>
      </c>
      <c r="B2680" s="97">
        <v>1679</v>
      </c>
      <c r="C2680" t="s">
        <v>121</v>
      </c>
      <c r="D2680" s="94" t="s">
        <v>381</v>
      </c>
      <c r="E2680" t="s">
        <v>17</v>
      </c>
      <c r="F2680" t="s">
        <v>562</v>
      </c>
      <c r="G2680" s="50" t="s">
        <v>559</v>
      </c>
      <c r="H2680" s="50">
        <v>2</v>
      </c>
      <c r="I2680" s="100">
        <v>6.7391919697301583</v>
      </c>
      <c r="J2680" s="52">
        <v>3834.68</v>
      </c>
      <c r="K2680" s="67">
        <f t="shared" si="168"/>
        <v>43389.800388312047</v>
      </c>
      <c r="L2680" s="95">
        <f>+VLOOKUP(E2680,MARGEN!A:B,2,FALSE)</f>
        <v>0.1</v>
      </c>
      <c r="M2680" s="112">
        <f t="shared" si="165"/>
        <v>4338.9800388312051</v>
      </c>
      <c r="N2680" s="113">
        <f t="shared" si="166"/>
        <v>173.55920155324819</v>
      </c>
      <c r="O2680" s="113">
        <f t="shared" si="167"/>
        <v>38877.261147927595</v>
      </c>
    </row>
    <row r="2681" spans="1:15" x14ac:dyDescent="0.25">
      <c r="A2681" s="13">
        <v>44454</v>
      </c>
      <c r="B2681" s="51">
        <v>1679</v>
      </c>
      <c r="C2681" s="66" t="s">
        <v>175</v>
      </c>
      <c r="D2681" s="66" t="s">
        <v>432</v>
      </c>
      <c r="E2681" t="s">
        <v>17</v>
      </c>
      <c r="F2681" s="50" t="s">
        <v>551</v>
      </c>
      <c r="G2681" s="50" t="s">
        <v>205</v>
      </c>
      <c r="H2681" s="50">
        <v>2</v>
      </c>
      <c r="I2681" s="100">
        <v>6.7391919697301583</v>
      </c>
      <c r="J2681" s="52">
        <v>3834.68</v>
      </c>
      <c r="K2681" s="67">
        <f t="shared" si="168"/>
        <v>43389.800388312047</v>
      </c>
      <c r="L2681" s="95">
        <f>+VLOOKUP(E2681,MARGEN!A:B,2,FALSE)</f>
        <v>0.1</v>
      </c>
      <c r="M2681" s="112">
        <f t="shared" si="165"/>
        <v>4338.9800388312051</v>
      </c>
      <c r="N2681" s="113">
        <f t="shared" si="166"/>
        <v>173.55920155324819</v>
      </c>
      <c r="O2681" s="113">
        <f t="shared" si="167"/>
        <v>38877.261147927595</v>
      </c>
    </row>
    <row r="2682" spans="1:15" x14ac:dyDescent="0.25">
      <c r="A2682" s="13">
        <v>44454</v>
      </c>
      <c r="B2682" s="97">
        <v>1655</v>
      </c>
      <c r="C2682" t="s">
        <v>288</v>
      </c>
      <c r="D2682" s="94" t="s">
        <v>530</v>
      </c>
      <c r="E2682" t="s">
        <v>17</v>
      </c>
      <c r="F2682" t="s">
        <v>551</v>
      </c>
      <c r="G2682" s="50" t="s">
        <v>205</v>
      </c>
      <c r="H2682" s="50">
        <v>2</v>
      </c>
      <c r="I2682" s="100">
        <v>6.7391919697301583</v>
      </c>
      <c r="J2682" s="52">
        <v>3834.68</v>
      </c>
      <c r="K2682" s="67">
        <f t="shared" si="168"/>
        <v>42769.576916412421</v>
      </c>
      <c r="L2682" s="95">
        <f>+VLOOKUP(E2682,MARGEN!A:B,2,FALSE)</f>
        <v>0.1</v>
      </c>
      <c r="M2682" s="112">
        <f t="shared" si="165"/>
        <v>4276.9576916412425</v>
      </c>
      <c r="N2682" s="113">
        <f t="shared" si="166"/>
        <v>171.07830766564967</v>
      </c>
      <c r="O2682" s="113">
        <f t="shared" si="167"/>
        <v>38321.540917105529</v>
      </c>
    </row>
    <row r="2683" spans="1:15" x14ac:dyDescent="0.25">
      <c r="A2683" s="13">
        <v>44454</v>
      </c>
      <c r="B2683" s="97">
        <v>1631</v>
      </c>
      <c r="C2683" t="s">
        <v>171</v>
      </c>
      <c r="D2683" s="94" t="s">
        <v>387</v>
      </c>
      <c r="E2683" t="s">
        <v>17</v>
      </c>
      <c r="F2683" t="s">
        <v>551</v>
      </c>
      <c r="G2683" s="50" t="s">
        <v>205</v>
      </c>
      <c r="H2683" s="50">
        <v>2</v>
      </c>
      <c r="I2683" s="100">
        <v>6.7391919697301583</v>
      </c>
      <c r="J2683" s="52">
        <v>3834.68</v>
      </c>
      <c r="K2683" s="67">
        <f t="shared" si="168"/>
        <v>42149.353444512773</v>
      </c>
      <c r="L2683" s="95">
        <f>+VLOOKUP(E2683,MARGEN!A:B,2,FALSE)</f>
        <v>0.1</v>
      </c>
      <c r="M2683" s="112">
        <f t="shared" si="165"/>
        <v>4214.9353444512772</v>
      </c>
      <c r="N2683" s="113">
        <f t="shared" si="166"/>
        <v>168.59741377805111</v>
      </c>
      <c r="O2683" s="113">
        <f t="shared" si="167"/>
        <v>37765.820686283449</v>
      </c>
    </row>
    <row r="2684" spans="1:15" x14ac:dyDescent="0.25">
      <c r="A2684" s="13">
        <v>44454</v>
      </c>
      <c r="B2684" s="97">
        <v>1631</v>
      </c>
      <c r="C2684" t="s">
        <v>285</v>
      </c>
      <c r="D2684" s="94" t="s">
        <v>534</v>
      </c>
      <c r="E2684" t="s">
        <v>17</v>
      </c>
      <c r="F2684" t="s">
        <v>551</v>
      </c>
      <c r="G2684" s="50" t="s">
        <v>205</v>
      </c>
      <c r="H2684" s="50">
        <v>2</v>
      </c>
      <c r="I2684" s="100">
        <v>6.7391919697301583</v>
      </c>
      <c r="J2684" s="52">
        <v>3834.68</v>
      </c>
      <c r="K2684" s="67">
        <f t="shared" si="168"/>
        <v>42149.353444512773</v>
      </c>
      <c r="L2684" s="95">
        <f>+VLOOKUP(E2684,MARGEN!A:B,2,FALSE)</f>
        <v>0.1</v>
      </c>
      <c r="M2684" s="112">
        <f t="shared" si="165"/>
        <v>4214.9353444512772</v>
      </c>
      <c r="N2684" s="113">
        <f t="shared" si="166"/>
        <v>168.59741377805111</v>
      </c>
      <c r="O2684" s="113">
        <f t="shared" si="167"/>
        <v>37765.820686283449</v>
      </c>
    </row>
    <row r="2685" spans="1:15" x14ac:dyDescent="0.25">
      <c r="A2685" s="13">
        <v>44454</v>
      </c>
      <c r="B2685" s="97">
        <v>1631</v>
      </c>
      <c r="C2685" t="s">
        <v>196</v>
      </c>
      <c r="D2685" s="94" t="s">
        <v>413</v>
      </c>
      <c r="E2685" t="s">
        <v>17</v>
      </c>
      <c r="F2685" t="s">
        <v>562</v>
      </c>
      <c r="G2685" s="50" t="s">
        <v>559</v>
      </c>
      <c r="H2685" s="50">
        <v>2</v>
      </c>
      <c r="I2685" s="100">
        <v>6.7391919697301583</v>
      </c>
      <c r="J2685" s="52">
        <v>3834.68</v>
      </c>
      <c r="K2685" s="67">
        <f t="shared" si="168"/>
        <v>42149.353444512773</v>
      </c>
      <c r="L2685" s="95">
        <f>+VLOOKUP(E2685,MARGEN!A:B,2,FALSE)</f>
        <v>0.1</v>
      </c>
      <c r="M2685" s="112">
        <f t="shared" si="165"/>
        <v>4214.9353444512772</v>
      </c>
      <c r="N2685" s="113">
        <f t="shared" si="166"/>
        <v>168.59741377805111</v>
      </c>
      <c r="O2685" s="113">
        <f t="shared" si="167"/>
        <v>37765.820686283449</v>
      </c>
    </row>
    <row r="2686" spans="1:15" x14ac:dyDescent="0.25">
      <c r="A2686" s="13">
        <v>44454</v>
      </c>
      <c r="B2686" s="97">
        <v>1631</v>
      </c>
      <c r="C2686" t="s">
        <v>209</v>
      </c>
      <c r="D2686" s="94" t="s">
        <v>441</v>
      </c>
      <c r="E2686" t="s">
        <v>17</v>
      </c>
      <c r="F2686" t="s">
        <v>562</v>
      </c>
      <c r="G2686" s="50" t="s">
        <v>559</v>
      </c>
      <c r="H2686" s="50">
        <v>2</v>
      </c>
      <c r="I2686" s="100">
        <v>6.7391919697301583</v>
      </c>
      <c r="J2686" s="52">
        <v>3834.68</v>
      </c>
      <c r="K2686" s="67">
        <f t="shared" si="168"/>
        <v>42149.353444512773</v>
      </c>
      <c r="L2686" s="95">
        <f>+VLOOKUP(E2686,MARGEN!A:B,2,FALSE)</f>
        <v>0.1</v>
      </c>
      <c r="M2686" s="112">
        <f t="shared" si="165"/>
        <v>4214.9353444512772</v>
      </c>
      <c r="N2686" s="113">
        <f t="shared" si="166"/>
        <v>168.59741377805111</v>
      </c>
      <c r="O2686" s="113">
        <f t="shared" si="167"/>
        <v>37765.820686283449</v>
      </c>
    </row>
    <row r="2687" spans="1:15" x14ac:dyDescent="0.25">
      <c r="A2687" s="13">
        <v>44454</v>
      </c>
      <c r="B2687" s="97">
        <v>1607</v>
      </c>
      <c r="C2687" t="s">
        <v>180</v>
      </c>
      <c r="D2687" s="94" t="s">
        <v>447</v>
      </c>
      <c r="E2687" t="s">
        <v>17</v>
      </c>
      <c r="F2687" t="s">
        <v>562</v>
      </c>
      <c r="G2687" s="50" t="s">
        <v>559</v>
      </c>
      <c r="H2687" s="50">
        <v>2</v>
      </c>
      <c r="I2687" s="100">
        <v>6.7391919697301583</v>
      </c>
      <c r="J2687" s="52">
        <v>3834.68</v>
      </c>
      <c r="K2687" s="67">
        <f t="shared" si="168"/>
        <v>41529.12997261314</v>
      </c>
      <c r="L2687" s="95">
        <f>+VLOOKUP(E2687,MARGEN!A:B,2,FALSE)</f>
        <v>0.1</v>
      </c>
      <c r="M2687" s="112">
        <f t="shared" si="165"/>
        <v>4152.9129972613146</v>
      </c>
      <c r="N2687" s="113">
        <f t="shared" si="166"/>
        <v>166.11651989045257</v>
      </c>
      <c r="O2687" s="113">
        <f t="shared" si="167"/>
        <v>37210.100455461376</v>
      </c>
    </row>
    <row r="2688" spans="1:15" x14ac:dyDescent="0.25">
      <c r="A2688" s="13">
        <v>44454</v>
      </c>
      <c r="B2688" s="97">
        <v>1559</v>
      </c>
      <c r="C2688" t="s">
        <v>552</v>
      </c>
      <c r="D2688" s="94" t="s">
        <v>563</v>
      </c>
      <c r="E2688" t="s">
        <v>17</v>
      </c>
      <c r="F2688" t="s">
        <v>551</v>
      </c>
      <c r="G2688" s="50" t="s">
        <v>205</v>
      </c>
      <c r="H2688" s="50">
        <v>2</v>
      </c>
      <c r="I2688" s="100">
        <v>6.7391919697301583</v>
      </c>
      <c r="J2688" s="52">
        <v>3834.68</v>
      </c>
      <c r="K2688" s="67">
        <f t="shared" si="168"/>
        <v>40288.683028813866</v>
      </c>
      <c r="L2688" s="95">
        <f>+VLOOKUP(E2688,MARGEN!A:B,2,FALSE)</f>
        <v>0.1</v>
      </c>
      <c r="M2688" s="112">
        <f t="shared" si="165"/>
        <v>4028.8683028813866</v>
      </c>
      <c r="N2688" s="113">
        <f t="shared" si="166"/>
        <v>161.15473211525546</v>
      </c>
      <c r="O2688" s="113">
        <f t="shared" si="167"/>
        <v>36098.659993817222</v>
      </c>
    </row>
    <row r="2689" spans="1:15" x14ac:dyDescent="0.25">
      <c r="A2689" s="13">
        <v>44454</v>
      </c>
      <c r="B2689" s="97">
        <v>1559</v>
      </c>
      <c r="C2689" t="s">
        <v>176</v>
      </c>
      <c r="D2689" s="94" t="s">
        <v>430</v>
      </c>
      <c r="E2689" t="s">
        <v>17</v>
      </c>
      <c r="F2689" t="s">
        <v>562</v>
      </c>
      <c r="G2689" s="50" t="s">
        <v>559</v>
      </c>
      <c r="H2689" s="50">
        <v>2</v>
      </c>
      <c r="I2689" s="100">
        <v>6.7391919697301583</v>
      </c>
      <c r="J2689" s="52">
        <v>3834.68</v>
      </c>
      <c r="K2689" s="67">
        <f t="shared" si="168"/>
        <v>40288.683028813866</v>
      </c>
      <c r="L2689" s="95">
        <f>+VLOOKUP(E2689,MARGEN!A:B,2,FALSE)</f>
        <v>0.1</v>
      </c>
      <c r="M2689" s="112">
        <f t="shared" si="165"/>
        <v>4028.8683028813866</v>
      </c>
      <c r="N2689" s="113">
        <f t="shared" si="166"/>
        <v>161.15473211525546</v>
      </c>
      <c r="O2689" s="113">
        <f t="shared" si="167"/>
        <v>36098.659993817222</v>
      </c>
    </row>
    <row r="2690" spans="1:15" x14ac:dyDescent="0.25">
      <c r="A2690" s="13">
        <v>44454</v>
      </c>
      <c r="B2690" s="97">
        <v>1535</v>
      </c>
      <c r="C2690" t="s">
        <v>152</v>
      </c>
      <c r="D2690" s="94" t="s">
        <v>425</v>
      </c>
      <c r="E2690" t="s">
        <v>17</v>
      </c>
      <c r="F2690" t="s">
        <v>551</v>
      </c>
      <c r="G2690" s="50" t="s">
        <v>205</v>
      </c>
      <c r="H2690" s="50">
        <v>2</v>
      </c>
      <c r="I2690" s="100">
        <v>6.7391919697301583</v>
      </c>
      <c r="J2690" s="52">
        <v>3834.68</v>
      </c>
      <c r="K2690" s="67">
        <f t="shared" si="168"/>
        <v>39668.459556914233</v>
      </c>
      <c r="L2690" s="95">
        <f>+VLOOKUP(E2690,MARGEN!A:B,2,FALSE)</f>
        <v>0.1</v>
      </c>
      <c r="M2690" s="112">
        <f t="shared" si="165"/>
        <v>3966.8459556914236</v>
      </c>
      <c r="N2690" s="113">
        <f t="shared" si="166"/>
        <v>158.67383822765694</v>
      </c>
      <c r="O2690" s="113">
        <f t="shared" si="167"/>
        <v>35542.939762995149</v>
      </c>
    </row>
    <row r="2691" spans="1:15" x14ac:dyDescent="0.25">
      <c r="A2691" s="13">
        <v>44454</v>
      </c>
      <c r="B2691" s="97">
        <v>1535</v>
      </c>
      <c r="C2691" t="s">
        <v>294</v>
      </c>
      <c r="D2691" s="94" t="s">
        <v>527</v>
      </c>
      <c r="E2691" t="s">
        <v>17</v>
      </c>
      <c r="F2691" t="s">
        <v>551</v>
      </c>
      <c r="G2691" s="50" t="s">
        <v>205</v>
      </c>
      <c r="H2691" s="50">
        <v>2</v>
      </c>
      <c r="I2691" s="100">
        <v>6.7391919697301583</v>
      </c>
      <c r="J2691" s="52">
        <v>3834.68</v>
      </c>
      <c r="K2691" s="67">
        <f t="shared" si="168"/>
        <v>39668.459556914233</v>
      </c>
      <c r="L2691" s="95">
        <f>+VLOOKUP(E2691,MARGEN!A:B,2,FALSE)</f>
        <v>0.1</v>
      </c>
      <c r="M2691" s="112">
        <f t="shared" ref="M2691:M2754" si="169">+K2691*L2691</f>
        <v>3966.8459556914236</v>
      </c>
      <c r="N2691" s="113">
        <f t="shared" ref="N2691:N2754" si="170">+K2691*4/1000</f>
        <v>158.67383822765694</v>
      </c>
      <c r="O2691" s="113">
        <f t="shared" ref="O2691:O2754" si="171">+K2691-M2691-N2691</f>
        <v>35542.939762995149</v>
      </c>
    </row>
    <row r="2692" spans="1:15" x14ac:dyDescent="0.25">
      <c r="A2692" s="13">
        <v>44454</v>
      </c>
      <c r="B2692" s="97">
        <v>1511</v>
      </c>
      <c r="C2692" t="s">
        <v>119</v>
      </c>
      <c r="D2692" s="94" t="s">
        <v>377</v>
      </c>
      <c r="E2692" t="s">
        <v>17</v>
      </c>
      <c r="F2692" t="s">
        <v>562</v>
      </c>
      <c r="G2692" s="50" t="s">
        <v>559</v>
      </c>
      <c r="H2692" s="50">
        <v>2</v>
      </c>
      <c r="I2692" s="100">
        <v>6.7391919697301583</v>
      </c>
      <c r="J2692" s="52">
        <v>3834.68</v>
      </c>
      <c r="K2692" s="67">
        <f t="shared" si="168"/>
        <v>39048.2360850146</v>
      </c>
      <c r="L2692" s="95">
        <f>+VLOOKUP(E2692,MARGEN!A:B,2,FALSE)</f>
        <v>0.1</v>
      </c>
      <c r="M2692" s="112">
        <f t="shared" si="169"/>
        <v>3904.8236085014601</v>
      </c>
      <c r="N2692" s="113">
        <f t="shared" si="170"/>
        <v>156.1929443400584</v>
      </c>
      <c r="O2692" s="113">
        <f t="shared" si="171"/>
        <v>34987.219532173083</v>
      </c>
    </row>
    <row r="2693" spans="1:15" x14ac:dyDescent="0.25">
      <c r="A2693" s="13">
        <v>44454</v>
      </c>
      <c r="B2693" s="97">
        <v>1511</v>
      </c>
      <c r="C2693" t="s">
        <v>291</v>
      </c>
      <c r="D2693" s="94" t="s">
        <v>492</v>
      </c>
      <c r="E2693" t="s">
        <v>17</v>
      </c>
      <c r="F2693" t="s">
        <v>558</v>
      </c>
      <c r="G2693" s="50" t="s">
        <v>559</v>
      </c>
      <c r="H2693" s="50">
        <v>2</v>
      </c>
      <c r="I2693" s="100">
        <v>6.7391919697301583</v>
      </c>
      <c r="J2693" s="52">
        <v>3834.68</v>
      </c>
      <c r="K2693" s="67">
        <f t="shared" si="168"/>
        <v>39048.2360850146</v>
      </c>
      <c r="L2693" s="95">
        <f>+VLOOKUP(E2693,MARGEN!A:B,2,FALSE)</f>
        <v>0.1</v>
      </c>
      <c r="M2693" s="112">
        <f t="shared" si="169"/>
        <v>3904.8236085014601</v>
      </c>
      <c r="N2693" s="113">
        <f t="shared" si="170"/>
        <v>156.1929443400584</v>
      </c>
      <c r="O2693" s="113">
        <f t="shared" si="171"/>
        <v>34987.219532173083</v>
      </c>
    </row>
    <row r="2694" spans="1:15" x14ac:dyDescent="0.25">
      <c r="A2694" s="13">
        <v>44454</v>
      </c>
      <c r="B2694" s="97">
        <v>1511</v>
      </c>
      <c r="C2694" t="s">
        <v>202</v>
      </c>
      <c r="D2694" s="94" t="s">
        <v>436</v>
      </c>
      <c r="E2694" t="s">
        <v>17</v>
      </c>
      <c r="F2694" t="s">
        <v>551</v>
      </c>
      <c r="G2694" s="50" t="s">
        <v>205</v>
      </c>
      <c r="H2694" s="50">
        <v>2</v>
      </c>
      <c r="I2694" s="100">
        <v>6.7391919697301583</v>
      </c>
      <c r="J2694" s="52">
        <v>3834.68</v>
      </c>
      <c r="K2694" s="67">
        <f t="shared" si="168"/>
        <v>39048.2360850146</v>
      </c>
      <c r="L2694" s="95">
        <f>+VLOOKUP(E2694,MARGEN!A:B,2,FALSE)</f>
        <v>0.1</v>
      </c>
      <c r="M2694" s="112">
        <f t="shared" si="169"/>
        <v>3904.8236085014601</v>
      </c>
      <c r="N2694" s="113">
        <f t="shared" si="170"/>
        <v>156.1929443400584</v>
      </c>
      <c r="O2694" s="113">
        <f t="shared" si="171"/>
        <v>34987.219532173083</v>
      </c>
    </row>
    <row r="2695" spans="1:15" x14ac:dyDescent="0.25">
      <c r="A2695" s="13">
        <v>44454</v>
      </c>
      <c r="B2695" s="97">
        <v>1487</v>
      </c>
      <c r="C2695" t="s">
        <v>169</v>
      </c>
      <c r="D2695" s="94" t="s">
        <v>351</v>
      </c>
      <c r="E2695" t="s">
        <v>17</v>
      </c>
      <c r="F2695" t="s">
        <v>566</v>
      </c>
      <c r="G2695" s="50" t="s">
        <v>559</v>
      </c>
      <c r="H2695" s="50">
        <v>2</v>
      </c>
      <c r="I2695" s="100">
        <v>6.7391919697301583</v>
      </c>
      <c r="J2695" s="52">
        <v>3834.68</v>
      </c>
      <c r="K2695" s="67">
        <f t="shared" si="168"/>
        <v>38428.012613114959</v>
      </c>
      <c r="L2695" s="95">
        <f>+VLOOKUP(E2695,MARGEN!A:B,2,FALSE)</f>
        <v>0.1</v>
      </c>
      <c r="M2695" s="112">
        <f t="shared" si="169"/>
        <v>3842.8012613114961</v>
      </c>
      <c r="N2695" s="113">
        <f t="shared" si="170"/>
        <v>153.71205045245983</v>
      </c>
      <c r="O2695" s="113">
        <f t="shared" si="171"/>
        <v>34431.499301351003</v>
      </c>
    </row>
    <row r="2696" spans="1:15" x14ac:dyDescent="0.25">
      <c r="A2696" s="13">
        <v>44454</v>
      </c>
      <c r="B2696" s="97">
        <v>1463</v>
      </c>
      <c r="C2696" t="s">
        <v>297</v>
      </c>
      <c r="D2696" s="94" t="s">
        <v>526</v>
      </c>
      <c r="E2696" t="s">
        <v>17</v>
      </c>
      <c r="F2696" t="s">
        <v>566</v>
      </c>
      <c r="G2696" s="50" t="s">
        <v>559</v>
      </c>
      <c r="H2696" s="50">
        <v>2</v>
      </c>
      <c r="I2696" s="100">
        <v>6.7391919697301583</v>
      </c>
      <c r="J2696" s="52">
        <v>3834.68</v>
      </c>
      <c r="K2696" s="67">
        <f t="shared" si="168"/>
        <v>37807.789141215326</v>
      </c>
      <c r="L2696" s="95">
        <f>+VLOOKUP(E2696,MARGEN!A:B,2,FALSE)</f>
        <v>0.1</v>
      </c>
      <c r="M2696" s="112">
        <f t="shared" si="169"/>
        <v>3780.7789141215326</v>
      </c>
      <c r="N2696" s="113">
        <f t="shared" si="170"/>
        <v>151.23115656486129</v>
      </c>
      <c r="O2696" s="113">
        <f t="shared" si="171"/>
        <v>33875.77907052893</v>
      </c>
    </row>
    <row r="2697" spans="1:15" x14ac:dyDescent="0.25">
      <c r="A2697" s="13">
        <v>44454</v>
      </c>
      <c r="B2697" s="97">
        <v>1439</v>
      </c>
      <c r="C2697" s="88" t="s">
        <v>200</v>
      </c>
      <c r="D2697" t="s">
        <v>428</v>
      </c>
      <c r="E2697" t="s">
        <v>17</v>
      </c>
      <c r="F2697" t="s">
        <v>566</v>
      </c>
      <c r="G2697" s="50" t="s">
        <v>559</v>
      </c>
      <c r="H2697" s="50">
        <v>2</v>
      </c>
      <c r="I2697" s="100">
        <v>6.7391919697301583</v>
      </c>
      <c r="J2697" s="52">
        <v>3834.68</v>
      </c>
      <c r="K2697" s="67">
        <f t="shared" ref="K2697:K2760" si="172">+B2697*I2697*J2697/1000</f>
        <v>37187.565669315685</v>
      </c>
      <c r="L2697" s="95">
        <f>+VLOOKUP(E2697,MARGEN!A:B,2,FALSE)</f>
        <v>0.1</v>
      </c>
      <c r="M2697" s="112">
        <f t="shared" si="169"/>
        <v>3718.7565669315686</v>
      </c>
      <c r="N2697" s="113">
        <f t="shared" si="170"/>
        <v>148.75026267726275</v>
      </c>
      <c r="O2697" s="113">
        <f t="shared" si="171"/>
        <v>33320.058839706857</v>
      </c>
    </row>
    <row r="2698" spans="1:15" x14ac:dyDescent="0.25">
      <c r="A2698" s="13">
        <v>44454</v>
      </c>
      <c r="B2698" s="97">
        <v>1439</v>
      </c>
      <c r="C2698" t="s">
        <v>210</v>
      </c>
      <c r="D2698" s="94" t="s">
        <v>402</v>
      </c>
      <c r="E2698" t="s">
        <v>17</v>
      </c>
      <c r="F2698" t="s">
        <v>566</v>
      </c>
      <c r="G2698" s="50" t="s">
        <v>559</v>
      </c>
      <c r="H2698" s="50">
        <v>2</v>
      </c>
      <c r="I2698" s="100">
        <v>6.7391919697301583</v>
      </c>
      <c r="J2698" s="52">
        <v>3834.68</v>
      </c>
      <c r="K2698" s="67">
        <f t="shared" si="172"/>
        <v>37187.565669315685</v>
      </c>
      <c r="L2698" s="95">
        <f>+VLOOKUP(E2698,MARGEN!A:B,2,FALSE)</f>
        <v>0.1</v>
      </c>
      <c r="M2698" s="112">
        <f t="shared" si="169"/>
        <v>3718.7565669315686</v>
      </c>
      <c r="N2698" s="113">
        <f t="shared" si="170"/>
        <v>148.75026267726275</v>
      </c>
      <c r="O2698" s="113">
        <f t="shared" si="171"/>
        <v>33320.058839706857</v>
      </c>
    </row>
    <row r="2699" spans="1:15" x14ac:dyDescent="0.25">
      <c r="A2699" s="13">
        <v>44454</v>
      </c>
      <c r="B2699" s="97">
        <v>1439</v>
      </c>
      <c r="C2699" t="s">
        <v>168</v>
      </c>
      <c r="D2699" s="94" t="s">
        <v>352</v>
      </c>
      <c r="E2699" t="s">
        <v>17</v>
      </c>
      <c r="F2699" t="s">
        <v>562</v>
      </c>
      <c r="G2699" s="50" t="s">
        <v>559</v>
      </c>
      <c r="H2699" s="50">
        <v>2</v>
      </c>
      <c r="I2699" s="100">
        <v>6.7391919697301583</v>
      </c>
      <c r="J2699" s="52">
        <v>3834.68</v>
      </c>
      <c r="K2699" s="67">
        <f t="shared" si="172"/>
        <v>37187.565669315685</v>
      </c>
      <c r="L2699" s="95">
        <f>+VLOOKUP(E2699,MARGEN!A:B,2,FALSE)</f>
        <v>0.1</v>
      </c>
      <c r="M2699" s="112">
        <f t="shared" si="169"/>
        <v>3718.7565669315686</v>
      </c>
      <c r="N2699" s="113">
        <f t="shared" si="170"/>
        <v>148.75026267726275</v>
      </c>
      <c r="O2699" s="113">
        <f t="shared" si="171"/>
        <v>33320.058839706857</v>
      </c>
    </row>
    <row r="2700" spans="1:15" x14ac:dyDescent="0.25">
      <c r="A2700" s="13">
        <v>44454</v>
      </c>
      <c r="B2700" s="51">
        <v>1367</v>
      </c>
      <c r="C2700" s="66" t="s">
        <v>173</v>
      </c>
      <c r="D2700" s="66" t="s">
        <v>451</v>
      </c>
      <c r="E2700" t="s">
        <v>17</v>
      </c>
      <c r="F2700" s="50" t="s">
        <v>562</v>
      </c>
      <c r="G2700" s="50" t="s">
        <v>559</v>
      </c>
      <c r="H2700" s="50">
        <v>2</v>
      </c>
      <c r="I2700" s="100">
        <v>6.7391919697301583</v>
      </c>
      <c r="J2700" s="52">
        <v>3834.68</v>
      </c>
      <c r="K2700" s="67">
        <f t="shared" si="172"/>
        <v>35326.895253616778</v>
      </c>
      <c r="L2700" s="95">
        <f>+VLOOKUP(E2700,MARGEN!A:B,2,FALSE)</f>
        <v>0.1</v>
      </c>
      <c r="M2700" s="112">
        <f t="shared" si="169"/>
        <v>3532.6895253616781</v>
      </c>
      <c r="N2700" s="113">
        <f t="shared" si="170"/>
        <v>141.3075810144671</v>
      </c>
      <c r="O2700" s="113">
        <f t="shared" si="171"/>
        <v>31652.898147240634</v>
      </c>
    </row>
    <row r="2701" spans="1:15" x14ac:dyDescent="0.25">
      <c r="A2701" s="13">
        <v>44454</v>
      </c>
      <c r="B2701" s="97">
        <v>1343</v>
      </c>
      <c r="C2701" t="s">
        <v>292</v>
      </c>
      <c r="D2701" s="94" t="s">
        <v>535</v>
      </c>
      <c r="E2701" t="s">
        <v>17</v>
      </c>
      <c r="F2701" t="s">
        <v>566</v>
      </c>
      <c r="G2701" s="50" t="s">
        <v>559</v>
      </c>
      <c r="H2701" s="50">
        <v>2</v>
      </c>
      <c r="I2701" s="100">
        <v>6.7391919697301583</v>
      </c>
      <c r="J2701" s="52">
        <v>3834.68</v>
      </c>
      <c r="K2701" s="67">
        <f t="shared" si="172"/>
        <v>34706.671781717145</v>
      </c>
      <c r="L2701" s="95">
        <f>+VLOOKUP(E2701,MARGEN!A:B,2,FALSE)</f>
        <v>0.1</v>
      </c>
      <c r="M2701" s="112">
        <f t="shared" si="169"/>
        <v>3470.6671781717146</v>
      </c>
      <c r="N2701" s="113">
        <f t="shared" si="170"/>
        <v>138.82668712686859</v>
      </c>
      <c r="O2701" s="113">
        <f t="shared" si="171"/>
        <v>31097.177916418561</v>
      </c>
    </row>
    <row r="2702" spans="1:15" x14ac:dyDescent="0.25">
      <c r="A2702" s="13">
        <v>44454</v>
      </c>
      <c r="B2702" s="97">
        <v>1319</v>
      </c>
      <c r="C2702" t="s">
        <v>141</v>
      </c>
      <c r="D2702" s="94" t="s">
        <v>450</v>
      </c>
      <c r="E2702" t="s">
        <v>17</v>
      </c>
      <c r="F2702" t="s">
        <v>551</v>
      </c>
      <c r="G2702" s="50" t="s">
        <v>205</v>
      </c>
      <c r="H2702" s="50">
        <v>2</v>
      </c>
      <c r="I2702" s="100">
        <v>6.7391919697301583</v>
      </c>
      <c r="J2702" s="52">
        <v>3834.68</v>
      </c>
      <c r="K2702" s="67">
        <f t="shared" si="172"/>
        <v>34086.448309817511</v>
      </c>
      <c r="L2702" s="95">
        <f>+VLOOKUP(E2702,MARGEN!A:B,2,FALSE)</f>
        <v>0.1</v>
      </c>
      <c r="M2702" s="112">
        <f t="shared" si="169"/>
        <v>3408.6448309817515</v>
      </c>
      <c r="N2702" s="113">
        <f t="shared" si="170"/>
        <v>136.34579323927005</v>
      </c>
      <c r="O2702" s="113">
        <f t="shared" si="171"/>
        <v>30541.457685596492</v>
      </c>
    </row>
    <row r="2703" spans="1:15" x14ac:dyDescent="0.25">
      <c r="A2703" s="13">
        <v>44454</v>
      </c>
      <c r="B2703" s="97">
        <v>1319</v>
      </c>
      <c r="C2703" t="s">
        <v>118</v>
      </c>
      <c r="D2703" s="94" t="s">
        <v>329</v>
      </c>
      <c r="E2703" t="s">
        <v>17</v>
      </c>
      <c r="F2703" t="s">
        <v>551</v>
      </c>
      <c r="G2703" s="50" t="s">
        <v>205</v>
      </c>
      <c r="H2703" s="50">
        <v>2</v>
      </c>
      <c r="I2703" s="100">
        <v>6.7391919697301583</v>
      </c>
      <c r="J2703" s="52">
        <v>3834.68</v>
      </c>
      <c r="K2703" s="67">
        <f t="shared" si="172"/>
        <v>34086.448309817511</v>
      </c>
      <c r="L2703" s="95">
        <f>+VLOOKUP(E2703,MARGEN!A:B,2,FALSE)</f>
        <v>0.1</v>
      </c>
      <c r="M2703" s="112">
        <f t="shared" si="169"/>
        <v>3408.6448309817515</v>
      </c>
      <c r="N2703" s="113">
        <f t="shared" si="170"/>
        <v>136.34579323927005</v>
      </c>
      <c r="O2703" s="113">
        <f t="shared" si="171"/>
        <v>30541.457685596492</v>
      </c>
    </row>
    <row r="2704" spans="1:15" x14ac:dyDescent="0.25">
      <c r="A2704" s="13">
        <v>44454</v>
      </c>
      <c r="B2704" s="97">
        <v>1295</v>
      </c>
      <c r="C2704" t="s">
        <v>302</v>
      </c>
      <c r="D2704" s="94" t="s">
        <v>538</v>
      </c>
      <c r="E2704" t="s">
        <v>17</v>
      </c>
      <c r="F2704" t="s">
        <v>551</v>
      </c>
      <c r="G2704" s="50" t="s">
        <v>205</v>
      </c>
      <c r="H2704" s="50">
        <v>2</v>
      </c>
      <c r="I2704" s="100">
        <v>6.7391919697301583</v>
      </c>
      <c r="J2704" s="52">
        <v>3834.68</v>
      </c>
      <c r="K2704" s="67">
        <f t="shared" si="172"/>
        <v>33466.224837917871</v>
      </c>
      <c r="L2704" s="95">
        <f>+VLOOKUP(E2704,MARGEN!A:B,2,FALSE)</f>
        <v>0.1</v>
      </c>
      <c r="M2704" s="112">
        <f t="shared" si="169"/>
        <v>3346.6224837917871</v>
      </c>
      <c r="N2704" s="113">
        <f t="shared" si="170"/>
        <v>133.86489935167148</v>
      </c>
      <c r="O2704" s="113">
        <f t="shared" si="171"/>
        <v>29985.737454774411</v>
      </c>
    </row>
    <row r="2705" spans="1:15" x14ac:dyDescent="0.25">
      <c r="A2705" s="13">
        <v>44454</v>
      </c>
      <c r="B2705" s="97">
        <v>1295</v>
      </c>
      <c r="C2705" t="s">
        <v>303</v>
      </c>
      <c r="D2705" s="94" t="s">
        <v>539</v>
      </c>
      <c r="E2705" t="s">
        <v>17</v>
      </c>
      <c r="F2705" t="s">
        <v>566</v>
      </c>
      <c r="G2705" s="50" t="s">
        <v>559</v>
      </c>
      <c r="H2705" s="50">
        <v>2</v>
      </c>
      <c r="I2705" s="100">
        <v>6.7391919697301583</v>
      </c>
      <c r="J2705" s="52">
        <v>3834.68</v>
      </c>
      <c r="K2705" s="67">
        <f t="shared" si="172"/>
        <v>33466.224837917871</v>
      </c>
      <c r="L2705" s="95">
        <f>+VLOOKUP(E2705,MARGEN!A:B,2,FALSE)</f>
        <v>0.1</v>
      </c>
      <c r="M2705" s="112">
        <f t="shared" si="169"/>
        <v>3346.6224837917871</v>
      </c>
      <c r="N2705" s="113">
        <f t="shared" si="170"/>
        <v>133.86489935167148</v>
      </c>
      <c r="O2705" s="113">
        <f t="shared" si="171"/>
        <v>29985.737454774411</v>
      </c>
    </row>
    <row r="2706" spans="1:15" x14ac:dyDescent="0.25">
      <c r="A2706" s="13">
        <v>44454</v>
      </c>
      <c r="B2706" s="97">
        <v>1295</v>
      </c>
      <c r="C2706" t="s">
        <v>151</v>
      </c>
      <c r="D2706" s="94" t="s">
        <v>394</v>
      </c>
      <c r="E2706" t="s">
        <v>17</v>
      </c>
      <c r="F2706" t="s">
        <v>566</v>
      </c>
      <c r="G2706" s="50" t="s">
        <v>559</v>
      </c>
      <c r="H2706" s="50">
        <v>2</v>
      </c>
      <c r="I2706" s="100">
        <v>6.7391919697301583</v>
      </c>
      <c r="J2706" s="52">
        <v>3834.68</v>
      </c>
      <c r="K2706" s="67">
        <f t="shared" si="172"/>
        <v>33466.224837917871</v>
      </c>
      <c r="L2706" s="95">
        <f>+VLOOKUP(E2706,MARGEN!A:B,2,FALSE)</f>
        <v>0.1</v>
      </c>
      <c r="M2706" s="112">
        <f t="shared" si="169"/>
        <v>3346.6224837917871</v>
      </c>
      <c r="N2706" s="113">
        <f t="shared" si="170"/>
        <v>133.86489935167148</v>
      </c>
      <c r="O2706" s="113">
        <f t="shared" si="171"/>
        <v>29985.737454774411</v>
      </c>
    </row>
    <row r="2707" spans="1:15" x14ac:dyDescent="0.25">
      <c r="A2707" s="13">
        <v>44454</v>
      </c>
      <c r="B2707" s="97">
        <v>1295</v>
      </c>
      <c r="C2707" t="s">
        <v>211</v>
      </c>
      <c r="D2707" s="94" t="s">
        <v>382</v>
      </c>
      <c r="E2707" t="s">
        <v>17</v>
      </c>
      <c r="F2707" t="s">
        <v>566</v>
      </c>
      <c r="G2707" s="50" t="s">
        <v>559</v>
      </c>
      <c r="H2707" s="50">
        <v>2</v>
      </c>
      <c r="I2707" s="100">
        <v>6.7391919697301583</v>
      </c>
      <c r="J2707" s="52">
        <v>3834.68</v>
      </c>
      <c r="K2707" s="67">
        <f t="shared" si="172"/>
        <v>33466.224837917871</v>
      </c>
      <c r="L2707" s="95">
        <f>+VLOOKUP(E2707,MARGEN!A:B,2,FALSE)</f>
        <v>0.1</v>
      </c>
      <c r="M2707" s="112">
        <f t="shared" si="169"/>
        <v>3346.6224837917871</v>
      </c>
      <c r="N2707" s="113">
        <f t="shared" si="170"/>
        <v>133.86489935167148</v>
      </c>
      <c r="O2707" s="113">
        <f t="shared" si="171"/>
        <v>29985.737454774411</v>
      </c>
    </row>
    <row r="2708" spans="1:15" x14ac:dyDescent="0.25">
      <c r="A2708" s="13">
        <v>44454</v>
      </c>
      <c r="B2708" s="51">
        <v>1295</v>
      </c>
      <c r="C2708" s="66" t="s">
        <v>298</v>
      </c>
      <c r="D2708" s="66" t="s">
        <v>536</v>
      </c>
      <c r="E2708" t="s">
        <v>17</v>
      </c>
      <c r="F2708" s="50" t="s">
        <v>562</v>
      </c>
      <c r="G2708" s="50" t="s">
        <v>559</v>
      </c>
      <c r="H2708" s="50">
        <v>2</v>
      </c>
      <c r="I2708" s="100">
        <v>6.7391919697301583</v>
      </c>
      <c r="J2708" s="52">
        <v>3834.68</v>
      </c>
      <c r="K2708" s="67">
        <f t="shared" si="172"/>
        <v>33466.224837917871</v>
      </c>
      <c r="L2708" s="95">
        <f>+VLOOKUP(E2708,MARGEN!A:B,2,FALSE)</f>
        <v>0.1</v>
      </c>
      <c r="M2708" s="112">
        <f t="shared" si="169"/>
        <v>3346.6224837917871</v>
      </c>
      <c r="N2708" s="113">
        <f t="shared" si="170"/>
        <v>133.86489935167148</v>
      </c>
      <c r="O2708" s="113">
        <f t="shared" si="171"/>
        <v>29985.737454774411</v>
      </c>
    </row>
    <row r="2709" spans="1:15" x14ac:dyDescent="0.25">
      <c r="A2709" s="13">
        <v>44454</v>
      </c>
      <c r="B2709" s="97">
        <v>1295</v>
      </c>
      <c r="C2709" t="s">
        <v>183</v>
      </c>
      <c r="D2709" s="94" t="s">
        <v>390</v>
      </c>
      <c r="E2709" t="s">
        <v>17</v>
      </c>
      <c r="F2709" t="s">
        <v>551</v>
      </c>
      <c r="G2709" s="50" t="s">
        <v>205</v>
      </c>
      <c r="H2709" s="50">
        <v>2</v>
      </c>
      <c r="I2709" s="100">
        <v>6.7391919697301583</v>
      </c>
      <c r="J2709" s="52">
        <v>3834.68</v>
      </c>
      <c r="K2709" s="67">
        <f t="shared" si="172"/>
        <v>33466.224837917871</v>
      </c>
      <c r="L2709" s="95">
        <f>+VLOOKUP(E2709,MARGEN!A:B,2,FALSE)</f>
        <v>0.1</v>
      </c>
      <c r="M2709" s="112">
        <f t="shared" si="169"/>
        <v>3346.6224837917871</v>
      </c>
      <c r="N2709" s="113">
        <f t="shared" si="170"/>
        <v>133.86489935167148</v>
      </c>
      <c r="O2709" s="113">
        <f t="shared" si="171"/>
        <v>29985.737454774411</v>
      </c>
    </row>
    <row r="2710" spans="1:15" x14ac:dyDescent="0.25">
      <c r="A2710" s="13">
        <v>44454</v>
      </c>
      <c r="B2710" s="97">
        <v>1223</v>
      </c>
      <c r="C2710" t="s">
        <v>199</v>
      </c>
      <c r="D2710" s="94" t="s">
        <v>414</v>
      </c>
      <c r="E2710" t="s">
        <v>17</v>
      </c>
      <c r="F2710" t="s">
        <v>566</v>
      </c>
      <c r="G2710" s="50" t="s">
        <v>559</v>
      </c>
      <c r="H2710" s="50">
        <v>2</v>
      </c>
      <c r="I2710" s="100">
        <v>6.7391919697301583</v>
      </c>
      <c r="J2710" s="52">
        <v>3834.68</v>
      </c>
      <c r="K2710" s="67">
        <f t="shared" si="172"/>
        <v>31605.55442221896</v>
      </c>
      <c r="L2710" s="95">
        <f>+VLOOKUP(E2710,MARGEN!A:B,2,FALSE)</f>
        <v>0.1</v>
      </c>
      <c r="M2710" s="112">
        <f t="shared" si="169"/>
        <v>3160.5554422218961</v>
      </c>
      <c r="N2710" s="113">
        <f t="shared" si="170"/>
        <v>126.42221768887585</v>
      </c>
      <c r="O2710" s="113">
        <f t="shared" si="171"/>
        <v>28318.576762308188</v>
      </c>
    </row>
    <row r="2711" spans="1:15" x14ac:dyDescent="0.25">
      <c r="A2711" s="13">
        <v>44454</v>
      </c>
      <c r="B2711" s="97">
        <v>1199</v>
      </c>
      <c r="C2711" t="s">
        <v>308</v>
      </c>
      <c r="D2711" s="94" t="s">
        <v>500</v>
      </c>
      <c r="E2711" t="s">
        <v>17</v>
      </c>
      <c r="F2711" t="s">
        <v>566</v>
      </c>
      <c r="G2711" s="50" t="s">
        <v>559</v>
      </c>
      <c r="H2711" s="50">
        <v>2</v>
      </c>
      <c r="I2711" s="100">
        <v>6.7391919697301583</v>
      </c>
      <c r="J2711" s="52">
        <v>3834.68</v>
      </c>
      <c r="K2711" s="67">
        <f t="shared" si="172"/>
        <v>30985.330950319327</v>
      </c>
      <c r="L2711" s="95">
        <f>+VLOOKUP(E2711,MARGEN!A:B,2,FALSE)</f>
        <v>0.1</v>
      </c>
      <c r="M2711" s="112">
        <f t="shared" si="169"/>
        <v>3098.533095031933</v>
      </c>
      <c r="N2711" s="113">
        <f t="shared" si="170"/>
        <v>123.94132380127731</v>
      </c>
      <c r="O2711" s="113">
        <f t="shared" si="171"/>
        <v>27762.856531486115</v>
      </c>
    </row>
    <row r="2712" spans="1:15" x14ac:dyDescent="0.25">
      <c r="A2712" s="13">
        <v>44454</v>
      </c>
      <c r="B2712" s="97">
        <v>1199</v>
      </c>
      <c r="C2712" t="s">
        <v>299</v>
      </c>
      <c r="D2712" s="94" t="s">
        <v>537</v>
      </c>
      <c r="E2712" t="s">
        <v>17</v>
      </c>
      <c r="F2712" t="s">
        <v>566</v>
      </c>
      <c r="G2712" s="50" t="s">
        <v>559</v>
      </c>
      <c r="H2712" s="50">
        <v>2</v>
      </c>
      <c r="I2712" s="100">
        <v>6.7391919697301583</v>
      </c>
      <c r="J2712" s="52">
        <v>3834.68</v>
      </c>
      <c r="K2712" s="67">
        <f t="shared" si="172"/>
        <v>30985.330950319327</v>
      </c>
      <c r="L2712" s="95">
        <f>+VLOOKUP(E2712,MARGEN!A:B,2,FALSE)</f>
        <v>0.1</v>
      </c>
      <c r="M2712" s="112">
        <f t="shared" si="169"/>
        <v>3098.533095031933</v>
      </c>
      <c r="N2712" s="113">
        <f t="shared" si="170"/>
        <v>123.94132380127731</v>
      </c>
      <c r="O2712" s="113">
        <f t="shared" si="171"/>
        <v>27762.856531486115</v>
      </c>
    </row>
    <row r="2713" spans="1:15" x14ac:dyDescent="0.25">
      <c r="A2713" s="13">
        <v>44454</v>
      </c>
      <c r="B2713" s="97">
        <v>1175</v>
      </c>
      <c r="C2713" t="s">
        <v>201</v>
      </c>
      <c r="D2713" s="94" t="s">
        <v>374</v>
      </c>
      <c r="E2713" t="s">
        <v>17</v>
      </c>
      <c r="F2713" t="s">
        <v>566</v>
      </c>
      <c r="G2713" s="50" t="s">
        <v>559</v>
      </c>
      <c r="H2713" s="50">
        <v>2</v>
      </c>
      <c r="I2713" s="100">
        <v>6.7391919697301583</v>
      </c>
      <c r="J2713" s="52">
        <v>3834.68</v>
      </c>
      <c r="K2713" s="67">
        <f t="shared" si="172"/>
        <v>30365.10747841969</v>
      </c>
      <c r="L2713" s="95">
        <f>+VLOOKUP(E2713,MARGEN!A:B,2,FALSE)</f>
        <v>0.1</v>
      </c>
      <c r="M2713" s="112">
        <f t="shared" si="169"/>
        <v>3036.5107478419691</v>
      </c>
      <c r="N2713" s="113">
        <f t="shared" si="170"/>
        <v>121.46042991367877</v>
      </c>
      <c r="O2713" s="113">
        <f t="shared" si="171"/>
        <v>27207.136300664042</v>
      </c>
    </row>
    <row r="2714" spans="1:15" x14ac:dyDescent="0.25">
      <c r="A2714" s="13">
        <v>44454</v>
      </c>
      <c r="B2714" s="97">
        <v>1151</v>
      </c>
      <c r="C2714" t="s">
        <v>184</v>
      </c>
      <c r="D2714" t="s">
        <v>443</v>
      </c>
      <c r="E2714" t="s">
        <v>17</v>
      </c>
      <c r="F2714" t="s">
        <v>551</v>
      </c>
      <c r="G2714" s="50" t="s">
        <v>205</v>
      </c>
      <c r="H2714" s="50">
        <v>2</v>
      </c>
      <c r="I2714" s="100">
        <v>6.7391919697301583</v>
      </c>
      <c r="J2714" s="52">
        <v>3834.68</v>
      </c>
      <c r="K2714" s="67">
        <f t="shared" si="172"/>
        <v>29744.884006520053</v>
      </c>
      <c r="L2714" s="95">
        <f>+VLOOKUP(E2714,MARGEN!A:B,2,FALSE)</f>
        <v>0.1</v>
      </c>
      <c r="M2714" s="112">
        <f t="shared" si="169"/>
        <v>2974.4884006520056</v>
      </c>
      <c r="N2714" s="113">
        <f t="shared" si="170"/>
        <v>118.97953602608021</v>
      </c>
      <c r="O2714" s="113">
        <f t="shared" si="171"/>
        <v>26651.416069841969</v>
      </c>
    </row>
    <row r="2715" spans="1:15" x14ac:dyDescent="0.25">
      <c r="A2715" s="13">
        <v>44454</v>
      </c>
      <c r="B2715" s="97">
        <v>1127</v>
      </c>
      <c r="C2715" s="88" t="s">
        <v>153</v>
      </c>
      <c r="D2715" t="s">
        <v>444</v>
      </c>
      <c r="E2715" t="s">
        <v>17</v>
      </c>
      <c r="F2715" t="s">
        <v>558</v>
      </c>
      <c r="G2715" s="50" t="s">
        <v>559</v>
      </c>
      <c r="H2715" s="50">
        <v>2</v>
      </c>
      <c r="I2715" s="100">
        <v>6.7391919697301583</v>
      </c>
      <c r="J2715" s="52">
        <v>3834.68</v>
      </c>
      <c r="K2715" s="67">
        <f t="shared" si="172"/>
        <v>29124.660534620416</v>
      </c>
      <c r="L2715" s="95">
        <f>+VLOOKUP(E2715,MARGEN!A:B,2,FALSE)</f>
        <v>0.1</v>
      </c>
      <c r="M2715" s="112">
        <f t="shared" si="169"/>
        <v>2912.4660534620416</v>
      </c>
      <c r="N2715" s="113">
        <f t="shared" si="170"/>
        <v>116.49864213848167</v>
      </c>
      <c r="O2715" s="113">
        <f t="shared" si="171"/>
        <v>26095.695839019892</v>
      </c>
    </row>
    <row r="2716" spans="1:15" x14ac:dyDescent="0.25">
      <c r="A2716" s="13">
        <v>44454</v>
      </c>
      <c r="B2716" s="97">
        <v>911</v>
      </c>
      <c r="C2716" t="s">
        <v>182</v>
      </c>
      <c r="D2716" s="94" t="s">
        <v>455</v>
      </c>
      <c r="E2716" t="s">
        <v>17</v>
      </c>
      <c r="F2716" t="s">
        <v>551</v>
      </c>
      <c r="G2716" s="50" t="s">
        <v>205</v>
      </c>
      <c r="H2716" s="50">
        <v>2</v>
      </c>
      <c r="I2716" s="100">
        <v>6.7391919697301583</v>
      </c>
      <c r="J2716" s="52">
        <v>3834.68</v>
      </c>
      <c r="K2716" s="67">
        <f t="shared" si="172"/>
        <v>23542.649287523691</v>
      </c>
      <c r="L2716" s="95">
        <f>+VLOOKUP(E2716,MARGEN!A:B,2,FALSE)</f>
        <v>0.1</v>
      </c>
      <c r="M2716" s="112">
        <f t="shared" si="169"/>
        <v>2354.2649287523691</v>
      </c>
      <c r="N2716" s="113">
        <f t="shared" si="170"/>
        <v>94.170597150094764</v>
      </c>
      <c r="O2716" s="113">
        <f t="shared" si="171"/>
        <v>21094.213761621224</v>
      </c>
    </row>
    <row r="2717" spans="1:15" x14ac:dyDescent="0.25">
      <c r="A2717" s="13">
        <v>44454</v>
      </c>
      <c r="B2717" s="97">
        <v>791</v>
      </c>
      <c r="C2717" t="s">
        <v>307</v>
      </c>
      <c r="D2717" s="94" t="s">
        <v>497</v>
      </c>
      <c r="E2717" t="s">
        <v>17</v>
      </c>
      <c r="F2717" t="s">
        <v>551</v>
      </c>
      <c r="G2717" s="50" t="s">
        <v>205</v>
      </c>
      <c r="H2717" s="50">
        <v>2</v>
      </c>
      <c r="I2717" s="100">
        <v>6.7391919697301583</v>
      </c>
      <c r="J2717" s="52">
        <v>3834.68</v>
      </c>
      <c r="K2717" s="67">
        <f t="shared" si="172"/>
        <v>20441.53192802551</v>
      </c>
      <c r="L2717" s="95">
        <f>+VLOOKUP(E2717,MARGEN!A:B,2,FALSE)</f>
        <v>0.1</v>
      </c>
      <c r="M2717" s="112">
        <f t="shared" si="169"/>
        <v>2044.1531928025511</v>
      </c>
      <c r="N2717" s="113">
        <f t="shared" si="170"/>
        <v>81.766127712102033</v>
      </c>
      <c r="O2717" s="113">
        <f t="shared" si="171"/>
        <v>18315.612607510859</v>
      </c>
    </row>
    <row r="2718" spans="1:15" x14ac:dyDescent="0.25">
      <c r="A2718" s="13">
        <v>44454</v>
      </c>
      <c r="B2718" s="97">
        <v>767</v>
      </c>
      <c r="C2718" t="s">
        <v>181</v>
      </c>
      <c r="D2718" s="94" t="s">
        <v>415</v>
      </c>
      <c r="E2718" t="s">
        <v>17</v>
      </c>
      <c r="F2718" t="s">
        <v>562</v>
      </c>
      <c r="G2718" s="50" t="s">
        <v>559</v>
      </c>
      <c r="H2718" s="50">
        <v>2</v>
      </c>
      <c r="I2718" s="100">
        <v>6.7391919697301583</v>
      </c>
      <c r="J2718" s="52">
        <v>3834.68</v>
      </c>
      <c r="K2718" s="67">
        <f t="shared" si="172"/>
        <v>19821.308456125873</v>
      </c>
      <c r="L2718" s="95">
        <f>+VLOOKUP(E2718,MARGEN!A:B,2,FALSE)</f>
        <v>0.1</v>
      </c>
      <c r="M2718" s="112">
        <f t="shared" si="169"/>
        <v>1982.1308456125873</v>
      </c>
      <c r="N2718" s="113">
        <f t="shared" si="170"/>
        <v>79.285233824503493</v>
      </c>
      <c r="O2718" s="113">
        <f t="shared" si="171"/>
        <v>17759.892376688782</v>
      </c>
    </row>
    <row r="2719" spans="1:15" x14ac:dyDescent="0.25">
      <c r="A2719" s="13">
        <v>44455</v>
      </c>
      <c r="B2719" s="97">
        <v>6766</v>
      </c>
      <c r="C2719" t="s">
        <v>150</v>
      </c>
      <c r="D2719" s="94" t="s">
        <v>357</v>
      </c>
      <c r="E2719" t="s">
        <v>17</v>
      </c>
      <c r="F2719" t="s">
        <v>566</v>
      </c>
      <c r="G2719" s="50" t="s">
        <v>559</v>
      </c>
      <c r="H2719" s="50">
        <v>2</v>
      </c>
      <c r="I2719" s="100">
        <v>6.7391919697301583</v>
      </c>
      <c r="J2719" s="52">
        <v>3834.68</v>
      </c>
      <c r="K2719" s="67">
        <f t="shared" si="172"/>
        <v>174851.33378637244</v>
      </c>
      <c r="L2719" s="95">
        <f>+VLOOKUP(E2719,MARGEN!A:B,2,FALSE)</f>
        <v>0.1</v>
      </c>
      <c r="M2719" s="112">
        <f t="shared" si="169"/>
        <v>17485.133378637245</v>
      </c>
      <c r="N2719" s="113">
        <f t="shared" si="170"/>
        <v>699.40533514548974</v>
      </c>
      <c r="O2719" s="113">
        <f t="shared" si="171"/>
        <v>156666.79507258971</v>
      </c>
    </row>
    <row r="2720" spans="1:15" x14ac:dyDescent="0.25">
      <c r="A2720" s="13">
        <v>44455</v>
      </c>
      <c r="B2720" s="97">
        <v>5974</v>
      </c>
      <c r="C2720" t="s">
        <v>279</v>
      </c>
      <c r="D2720" s="94" t="s">
        <v>493</v>
      </c>
      <c r="E2720" t="s">
        <v>17</v>
      </c>
      <c r="F2720" t="s">
        <v>562</v>
      </c>
      <c r="G2720" s="50" t="s">
        <v>559</v>
      </c>
      <c r="H2720" s="50">
        <v>2</v>
      </c>
      <c r="I2720" s="100">
        <v>6.7391919697301583</v>
      </c>
      <c r="J2720" s="52">
        <v>3834.68</v>
      </c>
      <c r="K2720" s="67">
        <f t="shared" si="172"/>
        <v>154383.95921368443</v>
      </c>
      <c r="L2720" s="95">
        <f>+VLOOKUP(E2720,MARGEN!A:B,2,FALSE)</f>
        <v>0.1</v>
      </c>
      <c r="M2720" s="112">
        <f t="shared" si="169"/>
        <v>15438.395921368443</v>
      </c>
      <c r="N2720" s="113">
        <f t="shared" si="170"/>
        <v>617.53583685473768</v>
      </c>
      <c r="O2720" s="113">
        <f t="shared" si="171"/>
        <v>138328.02745546124</v>
      </c>
    </row>
    <row r="2721" spans="1:15" x14ac:dyDescent="0.25">
      <c r="A2721" s="13">
        <v>44455</v>
      </c>
      <c r="B2721" s="97">
        <v>5302</v>
      </c>
      <c r="C2721" t="s">
        <v>278</v>
      </c>
      <c r="D2721" s="94" t="s">
        <v>453</v>
      </c>
      <c r="E2721" t="s">
        <v>17</v>
      </c>
      <c r="F2721" t="s">
        <v>562</v>
      </c>
      <c r="G2721" s="50" t="s">
        <v>559</v>
      </c>
      <c r="H2721" s="50">
        <v>2</v>
      </c>
      <c r="I2721" s="100">
        <v>6.7391919697301583</v>
      </c>
      <c r="J2721" s="52">
        <v>3834.68</v>
      </c>
      <c r="K2721" s="67">
        <f t="shared" si="172"/>
        <v>137017.70200049464</v>
      </c>
      <c r="L2721" s="95">
        <f>+VLOOKUP(E2721,MARGEN!A:B,2,FALSE)</f>
        <v>0.1</v>
      </c>
      <c r="M2721" s="112">
        <f t="shared" si="169"/>
        <v>13701.770200049465</v>
      </c>
      <c r="N2721" s="113">
        <f t="shared" si="170"/>
        <v>548.07080800197855</v>
      </c>
      <c r="O2721" s="113">
        <f t="shared" si="171"/>
        <v>122767.86099244319</v>
      </c>
    </row>
    <row r="2722" spans="1:15" x14ac:dyDescent="0.25">
      <c r="A2722" s="13">
        <v>44455</v>
      </c>
      <c r="B2722" s="97">
        <v>4631</v>
      </c>
      <c r="C2722" t="s">
        <v>136</v>
      </c>
      <c r="D2722" s="94" t="s">
        <v>359</v>
      </c>
      <c r="E2722" t="s">
        <v>17</v>
      </c>
      <c r="F2722" t="s">
        <v>566</v>
      </c>
      <c r="G2722" s="50" t="s">
        <v>559</v>
      </c>
      <c r="H2722" s="50">
        <v>2</v>
      </c>
      <c r="I2722" s="100">
        <v>6.7391919697301583</v>
      </c>
      <c r="J2722" s="52">
        <v>3834.68</v>
      </c>
      <c r="K2722" s="67">
        <f t="shared" si="172"/>
        <v>119677.28743196731</v>
      </c>
      <c r="L2722" s="95">
        <f>+VLOOKUP(E2722,MARGEN!A:B,2,FALSE)</f>
        <v>0.1</v>
      </c>
      <c r="M2722" s="112">
        <f t="shared" si="169"/>
        <v>11967.728743196732</v>
      </c>
      <c r="N2722" s="113">
        <f t="shared" si="170"/>
        <v>478.70914972786926</v>
      </c>
      <c r="O2722" s="113">
        <f t="shared" si="171"/>
        <v>107230.84953904271</v>
      </c>
    </row>
    <row r="2723" spans="1:15" x14ac:dyDescent="0.25">
      <c r="A2723" s="13">
        <v>44455</v>
      </c>
      <c r="B2723" s="97">
        <v>4271</v>
      </c>
      <c r="C2723" t="s">
        <v>193</v>
      </c>
      <c r="D2723" s="94" t="s">
        <v>380</v>
      </c>
      <c r="E2723" t="s">
        <v>17</v>
      </c>
      <c r="F2723" t="s">
        <v>562</v>
      </c>
      <c r="G2723" s="50" t="s">
        <v>559</v>
      </c>
      <c r="H2723" s="50">
        <v>2</v>
      </c>
      <c r="I2723" s="100">
        <v>6.7391919697301583</v>
      </c>
      <c r="J2723" s="52">
        <v>3834.68</v>
      </c>
      <c r="K2723" s="67">
        <f t="shared" si="172"/>
        <v>110373.93535347277</v>
      </c>
      <c r="L2723" s="95">
        <f>+VLOOKUP(E2723,MARGEN!A:B,2,FALSE)</f>
        <v>0.1</v>
      </c>
      <c r="M2723" s="112">
        <f t="shared" si="169"/>
        <v>11037.393535347277</v>
      </c>
      <c r="N2723" s="113">
        <f t="shared" si="170"/>
        <v>441.4957414138911</v>
      </c>
      <c r="O2723" s="113">
        <f t="shared" si="171"/>
        <v>98895.046076711602</v>
      </c>
    </row>
    <row r="2724" spans="1:15" x14ac:dyDescent="0.25">
      <c r="A2724" s="13">
        <v>44455</v>
      </c>
      <c r="B2724" s="97">
        <v>4055</v>
      </c>
      <c r="C2724" t="s">
        <v>148</v>
      </c>
      <c r="D2724" s="94" t="s">
        <v>323</v>
      </c>
      <c r="E2724" t="s">
        <v>17</v>
      </c>
      <c r="F2724" t="s">
        <v>562</v>
      </c>
      <c r="G2724" s="50" t="s">
        <v>559</v>
      </c>
      <c r="H2724" s="50">
        <v>2</v>
      </c>
      <c r="I2724" s="100">
        <v>6.7391919697301583</v>
      </c>
      <c r="J2724" s="52">
        <v>3834.68</v>
      </c>
      <c r="K2724" s="67">
        <f t="shared" si="172"/>
        <v>104791.92410637604</v>
      </c>
      <c r="L2724" s="95">
        <f>+VLOOKUP(E2724,MARGEN!A:B,2,FALSE)</f>
        <v>0.1</v>
      </c>
      <c r="M2724" s="112">
        <f t="shared" si="169"/>
        <v>10479.192410637605</v>
      </c>
      <c r="N2724" s="113">
        <f t="shared" si="170"/>
        <v>419.16769642550418</v>
      </c>
      <c r="O2724" s="113">
        <f t="shared" si="171"/>
        <v>93893.56399931293</v>
      </c>
    </row>
    <row r="2725" spans="1:15" x14ac:dyDescent="0.25">
      <c r="A2725" s="13">
        <v>44455</v>
      </c>
      <c r="B2725" s="97">
        <v>3887</v>
      </c>
      <c r="C2725" t="s">
        <v>293</v>
      </c>
      <c r="D2725" s="94" t="s">
        <v>499</v>
      </c>
      <c r="E2725" t="s">
        <v>17</v>
      </c>
      <c r="F2725" t="s">
        <v>562</v>
      </c>
      <c r="G2725" s="50" t="s">
        <v>559</v>
      </c>
      <c r="H2725" s="50">
        <v>2</v>
      </c>
      <c r="I2725" s="100">
        <v>6.7391919697301583</v>
      </c>
      <c r="J2725" s="52">
        <v>3834.68</v>
      </c>
      <c r="K2725" s="67">
        <f t="shared" si="172"/>
        <v>100450.35980307858</v>
      </c>
      <c r="L2725" s="95">
        <f>+VLOOKUP(E2725,MARGEN!A:B,2,FALSE)</f>
        <v>0.1</v>
      </c>
      <c r="M2725" s="112">
        <f t="shared" si="169"/>
        <v>10045.035980307859</v>
      </c>
      <c r="N2725" s="113">
        <f t="shared" si="170"/>
        <v>401.80143921231434</v>
      </c>
      <c r="O2725" s="113">
        <f t="shared" si="171"/>
        <v>90003.522383558404</v>
      </c>
    </row>
    <row r="2726" spans="1:15" x14ac:dyDescent="0.25">
      <c r="A2726" s="13">
        <v>44455</v>
      </c>
      <c r="B2726" s="97">
        <v>3791</v>
      </c>
      <c r="C2726" t="s">
        <v>144</v>
      </c>
      <c r="D2726" s="94" t="s">
        <v>343</v>
      </c>
      <c r="E2726" t="s">
        <v>17</v>
      </c>
      <c r="F2726" t="s">
        <v>566</v>
      </c>
      <c r="G2726" s="50" t="s">
        <v>559</v>
      </c>
      <c r="H2726" s="50">
        <v>2</v>
      </c>
      <c r="I2726" s="100">
        <v>6.7391919697301583</v>
      </c>
      <c r="J2726" s="52">
        <v>3834.68</v>
      </c>
      <c r="K2726" s="67">
        <f t="shared" si="172"/>
        <v>97969.465915480032</v>
      </c>
      <c r="L2726" s="95">
        <f>+VLOOKUP(E2726,MARGEN!A:B,2,FALSE)</f>
        <v>0.1</v>
      </c>
      <c r="M2726" s="112">
        <f t="shared" si="169"/>
        <v>9796.9465915480032</v>
      </c>
      <c r="N2726" s="113">
        <f t="shared" si="170"/>
        <v>391.87786366192012</v>
      </c>
      <c r="O2726" s="113">
        <f t="shared" si="171"/>
        <v>87780.641460270112</v>
      </c>
    </row>
    <row r="2727" spans="1:15" x14ac:dyDescent="0.25">
      <c r="A2727" s="13">
        <v>44455</v>
      </c>
      <c r="B2727" s="97">
        <v>3623</v>
      </c>
      <c r="C2727" t="s">
        <v>149</v>
      </c>
      <c r="D2727" s="94" t="s">
        <v>325</v>
      </c>
      <c r="E2727" t="s">
        <v>17</v>
      </c>
      <c r="F2727" t="s">
        <v>562</v>
      </c>
      <c r="G2727" s="50" t="s">
        <v>559</v>
      </c>
      <c r="H2727" s="50">
        <v>2</v>
      </c>
      <c r="I2727" s="100">
        <v>6.7391919697301583</v>
      </c>
      <c r="J2727" s="52">
        <v>3834.68</v>
      </c>
      <c r="K2727" s="67">
        <f t="shared" si="172"/>
        <v>93627.901612182584</v>
      </c>
      <c r="L2727" s="95">
        <f>+VLOOKUP(E2727,MARGEN!A:B,2,FALSE)</f>
        <v>0.1</v>
      </c>
      <c r="M2727" s="112">
        <f t="shared" si="169"/>
        <v>9362.7901612182595</v>
      </c>
      <c r="N2727" s="113">
        <f t="shared" si="170"/>
        <v>374.51160644873033</v>
      </c>
      <c r="O2727" s="113">
        <f t="shared" si="171"/>
        <v>83890.599844515586</v>
      </c>
    </row>
    <row r="2728" spans="1:15" x14ac:dyDescent="0.25">
      <c r="A2728" s="13">
        <v>44455</v>
      </c>
      <c r="B2728" s="97">
        <v>3599</v>
      </c>
      <c r="C2728" t="s">
        <v>192</v>
      </c>
      <c r="D2728" s="94" t="s">
        <v>347</v>
      </c>
      <c r="E2728" t="s">
        <v>17</v>
      </c>
      <c r="F2728" t="s">
        <v>562</v>
      </c>
      <c r="G2728" s="50" t="s">
        <v>559</v>
      </c>
      <c r="H2728" s="50">
        <v>2</v>
      </c>
      <c r="I2728" s="100">
        <v>6.7391919697301583</v>
      </c>
      <c r="J2728" s="52">
        <v>3834.68</v>
      </c>
      <c r="K2728" s="67">
        <f t="shared" si="172"/>
        <v>93007.678140282951</v>
      </c>
      <c r="L2728" s="95">
        <f>+VLOOKUP(E2728,MARGEN!A:B,2,FALSE)</f>
        <v>0.1</v>
      </c>
      <c r="M2728" s="112">
        <f t="shared" si="169"/>
        <v>9300.7678140282951</v>
      </c>
      <c r="N2728" s="113">
        <f t="shared" si="170"/>
        <v>372.03071256113179</v>
      </c>
      <c r="O2728" s="113">
        <f t="shared" si="171"/>
        <v>83334.879613693527</v>
      </c>
    </row>
    <row r="2729" spans="1:15" x14ac:dyDescent="0.25">
      <c r="A2729" s="13">
        <v>44455</v>
      </c>
      <c r="B2729" s="97">
        <v>3479</v>
      </c>
      <c r="C2729" t="s">
        <v>165</v>
      </c>
      <c r="D2729" s="94" t="s">
        <v>375</v>
      </c>
      <c r="E2729" t="s">
        <v>17</v>
      </c>
      <c r="F2729" t="s">
        <v>551</v>
      </c>
      <c r="G2729" s="50" t="s">
        <v>205</v>
      </c>
      <c r="H2729" s="50">
        <v>2</v>
      </c>
      <c r="I2729" s="100">
        <v>6.7391919697301583</v>
      </c>
      <c r="J2729" s="52">
        <v>3834.68</v>
      </c>
      <c r="K2729" s="67">
        <f t="shared" si="172"/>
        <v>89906.56078078477</v>
      </c>
      <c r="L2729" s="95">
        <f>+VLOOKUP(E2729,MARGEN!A:B,2,FALSE)</f>
        <v>0.1</v>
      </c>
      <c r="M2729" s="112">
        <f t="shared" si="169"/>
        <v>8990.6560780784766</v>
      </c>
      <c r="N2729" s="113">
        <f t="shared" si="170"/>
        <v>359.62624312313909</v>
      </c>
      <c r="O2729" s="113">
        <f t="shared" si="171"/>
        <v>80556.278459583147</v>
      </c>
    </row>
    <row r="2730" spans="1:15" x14ac:dyDescent="0.25">
      <c r="A2730" s="13">
        <v>44455</v>
      </c>
      <c r="B2730" s="97">
        <v>3383</v>
      </c>
      <c r="C2730" t="s">
        <v>135</v>
      </c>
      <c r="D2730" s="94" t="s">
        <v>533</v>
      </c>
      <c r="E2730" t="s">
        <v>17</v>
      </c>
      <c r="F2730" t="s">
        <v>562</v>
      </c>
      <c r="G2730" s="50" t="s">
        <v>559</v>
      </c>
      <c r="H2730" s="50">
        <v>2</v>
      </c>
      <c r="I2730" s="100">
        <v>6.7391919697301583</v>
      </c>
      <c r="J2730" s="52">
        <v>3834.68</v>
      </c>
      <c r="K2730" s="67">
        <f t="shared" si="172"/>
        <v>87425.666893186222</v>
      </c>
      <c r="L2730" s="95">
        <f>+VLOOKUP(E2730,MARGEN!A:B,2,FALSE)</f>
        <v>0.1</v>
      </c>
      <c r="M2730" s="112">
        <f t="shared" si="169"/>
        <v>8742.5666893186226</v>
      </c>
      <c r="N2730" s="113">
        <f t="shared" si="170"/>
        <v>349.70266757274487</v>
      </c>
      <c r="O2730" s="113">
        <f t="shared" si="171"/>
        <v>78333.397536294855</v>
      </c>
    </row>
    <row r="2731" spans="1:15" x14ac:dyDescent="0.25">
      <c r="A2731" s="13">
        <v>44455</v>
      </c>
      <c r="B2731" s="97">
        <v>3359</v>
      </c>
      <c r="C2731" t="s">
        <v>309</v>
      </c>
      <c r="D2731" s="94" t="s">
        <v>544</v>
      </c>
      <c r="E2731" t="s">
        <v>17</v>
      </c>
      <c r="F2731" t="s">
        <v>566</v>
      </c>
      <c r="G2731" s="50" t="s">
        <v>559</v>
      </c>
      <c r="H2731" s="50">
        <v>2</v>
      </c>
      <c r="I2731" s="100">
        <v>6.7391919697301583</v>
      </c>
      <c r="J2731" s="52">
        <v>3834.68</v>
      </c>
      <c r="K2731" s="67">
        <f t="shared" si="172"/>
        <v>86805.443421286589</v>
      </c>
      <c r="L2731" s="95">
        <f>+VLOOKUP(E2731,MARGEN!A:B,2,FALSE)</f>
        <v>0.1</v>
      </c>
      <c r="M2731" s="112">
        <f t="shared" si="169"/>
        <v>8680.54434212866</v>
      </c>
      <c r="N2731" s="113">
        <f t="shared" si="170"/>
        <v>347.22177368514633</v>
      </c>
      <c r="O2731" s="113">
        <f t="shared" si="171"/>
        <v>77777.677305472782</v>
      </c>
    </row>
    <row r="2732" spans="1:15" x14ac:dyDescent="0.25">
      <c r="A2732" s="13">
        <v>44455</v>
      </c>
      <c r="B2732" s="97">
        <v>2903</v>
      </c>
      <c r="C2732" t="s">
        <v>134</v>
      </c>
      <c r="D2732" t="s">
        <v>362</v>
      </c>
      <c r="E2732" t="s">
        <v>17</v>
      </c>
      <c r="F2732" t="s">
        <v>562</v>
      </c>
      <c r="G2732" s="50" t="s">
        <v>559</v>
      </c>
      <c r="H2732" s="50">
        <v>2</v>
      </c>
      <c r="I2732" s="100">
        <v>6.7391919697301583</v>
      </c>
      <c r="J2732" s="52">
        <v>3834.68</v>
      </c>
      <c r="K2732" s="67">
        <f t="shared" si="172"/>
        <v>75021.197455193484</v>
      </c>
      <c r="L2732" s="95">
        <f>+VLOOKUP(E2732,MARGEN!A:B,2,FALSE)</f>
        <v>0.1</v>
      </c>
      <c r="M2732" s="112">
        <f t="shared" si="169"/>
        <v>7502.1197455193487</v>
      </c>
      <c r="N2732" s="113">
        <f t="shared" si="170"/>
        <v>300.08478982077395</v>
      </c>
      <c r="O2732" s="113">
        <f t="shared" si="171"/>
        <v>67218.992919853365</v>
      </c>
    </row>
    <row r="2733" spans="1:15" x14ac:dyDescent="0.25">
      <c r="A2733" s="13">
        <v>44455</v>
      </c>
      <c r="B2733" s="97">
        <v>2783</v>
      </c>
      <c r="C2733" t="s">
        <v>131</v>
      </c>
      <c r="D2733" s="94" t="s">
        <v>344</v>
      </c>
      <c r="E2733" t="s">
        <v>17</v>
      </c>
      <c r="F2733" t="s">
        <v>562</v>
      </c>
      <c r="G2733" s="50" t="s">
        <v>559</v>
      </c>
      <c r="H2733" s="50">
        <v>2</v>
      </c>
      <c r="I2733" s="100">
        <v>6.7391919697301583</v>
      </c>
      <c r="J2733" s="52">
        <v>3834.68</v>
      </c>
      <c r="K2733" s="67">
        <f t="shared" si="172"/>
        <v>71920.080095695317</v>
      </c>
      <c r="L2733" s="95">
        <f>+VLOOKUP(E2733,MARGEN!A:B,2,FALSE)</f>
        <v>0.1</v>
      </c>
      <c r="M2733" s="112">
        <f t="shared" si="169"/>
        <v>7192.0080095695321</v>
      </c>
      <c r="N2733" s="113">
        <f t="shared" si="170"/>
        <v>287.68032038278125</v>
      </c>
      <c r="O2733" s="113">
        <f t="shared" si="171"/>
        <v>64440.391765743007</v>
      </c>
    </row>
    <row r="2734" spans="1:15" x14ac:dyDescent="0.25">
      <c r="A2734" s="13">
        <v>44455</v>
      </c>
      <c r="B2734" s="97">
        <v>2783</v>
      </c>
      <c r="C2734" t="s">
        <v>189</v>
      </c>
      <c r="D2734" s="94" t="s">
        <v>431</v>
      </c>
      <c r="E2734" t="s">
        <v>17</v>
      </c>
      <c r="F2734" t="s">
        <v>562</v>
      </c>
      <c r="G2734" s="50" t="s">
        <v>559</v>
      </c>
      <c r="H2734" s="50">
        <v>2</v>
      </c>
      <c r="I2734" s="100">
        <v>6.7391919697301583</v>
      </c>
      <c r="J2734" s="52">
        <v>3834.68</v>
      </c>
      <c r="K2734" s="67">
        <f t="shared" si="172"/>
        <v>71920.080095695317</v>
      </c>
      <c r="L2734" s="95">
        <f>+VLOOKUP(E2734,MARGEN!A:B,2,FALSE)</f>
        <v>0.1</v>
      </c>
      <c r="M2734" s="112">
        <f t="shared" si="169"/>
        <v>7192.0080095695321</v>
      </c>
      <c r="N2734" s="113">
        <f t="shared" si="170"/>
        <v>287.68032038278125</v>
      </c>
      <c r="O2734" s="113">
        <f t="shared" si="171"/>
        <v>64440.391765743007</v>
      </c>
    </row>
    <row r="2735" spans="1:15" x14ac:dyDescent="0.25">
      <c r="A2735" s="13">
        <v>44455</v>
      </c>
      <c r="B2735" s="97">
        <v>2711</v>
      </c>
      <c r="C2735" t="s">
        <v>132</v>
      </c>
      <c r="D2735" s="94" t="s">
        <v>376</v>
      </c>
      <c r="E2735" t="s">
        <v>17</v>
      </c>
      <c r="F2735" t="s">
        <v>562</v>
      </c>
      <c r="G2735" s="50" t="s">
        <v>559</v>
      </c>
      <c r="H2735" s="50">
        <v>2</v>
      </c>
      <c r="I2735" s="100">
        <v>6.7391919697301583</v>
      </c>
      <c r="J2735" s="52">
        <v>3834.68</v>
      </c>
      <c r="K2735" s="67">
        <f t="shared" si="172"/>
        <v>70059.409679996417</v>
      </c>
      <c r="L2735" s="95">
        <f>+VLOOKUP(E2735,MARGEN!A:B,2,FALSE)</f>
        <v>0.1</v>
      </c>
      <c r="M2735" s="112">
        <f t="shared" si="169"/>
        <v>7005.9409679996425</v>
      </c>
      <c r="N2735" s="113">
        <f t="shared" si="170"/>
        <v>280.23763871998568</v>
      </c>
      <c r="O2735" s="113">
        <f t="shared" si="171"/>
        <v>62773.231073276787</v>
      </c>
    </row>
    <row r="2736" spans="1:15" x14ac:dyDescent="0.25">
      <c r="A2736" s="13">
        <v>44455</v>
      </c>
      <c r="B2736" s="97">
        <v>2663</v>
      </c>
      <c r="C2736" t="s">
        <v>186</v>
      </c>
      <c r="D2736" s="94" t="s">
        <v>440</v>
      </c>
      <c r="E2736" t="s">
        <v>17</v>
      </c>
      <c r="F2736" t="s">
        <v>566</v>
      </c>
      <c r="G2736" s="50" t="s">
        <v>559</v>
      </c>
      <c r="H2736" s="50">
        <v>2</v>
      </c>
      <c r="I2736" s="100">
        <v>6.7391919697301583</v>
      </c>
      <c r="J2736" s="52">
        <v>3834.68</v>
      </c>
      <c r="K2736" s="67">
        <f t="shared" si="172"/>
        <v>68818.962736197136</v>
      </c>
      <c r="L2736" s="95">
        <f>+VLOOKUP(E2736,MARGEN!A:B,2,FALSE)</f>
        <v>0.1</v>
      </c>
      <c r="M2736" s="112">
        <f t="shared" si="169"/>
        <v>6881.8962736197136</v>
      </c>
      <c r="N2736" s="113">
        <f t="shared" si="170"/>
        <v>275.27585094478854</v>
      </c>
      <c r="O2736" s="113">
        <f t="shared" si="171"/>
        <v>61661.790611632634</v>
      </c>
    </row>
    <row r="2737" spans="1:15" x14ac:dyDescent="0.25">
      <c r="A2737" s="13">
        <v>44455</v>
      </c>
      <c r="B2737" s="97">
        <v>2567</v>
      </c>
      <c r="C2737" t="s">
        <v>310</v>
      </c>
      <c r="D2737" s="94" t="s">
        <v>540</v>
      </c>
      <c r="E2737" t="s">
        <v>17</v>
      </c>
      <c r="F2737" t="s">
        <v>566</v>
      </c>
      <c r="G2737" s="50" t="s">
        <v>559</v>
      </c>
      <c r="H2737" s="50">
        <v>2</v>
      </c>
      <c r="I2737" s="100">
        <v>6.7391919697301583</v>
      </c>
      <c r="J2737" s="52">
        <v>3834.68</v>
      </c>
      <c r="K2737" s="67">
        <f t="shared" si="172"/>
        <v>66338.068848598588</v>
      </c>
      <c r="L2737" s="95">
        <f>+VLOOKUP(E2737,MARGEN!A:B,2,FALSE)</f>
        <v>0.1</v>
      </c>
      <c r="M2737" s="112">
        <f t="shared" si="169"/>
        <v>6633.8068848598596</v>
      </c>
      <c r="N2737" s="113">
        <f t="shared" si="170"/>
        <v>265.35227539439433</v>
      </c>
      <c r="O2737" s="113">
        <f t="shared" si="171"/>
        <v>59438.909688344334</v>
      </c>
    </row>
    <row r="2738" spans="1:15" x14ac:dyDescent="0.25">
      <c r="A2738" s="13">
        <v>44455</v>
      </c>
      <c r="B2738" s="97">
        <v>2567</v>
      </c>
      <c r="C2738" t="s">
        <v>146</v>
      </c>
      <c r="D2738" s="94" t="s">
        <v>348</v>
      </c>
      <c r="E2738" t="s">
        <v>17</v>
      </c>
      <c r="F2738" t="s">
        <v>562</v>
      </c>
      <c r="G2738" s="50" t="s">
        <v>559</v>
      </c>
      <c r="H2738" s="50">
        <v>2</v>
      </c>
      <c r="I2738" s="100">
        <v>6.7391919697301583</v>
      </c>
      <c r="J2738" s="52">
        <v>3834.68</v>
      </c>
      <c r="K2738" s="67">
        <f t="shared" si="172"/>
        <v>66338.068848598588</v>
      </c>
      <c r="L2738" s="95">
        <f>+VLOOKUP(E2738,MARGEN!A:B,2,FALSE)</f>
        <v>0.1</v>
      </c>
      <c r="M2738" s="112">
        <f t="shared" si="169"/>
        <v>6633.8068848598596</v>
      </c>
      <c r="N2738" s="113">
        <f t="shared" si="170"/>
        <v>265.35227539439433</v>
      </c>
      <c r="O2738" s="113">
        <f t="shared" si="171"/>
        <v>59438.909688344334</v>
      </c>
    </row>
    <row r="2739" spans="1:15" x14ac:dyDescent="0.25">
      <c r="A2739" s="13">
        <v>44455</v>
      </c>
      <c r="B2739" s="97">
        <v>2543</v>
      </c>
      <c r="C2739" t="s">
        <v>163</v>
      </c>
      <c r="D2739" s="94" t="s">
        <v>398</v>
      </c>
      <c r="E2739" t="s">
        <v>17</v>
      </c>
      <c r="F2739" t="s">
        <v>562</v>
      </c>
      <c r="G2739" s="50" t="s">
        <v>559</v>
      </c>
      <c r="H2739" s="50">
        <v>2</v>
      </c>
      <c r="I2739" s="100">
        <v>6.7391919697301583</v>
      </c>
      <c r="J2739" s="52">
        <v>3834.68</v>
      </c>
      <c r="K2739" s="67">
        <f t="shared" si="172"/>
        <v>65717.84537669897</v>
      </c>
      <c r="L2739" s="95">
        <f>+VLOOKUP(E2739,MARGEN!A:B,2,FALSE)</f>
        <v>0.1</v>
      </c>
      <c r="M2739" s="112">
        <f t="shared" si="169"/>
        <v>6571.784537669897</v>
      </c>
      <c r="N2739" s="113">
        <f t="shared" si="170"/>
        <v>262.8713815067959</v>
      </c>
      <c r="O2739" s="113">
        <f t="shared" si="171"/>
        <v>58883.189457522276</v>
      </c>
    </row>
    <row r="2740" spans="1:15" x14ac:dyDescent="0.25">
      <c r="A2740" s="13">
        <v>44455</v>
      </c>
      <c r="B2740" s="51">
        <v>2519</v>
      </c>
      <c r="C2740" s="66" t="s">
        <v>127</v>
      </c>
      <c r="D2740" s="66" t="s">
        <v>411</v>
      </c>
      <c r="E2740" t="s">
        <v>17</v>
      </c>
      <c r="F2740" s="50" t="s">
        <v>562</v>
      </c>
      <c r="G2740" s="50" t="s">
        <v>559</v>
      </c>
      <c r="H2740" s="50">
        <v>2</v>
      </c>
      <c r="I2740" s="100">
        <v>6.7391919697301583</v>
      </c>
      <c r="J2740" s="52">
        <v>3834.68</v>
      </c>
      <c r="K2740" s="67">
        <f t="shared" si="172"/>
        <v>65097.621904799322</v>
      </c>
      <c r="L2740" s="95">
        <f>+VLOOKUP(E2740,MARGEN!A:B,2,FALSE)</f>
        <v>0.1</v>
      </c>
      <c r="M2740" s="112">
        <f t="shared" si="169"/>
        <v>6509.7621904799325</v>
      </c>
      <c r="N2740" s="113">
        <f t="shared" si="170"/>
        <v>260.3904876191973</v>
      </c>
      <c r="O2740" s="113">
        <f t="shared" si="171"/>
        <v>58327.469226700196</v>
      </c>
    </row>
    <row r="2741" spans="1:15" x14ac:dyDescent="0.25">
      <c r="A2741" s="13">
        <v>44455</v>
      </c>
      <c r="B2741" s="97">
        <v>2423</v>
      </c>
      <c r="C2741" t="s">
        <v>281</v>
      </c>
      <c r="D2741" s="94" t="s">
        <v>495</v>
      </c>
      <c r="E2741" t="s">
        <v>17</v>
      </c>
      <c r="F2741" t="s">
        <v>566</v>
      </c>
      <c r="G2741" s="50" t="s">
        <v>559</v>
      </c>
      <c r="H2741" s="50">
        <v>2</v>
      </c>
      <c r="I2741" s="100">
        <v>6.7391919697301583</v>
      </c>
      <c r="J2741" s="52">
        <v>3834.68</v>
      </c>
      <c r="K2741" s="67">
        <f t="shared" si="172"/>
        <v>62616.728017200774</v>
      </c>
      <c r="L2741" s="95">
        <f>+VLOOKUP(E2741,MARGEN!A:B,2,FALSE)</f>
        <v>0.1</v>
      </c>
      <c r="M2741" s="112">
        <f t="shared" si="169"/>
        <v>6261.6728017200776</v>
      </c>
      <c r="N2741" s="113">
        <f t="shared" si="170"/>
        <v>250.46691206880308</v>
      </c>
      <c r="O2741" s="113">
        <f t="shared" si="171"/>
        <v>56104.588303411889</v>
      </c>
    </row>
    <row r="2742" spans="1:15" x14ac:dyDescent="0.25">
      <c r="A2742" s="13">
        <v>44455</v>
      </c>
      <c r="B2742" s="97">
        <v>2327</v>
      </c>
      <c r="C2742" t="s">
        <v>156</v>
      </c>
      <c r="D2742" s="94" t="s">
        <v>429</v>
      </c>
      <c r="E2742" t="s">
        <v>17</v>
      </c>
      <c r="F2742" t="s">
        <v>551</v>
      </c>
      <c r="G2742" s="50" t="s">
        <v>205</v>
      </c>
      <c r="H2742" s="50">
        <v>2</v>
      </c>
      <c r="I2742" s="100">
        <v>6.7391919697301583</v>
      </c>
      <c r="J2742" s="52">
        <v>3834.68</v>
      </c>
      <c r="K2742" s="67">
        <f t="shared" si="172"/>
        <v>60135.834129602234</v>
      </c>
      <c r="L2742" s="95">
        <f>+VLOOKUP(E2742,MARGEN!A:B,2,FALSE)</f>
        <v>0.1</v>
      </c>
      <c r="M2742" s="112">
        <f t="shared" si="169"/>
        <v>6013.5834129602235</v>
      </c>
      <c r="N2742" s="113">
        <f t="shared" si="170"/>
        <v>240.54333651840892</v>
      </c>
      <c r="O2742" s="113">
        <f t="shared" si="171"/>
        <v>53881.707380123604</v>
      </c>
    </row>
    <row r="2743" spans="1:15" x14ac:dyDescent="0.25">
      <c r="A2743" s="13">
        <v>44455</v>
      </c>
      <c r="B2743" s="97">
        <v>2303</v>
      </c>
      <c r="C2743" t="s">
        <v>128</v>
      </c>
      <c r="D2743" s="94" t="s">
        <v>416</v>
      </c>
      <c r="E2743" t="s">
        <v>17</v>
      </c>
      <c r="F2743" t="s">
        <v>562</v>
      </c>
      <c r="G2743" s="50" t="s">
        <v>559</v>
      </c>
      <c r="H2743" s="50">
        <v>2</v>
      </c>
      <c r="I2743" s="100">
        <v>6.7391919697301583</v>
      </c>
      <c r="J2743" s="52">
        <v>3834.68</v>
      </c>
      <c r="K2743" s="67">
        <f t="shared" si="172"/>
        <v>59515.610657702593</v>
      </c>
      <c r="L2743" s="95">
        <f>+VLOOKUP(E2743,MARGEN!A:B,2,FALSE)</f>
        <v>0.1</v>
      </c>
      <c r="M2743" s="112">
        <f t="shared" si="169"/>
        <v>5951.56106577026</v>
      </c>
      <c r="N2743" s="113">
        <f t="shared" si="170"/>
        <v>238.06244263081038</v>
      </c>
      <c r="O2743" s="113">
        <f t="shared" si="171"/>
        <v>53325.987149301516</v>
      </c>
    </row>
    <row r="2744" spans="1:15" x14ac:dyDescent="0.25">
      <c r="A2744" s="13">
        <v>44455</v>
      </c>
      <c r="B2744" s="97">
        <v>2303</v>
      </c>
      <c r="C2744" t="s">
        <v>130</v>
      </c>
      <c r="D2744" s="94" t="s">
        <v>367</v>
      </c>
      <c r="E2744" t="s">
        <v>17</v>
      </c>
      <c r="F2744" t="s">
        <v>566</v>
      </c>
      <c r="G2744" s="50" t="s">
        <v>559</v>
      </c>
      <c r="H2744" s="50">
        <v>2</v>
      </c>
      <c r="I2744" s="100">
        <v>6.7391919697301583</v>
      </c>
      <c r="J2744" s="52">
        <v>3834.68</v>
      </c>
      <c r="K2744" s="67">
        <f t="shared" si="172"/>
        <v>59515.610657702593</v>
      </c>
      <c r="L2744" s="95">
        <f>+VLOOKUP(E2744,MARGEN!A:B,2,FALSE)</f>
        <v>0.1</v>
      </c>
      <c r="M2744" s="112">
        <f t="shared" si="169"/>
        <v>5951.56106577026</v>
      </c>
      <c r="N2744" s="113">
        <f t="shared" si="170"/>
        <v>238.06244263081038</v>
      </c>
      <c r="O2744" s="113">
        <f t="shared" si="171"/>
        <v>53325.987149301516</v>
      </c>
    </row>
    <row r="2745" spans="1:15" x14ac:dyDescent="0.25">
      <c r="A2745" s="13">
        <v>44455</v>
      </c>
      <c r="B2745" s="97">
        <v>2255</v>
      </c>
      <c r="C2745" t="s">
        <v>122</v>
      </c>
      <c r="D2745" s="94" t="s">
        <v>446</v>
      </c>
      <c r="E2745" t="s">
        <v>17</v>
      </c>
      <c r="F2745" t="s">
        <v>566</v>
      </c>
      <c r="G2745" s="50" t="s">
        <v>559</v>
      </c>
      <c r="H2745" s="50">
        <v>2</v>
      </c>
      <c r="I2745" s="100">
        <v>6.7391919697301583</v>
      </c>
      <c r="J2745" s="52">
        <v>3834.68</v>
      </c>
      <c r="K2745" s="67">
        <f t="shared" si="172"/>
        <v>58275.163713903326</v>
      </c>
      <c r="L2745" s="95">
        <f>+VLOOKUP(E2745,MARGEN!A:B,2,FALSE)</f>
        <v>0.1</v>
      </c>
      <c r="M2745" s="112">
        <f t="shared" si="169"/>
        <v>5827.516371390333</v>
      </c>
      <c r="N2745" s="113">
        <f t="shared" si="170"/>
        <v>233.1006548556133</v>
      </c>
      <c r="O2745" s="113">
        <f t="shared" si="171"/>
        <v>52214.546687657385</v>
      </c>
    </row>
    <row r="2746" spans="1:15" x14ac:dyDescent="0.25">
      <c r="A2746" s="13">
        <v>44455</v>
      </c>
      <c r="B2746" s="97">
        <v>2255</v>
      </c>
      <c r="C2746" t="s">
        <v>283</v>
      </c>
      <c r="D2746" s="94" t="s">
        <v>543</v>
      </c>
      <c r="E2746" t="s">
        <v>17</v>
      </c>
      <c r="F2746" t="s">
        <v>562</v>
      </c>
      <c r="G2746" s="50" t="s">
        <v>559</v>
      </c>
      <c r="H2746" s="50">
        <v>2</v>
      </c>
      <c r="I2746" s="100">
        <v>6.7391919697301583</v>
      </c>
      <c r="J2746" s="52">
        <v>3834.68</v>
      </c>
      <c r="K2746" s="67">
        <f t="shared" si="172"/>
        <v>58275.163713903326</v>
      </c>
      <c r="L2746" s="95">
        <f>+VLOOKUP(E2746,MARGEN!A:B,2,FALSE)</f>
        <v>0.1</v>
      </c>
      <c r="M2746" s="112">
        <f t="shared" si="169"/>
        <v>5827.516371390333</v>
      </c>
      <c r="N2746" s="113">
        <f t="shared" si="170"/>
        <v>233.1006548556133</v>
      </c>
      <c r="O2746" s="113">
        <f t="shared" si="171"/>
        <v>52214.546687657385</v>
      </c>
    </row>
    <row r="2747" spans="1:15" x14ac:dyDescent="0.25">
      <c r="A2747" s="13">
        <v>44455</v>
      </c>
      <c r="B2747" s="97">
        <v>2231</v>
      </c>
      <c r="C2747" t="s">
        <v>126</v>
      </c>
      <c r="D2747" s="94" t="s">
        <v>438</v>
      </c>
      <c r="E2747" t="s">
        <v>17</v>
      </c>
      <c r="F2747" t="s">
        <v>562</v>
      </c>
      <c r="G2747" s="50" t="s">
        <v>559</v>
      </c>
      <c r="H2747" s="50">
        <v>2</v>
      </c>
      <c r="I2747" s="100">
        <v>6.7391919697301583</v>
      </c>
      <c r="J2747" s="52">
        <v>3834.68</v>
      </c>
      <c r="K2747" s="67">
        <f t="shared" si="172"/>
        <v>57654.940242003679</v>
      </c>
      <c r="L2747" s="95">
        <f>+VLOOKUP(E2747,MARGEN!A:B,2,FALSE)</f>
        <v>0.1</v>
      </c>
      <c r="M2747" s="112">
        <f t="shared" si="169"/>
        <v>5765.4940242003686</v>
      </c>
      <c r="N2747" s="113">
        <f t="shared" si="170"/>
        <v>230.6197609680147</v>
      </c>
      <c r="O2747" s="113">
        <f t="shared" si="171"/>
        <v>51658.826456835297</v>
      </c>
    </row>
    <row r="2748" spans="1:15" x14ac:dyDescent="0.25">
      <c r="A2748" s="13">
        <v>44455</v>
      </c>
      <c r="B2748" s="97">
        <v>2231</v>
      </c>
      <c r="C2748" t="s">
        <v>284</v>
      </c>
      <c r="D2748" s="94" t="s">
        <v>525</v>
      </c>
      <c r="E2748" t="s">
        <v>17</v>
      </c>
      <c r="F2748" t="s">
        <v>562</v>
      </c>
      <c r="G2748" s="50" t="s">
        <v>559</v>
      </c>
      <c r="H2748" s="50">
        <v>2</v>
      </c>
      <c r="I2748" s="100">
        <v>6.7391919697301583</v>
      </c>
      <c r="J2748" s="52">
        <v>3834.68</v>
      </c>
      <c r="K2748" s="67">
        <f t="shared" si="172"/>
        <v>57654.940242003679</v>
      </c>
      <c r="L2748" s="95">
        <f>+VLOOKUP(E2748,MARGEN!A:B,2,FALSE)</f>
        <v>0.1</v>
      </c>
      <c r="M2748" s="112">
        <f t="shared" si="169"/>
        <v>5765.4940242003686</v>
      </c>
      <c r="N2748" s="113">
        <f t="shared" si="170"/>
        <v>230.6197609680147</v>
      </c>
      <c r="O2748" s="113">
        <f t="shared" si="171"/>
        <v>51658.826456835297</v>
      </c>
    </row>
    <row r="2749" spans="1:15" x14ac:dyDescent="0.25">
      <c r="A2749" s="13">
        <v>44455</v>
      </c>
      <c r="B2749" s="97">
        <v>2231</v>
      </c>
      <c r="C2749" t="s">
        <v>157</v>
      </c>
      <c r="D2749" s="94" t="s">
        <v>435</v>
      </c>
      <c r="E2749" t="s">
        <v>17</v>
      </c>
      <c r="F2749" t="s">
        <v>562</v>
      </c>
      <c r="G2749" s="50" t="s">
        <v>559</v>
      </c>
      <c r="H2749" s="50">
        <v>2</v>
      </c>
      <c r="I2749" s="100">
        <v>6.7391919697301583</v>
      </c>
      <c r="J2749" s="52">
        <v>3834.68</v>
      </c>
      <c r="K2749" s="67">
        <f t="shared" si="172"/>
        <v>57654.940242003679</v>
      </c>
      <c r="L2749" s="95">
        <f>+VLOOKUP(E2749,MARGEN!A:B,2,FALSE)</f>
        <v>0.1</v>
      </c>
      <c r="M2749" s="112">
        <f t="shared" si="169"/>
        <v>5765.4940242003686</v>
      </c>
      <c r="N2749" s="113">
        <f t="shared" si="170"/>
        <v>230.6197609680147</v>
      </c>
      <c r="O2749" s="113">
        <f t="shared" si="171"/>
        <v>51658.826456835297</v>
      </c>
    </row>
    <row r="2750" spans="1:15" x14ac:dyDescent="0.25">
      <c r="A2750" s="13">
        <v>44455</v>
      </c>
      <c r="B2750" s="97">
        <v>2159</v>
      </c>
      <c r="C2750" t="s">
        <v>282</v>
      </c>
      <c r="D2750" s="94" t="s">
        <v>494</v>
      </c>
      <c r="E2750" t="s">
        <v>17</v>
      </c>
      <c r="F2750" t="s">
        <v>566</v>
      </c>
      <c r="G2750" s="50" t="s">
        <v>559</v>
      </c>
      <c r="H2750" s="50">
        <v>2</v>
      </c>
      <c r="I2750" s="100">
        <v>6.7391919697301583</v>
      </c>
      <c r="J2750" s="52">
        <v>3834.68</v>
      </c>
      <c r="K2750" s="67">
        <f t="shared" si="172"/>
        <v>55794.269826304779</v>
      </c>
      <c r="L2750" s="95">
        <f>+VLOOKUP(E2750,MARGEN!A:B,2,FALSE)</f>
        <v>0.1</v>
      </c>
      <c r="M2750" s="112">
        <f t="shared" si="169"/>
        <v>5579.4269826304781</v>
      </c>
      <c r="N2750" s="113">
        <f t="shared" si="170"/>
        <v>223.17707930521911</v>
      </c>
      <c r="O2750" s="113">
        <f t="shared" si="171"/>
        <v>49991.665764369078</v>
      </c>
    </row>
    <row r="2751" spans="1:15" x14ac:dyDescent="0.25">
      <c r="A2751" s="13">
        <v>44455</v>
      </c>
      <c r="B2751" s="97">
        <v>2135</v>
      </c>
      <c r="C2751" t="s">
        <v>312</v>
      </c>
      <c r="D2751" s="94" t="s">
        <v>542</v>
      </c>
      <c r="E2751" t="s">
        <v>17</v>
      </c>
      <c r="F2751" t="s">
        <v>562</v>
      </c>
      <c r="G2751" s="50" t="s">
        <v>559</v>
      </c>
      <c r="H2751" s="50">
        <v>2</v>
      </c>
      <c r="I2751" s="100">
        <v>6.7391919697301583</v>
      </c>
      <c r="J2751" s="52">
        <v>3834.68</v>
      </c>
      <c r="K2751" s="67">
        <f t="shared" si="172"/>
        <v>55174.046354405145</v>
      </c>
      <c r="L2751" s="95">
        <f>+VLOOKUP(E2751,MARGEN!A:B,2,FALSE)</f>
        <v>0.1</v>
      </c>
      <c r="M2751" s="112">
        <f t="shared" si="169"/>
        <v>5517.4046354405145</v>
      </c>
      <c r="N2751" s="113">
        <f t="shared" si="170"/>
        <v>220.69618541762057</v>
      </c>
      <c r="O2751" s="113">
        <f t="shared" si="171"/>
        <v>49435.945533547012</v>
      </c>
    </row>
    <row r="2752" spans="1:15" x14ac:dyDescent="0.25">
      <c r="A2752" s="13">
        <v>44455</v>
      </c>
      <c r="B2752" s="97">
        <v>2015</v>
      </c>
      <c r="C2752" t="s">
        <v>123</v>
      </c>
      <c r="D2752" s="94" t="s">
        <v>396</v>
      </c>
      <c r="E2752" t="s">
        <v>17</v>
      </c>
      <c r="F2752" t="s">
        <v>562</v>
      </c>
      <c r="G2752" s="50" t="s">
        <v>559</v>
      </c>
      <c r="H2752" s="50">
        <v>2</v>
      </c>
      <c r="I2752" s="100">
        <v>6.7391919697301583</v>
      </c>
      <c r="J2752" s="52">
        <v>3834.68</v>
      </c>
      <c r="K2752" s="67">
        <f t="shared" si="172"/>
        <v>52072.928994906957</v>
      </c>
      <c r="L2752" s="95">
        <f>+VLOOKUP(E2752,MARGEN!A:B,2,FALSE)</f>
        <v>0.1</v>
      </c>
      <c r="M2752" s="112">
        <f t="shared" si="169"/>
        <v>5207.2928994906961</v>
      </c>
      <c r="N2752" s="113">
        <f t="shared" si="170"/>
        <v>208.29171597962784</v>
      </c>
      <c r="O2752" s="113">
        <f t="shared" si="171"/>
        <v>46657.344379436632</v>
      </c>
    </row>
    <row r="2753" spans="1:15" x14ac:dyDescent="0.25">
      <c r="A2753" s="13">
        <v>44455</v>
      </c>
      <c r="B2753" s="97">
        <v>1991</v>
      </c>
      <c r="C2753" t="s">
        <v>295</v>
      </c>
      <c r="D2753" s="94" t="s">
        <v>532</v>
      </c>
      <c r="E2753" t="s">
        <v>17</v>
      </c>
      <c r="F2753" t="s">
        <v>562</v>
      </c>
      <c r="G2753" s="50" t="s">
        <v>559</v>
      </c>
      <c r="H2753" s="50">
        <v>2</v>
      </c>
      <c r="I2753" s="100">
        <v>6.7391919697301583</v>
      </c>
      <c r="J2753" s="52">
        <v>3834.68</v>
      </c>
      <c r="K2753" s="67">
        <f t="shared" si="172"/>
        <v>51452.705523007324</v>
      </c>
      <c r="L2753" s="95">
        <f>+VLOOKUP(E2753,MARGEN!A:B,2,FALSE)</f>
        <v>0.1</v>
      </c>
      <c r="M2753" s="112">
        <f t="shared" si="169"/>
        <v>5145.2705523007326</v>
      </c>
      <c r="N2753" s="113">
        <f t="shared" si="170"/>
        <v>205.8108220920293</v>
      </c>
      <c r="O2753" s="113">
        <f t="shared" si="171"/>
        <v>46101.624148614566</v>
      </c>
    </row>
    <row r="2754" spans="1:15" x14ac:dyDescent="0.25">
      <c r="A2754" s="13">
        <v>44455</v>
      </c>
      <c r="B2754" s="97">
        <v>1967</v>
      </c>
      <c r="C2754" t="s">
        <v>155</v>
      </c>
      <c r="D2754" s="94" t="s">
        <v>399</v>
      </c>
      <c r="E2754" t="s">
        <v>17</v>
      </c>
      <c r="F2754" t="s">
        <v>558</v>
      </c>
      <c r="G2754" s="50" t="s">
        <v>559</v>
      </c>
      <c r="H2754" s="50">
        <v>2</v>
      </c>
      <c r="I2754" s="100">
        <v>6.7391919697301583</v>
      </c>
      <c r="J2754" s="52">
        <v>3834.68</v>
      </c>
      <c r="K2754" s="67">
        <f t="shared" si="172"/>
        <v>50832.482051107683</v>
      </c>
      <c r="L2754" s="95">
        <f>+VLOOKUP(E2754,MARGEN!A:B,2,FALSE)</f>
        <v>0.1</v>
      </c>
      <c r="M2754" s="112">
        <f t="shared" si="169"/>
        <v>5083.248205110769</v>
      </c>
      <c r="N2754" s="113">
        <f t="shared" si="170"/>
        <v>203.32992820443073</v>
      </c>
      <c r="O2754" s="113">
        <f t="shared" si="171"/>
        <v>45545.903917792486</v>
      </c>
    </row>
    <row r="2755" spans="1:15" x14ac:dyDescent="0.25">
      <c r="A2755" s="13">
        <v>44455</v>
      </c>
      <c r="B2755" s="97">
        <v>1847</v>
      </c>
      <c r="C2755" t="s">
        <v>125</v>
      </c>
      <c r="D2755" s="94" t="s">
        <v>341</v>
      </c>
      <c r="E2755" t="s">
        <v>17</v>
      </c>
      <c r="F2755" t="s">
        <v>562</v>
      </c>
      <c r="G2755" s="50" t="s">
        <v>559</v>
      </c>
      <c r="H2755" s="50">
        <v>2</v>
      </c>
      <c r="I2755" s="100">
        <v>6.7391919697301583</v>
      </c>
      <c r="J2755" s="52">
        <v>3834.68</v>
      </c>
      <c r="K2755" s="67">
        <f t="shared" si="172"/>
        <v>47731.364691609502</v>
      </c>
      <c r="L2755" s="95">
        <f>+VLOOKUP(E2755,MARGEN!A:B,2,FALSE)</f>
        <v>0.1</v>
      </c>
      <c r="M2755" s="112">
        <f t="shared" ref="M2755:M2818" si="173">+K2755*L2755</f>
        <v>4773.1364691609506</v>
      </c>
      <c r="N2755" s="113">
        <f t="shared" ref="N2755:N2818" si="174">+K2755*4/1000</f>
        <v>190.925458766438</v>
      </c>
      <c r="O2755" s="113">
        <f t="shared" ref="O2755:O2818" si="175">+K2755-M2755-N2755</f>
        <v>42767.302763682113</v>
      </c>
    </row>
    <row r="2756" spans="1:15" x14ac:dyDescent="0.25">
      <c r="A2756" s="13">
        <v>44455</v>
      </c>
      <c r="B2756" s="97">
        <v>1823</v>
      </c>
      <c r="C2756" t="s">
        <v>304</v>
      </c>
      <c r="D2756" s="94" t="s">
        <v>522</v>
      </c>
      <c r="E2756" t="s">
        <v>17</v>
      </c>
      <c r="F2756" t="s">
        <v>566</v>
      </c>
      <c r="G2756" s="50" t="s">
        <v>559</v>
      </c>
      <c r="H2756" s="50">
        <v>2</v>
      </c>
      <c r="I2756" s="100">
        <v>6.7391919697301583</v>
      </c>
      <c r="J2756" s="52">
        <v>3834.68</v>
      </c>
      <c r="K2756" s="67">
        <f t="shared" si="172"/>
        <v>47111.141219709876</v>
      </c>
      <c r="L2756" s="95">
        <f>+VLOOKUP(E2756,MARGEN!A:B,2,FALSE)</f>
        <v>0.1</v>
      </c>
      <c r="M2756" s="112">
        <f t="shared" si="173"/>
        <v>4711.114121970988</v>
      </c>
      <c r="N2756" s="113">
        <f t="shared" si="174"/>
        <v>188.44456487883951</v>
      </c>
      <c r="O2756" s="113">
        <f t="shared" si="175"/>
        <v>42211.582532860048</v>
      </c>
    </row>
    <row r="2757" spans="1:15" x14ac:dyDescent="0.25">
      <c r="A2757" s="13">
        <v>44455</v>
      </c>
      <c r="B2757" s="97">
        <v>1751</v>
      </c>
      <c r="C2757" t="s">
        <v>154</v>
      </c>
      <c r="D2757" s="94" t="s">
        <v>419</v>
      </c>
      <c r="E2757" t="s">
        <v>17</v>
      </c>
      <c r="F2757" t="s">
        <v>566</v>
      </c>
      <c r="G2757" s="50" t="s">
        <v>559</v>
      </c>
      <c r="H2757" s="50">
        <v>2</v>
      </c>
      <c r="I2757" s="100">
        <v>6.7391919697301583</v>
      </c>
      <c r="J2757" s="52">
        <v>3834.68</v>
      </c>
      <c r="K2757" s="67">
        <f t="shared" si="172"/>
        <v>45250.470804010954</v>
      </c>
      <c r="L2757" s="95">
        <f>+VLOOKUP(E2757,MARGEN!A:B,2,FALSE)</f>
        <v>0.1</v>
      </c>
      <c r="M2757" s="112">
        <f t="shared" si="173"/>
        <v>4525.0470804010956</v>
      </c>
      <c r="N2757" s="113">
        <f t="shared" si="174"/>
        <v>181.00188321604381</v>
      </c>
      <c r="O2757" s="113">
        <f t="shared" si="175"/>
        <v>40544.421840393814</v>
      </c>
    </row>
    <row r="2758" spans="1:15" x14ac:dyDescent="0.25">
      <c r="A2758" s="13">
        <v>44455</v>
      </c>
      <c r="B2758" s="97">
        <v>1727</v>
      </c>
      <c r="C2758" t="s">
        <v>170</v>
      </c>
      <c r="D2758" s="94" t="s">
        <v>437</v>
      </c>
      <c r="E2758" t="s">
        <v>17</v>
      </c>
      <c r="F2758" t="s">
        <v>562</v>
      </c>
      <c r="G2758" s="50" t="s">
        <v>559</v>
      </c>
      <c r="H2758" s="50">
        <v>2</v>
      </c>
      <c r="I2758" s="100">
        <v>6.7391919697301583</v>
      </c>
      <c r="J2758" s="52">
        <v>3834.68</v>
      </c>
      <c r="K2758" s="67">
        <f t="shared" si="172"/>
        <v>44630.247332111321</v>
      </c>
      <c r="L2758" s="95">
        <f>+VLOOKUP(E2758,MARGEN!A:B,2,FALSE)</f>
        <v>0.1</v>
      </c>
      <c r="M2758" s="112">
        <f t="shared" si="173"/>
        <v>4463.0247332111321</v>
      </c>
      <c r="N2758" s="113">
        <f t="shared" si="174"/>
        <v>178.5209893284453</v>
      </c>
      <c r="O2758" s="113">
        <f t="shared" si="175"/>
        <v>39988.701609571741</v>
      </c>
    </row>
    <row r="2759" spans="1:15" x14ac:dyDescent="0.25">
      <c r="A2759" s="13">
        <v>44455</v>
      </c>
      <c r="B2759" s="97">
        <v>1727</v>
      </c>
      <c r="C2759" t="s">
        <v>174</v>
      </c>
      <c r="D2759" s="94" t="s">
        <v>395</v>
      </c>
      <c r="E2759" t="s">
        <v>17</v>
      </c>
      <c r="F2759" t="s">
        <v>562</v>
      </c>
      <c r="G2759" s="50" t="s">
        <v>559</v>
      </c>
      <c r="H2759" s="50">
        <v>2</v>
      </c>
      <c r="I2759" s="100">
        <v>6.7391919697301583</v>
      </c>
      <c r="J2759" s="52">
        <v>3834.68</v>
      </c>
      <c r="K2759" s="67">
        <f t="shared" si="172"/>
        <v>44630.247332111321</v>
      </c>
      <c r="L2759" s="95">
        <f>+VLOOKUP(E2759,MARGEN!A:B,2,FALSE)</f>
        <v>0.1</v>
      </c>
      <c r="M2759" s="112">
        <f t="shared" si="173"/>
        <v>4463.0247332111321</v>
      </c>
      <c r="N2759" s="113">
        <f t="shared" si="174"/>
        <v>178.5209893284453</v>
      </c>
      <c r="O2759" s="113">
        <f t="shared" si="175"/>
        <v>39988.701609571741</v>
      </c>
    </row>
    <row r="2760" spans="1:15" x14ac:dyDescent="0.25">
      <c r="A2760" s="13">
        <v>44455</v>
      </c>
      <c r="B2760" s="97">
        <v>1727</v>
      </c>
      <c r="C2760" t="s">
        <v>223</v>
      </c>
      <c r="D2760" s="94" t="s">
        <v>389</v>
      </c>
      <c r="E2760" t="s">
        <v>17</v>
      </c>
      <c r="F2760" t="s">
        <v>562</v>
      </c>
      <c r="G2760" s="50" t="s">
        <v>559</v>
      </c>
      <c r="H2760" s="50">
        <v>2</v>
      </c>
      <c r="I2760" s="100">
        <v>6.7391919697301583</v>
      </c>
      <c r="J2760" s="52">
        <v>3834.68</v>
      </c>
      <c r="K2760" s="67">
        <f t="shared" si="172"/>
        <v>44630.247332111321</v>
      </c>
      <c r="L2760" s="95">
        <f>+VLOOKUP(E2760,MARGEN!A:B,2,FALSE)</f>
        <v>0.1</v>
      </c>
      <c r="M2760" s="112">
        <f t="shared" si="173"/>
        <v>4463.0247332111321</v>
      </c>
      <c r="N2760" s="113">
        <f t="shared" si="174"/>
        <v>178.5209893284453</v>
      </c>
      <c r="O2760" s="113">
        <f t="shared" si="175"/>
        <v>39988.701609571741</v>
      </c>
    </row>
    <row r="2761" spans="1:15" x14ac:dyDescent="0.25">
      <c r="A2761" s="13">
        <v>44455</v>
      </c>
      <c r="B2761" s="97">
        <v>1727</v>
      </c>
      <c r="C2761" t="s">
        <v>188</v>
      </c>
      <c r="D2761" s="94" t="s">
        <v>397</v>
      </c>
      <c r="E2761" t="s">
        <v>17</v>
      </c>
      <c r="F2761" t="s">
        <v>566</v>
      </c>
      <c r="G2761" s="50" t="s">
        <v>559</v>
      </c>
      <c r="H2761" s="50">
        <v>2</v>
      </c>
      <c r="I2761" s="100">
        <v>6.7391919697301583</v>
      </c>
      <c r="J2761" s="52">
        <v>3834.68</v>
      </c>
      <c r="K2761" s="67">
        <f t="shared" ref="K2761:K2824" si="176">+B2761*I2761*J2761/1000</f>
        <v>44630.247332111321</v>
      </c>
      <c r="L2761" s="95">
        <f>+VLOOKUP(E2761,MARGEN!A:B,2,FALSE)</f>
        <v>0.1</v>
      </c>
      <c r="M2761" s="112">
        <f t="shared" si="173"/>
        <v>4463.0247332111321</v>
      </c>
      <c r="N2761" s="113">
        <f t="shared" si="174"/>
        <v>178.5209893284453</v>
      </c>
      <c r="O2761" s="113">
        <f t="shared" si="175"/>
        <v>39988.701609571741</v>
      </c>
    </row>
    <row r="2762" spans="1:15" x14ac:dyDescent="0.25">
      <c r="A2762" s="13">
        <v>44455</v>
      </c>
      <c r="B2762" s="97">
        <v>1703</v>
      </c>
      <c r="C2762" t="s">
        <v>286</v>
      </c>
      <c r="D2762" s="94" t="s">
        <v>531</v>
      </c>
      <c r="E2762" t="s">
        <v>17</v>
      </c>
      <c r="F2762" t="s">
        <v>562</v>
      </c>
      <c r="G2762" s="50" t="s">
        <v>559</v>
      </c>
      <c r="H2762" s="50">
        <v>2</v>
      </c>
      <c r="I2762" s="100">
        <v>6.7391919697301583</v>
      </c>
      <c r="J2762" s="52">
        <v>3834.68</v>
      </c>
      <c r="K2762" s="67">
        <f t="shared" si="176"/>
        <v>44010.023860211688</v>
      </c>
      <c r="L2762" s="95">
        <f>+VLOOKUP(E2762,MARGEN!A:B,2,FALSE)</f>
        <v>0.1</v>
      </c>
      <c r="M2762" s="112">
        <f t="shared" si="173"/>
        <v>4401.0023860211686</v>
      </c>
      <c r="N2762" s="113">
        <f t="shared" si="174"/>
        <v>176.04009544084676</v>
      </c>
      <c r="O2762" s="113">
        <f t="shared" si="175"/>
        <v>39432.981378749675</v>
      </c>
    </row>
    <row r="2763" spans="1:15" x14ac:dyDescent="0.25">
      <c r="A2763" s="13">
        <v>44455</v>
      </c>
      <c r="B2763" s="97">
        <v>1703</v>
      </c>
      <c r="C2763" t="s">
        <v>120</v>
      </c>
      <c r="D2763" s="94" t="s">
        <v>452</v>
      </c>
      <c r="E2763" t="s">
        <v>17</v>
      </c>
      <c r="F2763" t="s">
        <v>566</v>
      </c>
      <c r="G2763" s="50" t="s">
        <v>559</v>
      </c>
      <c r="H2763" s="50">
        <v>2</v>
      </c>
      <c r="I2763" s="100">
        <v>6.7391919697301583</v>
      </c>
      <c r="J2763" s="52">
        <v>3834.68</v>
      </c>
      <c r="K2763" s="67">
        <f t="shared" si="176"/>
        <v>44010.023860211688</v>
      </c>
      <c r="L2763" s="95">
        <f>+VLOOKUP(E2763,MARGEN!A:B,2,FALSE)</f>
        <v>0.1</v>
      </c>
      <c r="M2763" s="112">
        <f t="shared" si="173"/>
        <v>4401.0023860211686</v>
      </c>
      <c r="N2763" s="113">
        <f t="shared" si="174"/>
        <v>176.04009544084676</v>
      </c>
      <c r="O2763" s="113">
        <f t="shared" si="175"/>
        <v>39432.981378749675</v>
      </c>
    </row>
    <row r="2764" spans="1:15" x14ac:dyDescent="0.25">
      <c r="A2764" s="13">
        <v>44455</v>
      </c>
      <c r="B2764" s="97">
        <v>1703</v>
      </c>
      <c r="C2764" t="s">
        <v>172</v>
      </c>
      <c r="D2764" s="94" t="s">
        <v>371</v>
      </c>
      <c r="E2764" t="s">
        <v>17</v>
      </c>
      <c r="F2764" t="s">
        <v>566</v>
      </c>
      <c r="G2764" s="50" t="s">
        <v>559</v>
      </c>
      <c r="H2764" s="50">
        <v>2</v>
      </c>
      <c r="I2764" s="100">
        <v>6.7391919697301583</v>
      </c>
      <c r="J2764" s="52">
        <v>3834.68</v>
      </c>
      <c r="K2764" s="67">
        <f t="shared" si="176"/>
        <v>44010.023860211688</v>
      </c>
      <c r="L2764" s="95">
        <f>+VLOOKUP(E2764,MARGEN!A:B,2,FALSE)</f>
        <v>0.1</v>
      </c>
      <c r="M2764" s="112">
        <f t="shared" si="173"/>
        <v>4401.0023860211686</v>
      </c>
      <c r="N2764" s="113">
        <f t="shared" si="174"/>
        <v>176.04009544084676</v>
      </c>
      <c r="O2764" s="113">
        <f t="shared" si="175"/>
        <v>39432.981378749675</v>
      </c>
    </row>
    <row r="2765" spans="1:15" x14ac:dyDescent="0.25">
      <c r="A2765" s="13">
        <v>44455</v>
      </c>
      <c r="B2765" s="97">
        <v>1703</v>
      </c>
      <c r="C2765" t="s">
        <v>296</v>
      </c>
      <c r="D2765" s="94" t="s">
        <v>498</v>
      </c>
      <c r="E2765" t="s">
        <v>17</v>
      </c>
      <c r="F2765" t="s">
        <v>562</v>
      </c>
      <c r="G2765" s="50" t="s">
        <v>559</v>
      </c>
      <c r="H2765" s="50">
        <v>2</v>
      </c>
      <c r="I2765" s="100">
        <v>6.7391919697301583</v>
      </c>
      <c r="J2765" s="52">
        <v>3834.68</v>
      </c>
      <c r="K2765" s="67">
        <f t="shared" si="176"/>
        <v>44010.023860211688</v>
      </c>
      <c r="L2765" s="95">
        <f>+VLOOKUP(E2765,MARGEN!A:B,2,FALSE)</f>
        <v>0.1</v>
      </c>
      <c r="M2765" s="112">
        <f t="shared" si="173"/>
        <v>4401.0023860211686</v>
      </c>
      <c r="N2765" s="113">
        <f t="shared" si="174"/>
        <v>176.04009544084676</v>
      </c>
      <c r="O2765" s="113">
        <f t="shared" si="175"/>
        <v>39432.981378749675</v>
      </c>
    </row>
    <row r="2766" spans="1:15" x14ac:dyDescent="0.25">
      <c r="A2766" s="13">
        <v>44455</v>
      </c>
      <c r="B2766" s="97">
        <v>1679</v>
      </c>
      <c r="C2766" t="s">
        <v>175</v>
      </c>
      <c r="D2766" s="94" t="s">
        <v>432</v>
      </c>
      <c r="E2766" t="s">
        <v>17</v>
      </c>
      <c r="F2766" t="s">
        <v>566</v>
      </c>
      <c r="G2766" s="50" t="s">
        <v>559</v>
      </c>
      <c r="H2766" s="50">
        <v>2</v>
      </c>
      <c r="I2766" s="100">
        <v>6.7391919697301583</v>
      </c>
      <c r="J2766" s="52">
        <v>3834.68</v>
      </c>
      <c r="K2766" s="67">
        <f t="shared" si="176"/>
        <v>43389.800388312047</v>
      </c>
      <c r="L2766" s="95">
        <f>+VLOOKUP(E2766,MARGEN!A:B,2,FALSE)</f>
        <v>0.1</v>
      </c>
      <c r="M2766" s="112">
        <f t="shared" si="173"/>
        <v>4338.9800388312051</v>
      </c>
      <c r="N2766" s="113">
        <f t="shared" si="174"/>
        <v>173.55920155324819</v>
      </c>
      <c r="O2766" s="113">
        <f t="shared" si="175"/>
        <v>38877.261147927595</v>
      </c>
    </row>
    <row r="2767" spans="1:15" x14ac:dyDescent="0.25">
      <c r="A2767" s="13">
        <v>44455</v>
      </c>
      <c r="B2767" s="97">
        <v>1679</v>
      </c>
      <c r="C2767" t="s">
        <v>288</v>
      </c>
      <c r="D2767" s="94" t="s">
        <v>530</v>
      </c>
      <c r="E2767" t="s">
        <v>17</v>
      </c>
      <c r="F2767" t="s">
        <v>551</v>
      </c>
      <c r="G2767" s="50" t="s">
        <v>205</v>
      </c>
      <c r="H2767" s="50">
        <v>2</v>
      </c>
      <c r="I2767" s="100">
        <v>6.7391919697301583</v>
      </c>
      <c r="J2767" s="52">
        <v>3834.68</v>
      </c>
      <c r="K2767" s="67">
        <f t="shared" si="176"/>
        <v>43389.800388312047</v>
      </c>
      <c r="L2767" s="95">
        <f>+VLOOKUP(E2767,MARGEN!A:B,2,FALSE)</f>
        <v>0.1</v>
      </c>
      <c r="M2767" s="112">
        <f t="shared" si="173"/>
        <v>4338.9800388312051</v>
      </c>
      <c r="N2767" s="113">
        <f t="shared" si="174"/>
        <v>173.55920155324819</v>
      </c>
      <c r="O2767" s="113">
        <f t="shared" si="175"/>
        <v>38877.261147927595</v>
      </c>
    </row>
    <row r="2768" spans="1:15" x14ac:dyDescent="0.25">
      <c r="A2768" s="13">
        <v>44455</v>
      </c>
      <c r="B2768" s="97">
        <v>1679</v>
      </c>
      <c r="C2768" t="s">
        <v>287</v>
      </c>
      <c r="D2768" s="94" t="s">
        <v>496</v>
      </c>
      <c r="E2768" t="s">
        <v>17</v>
      </c>
      <c r="F2768" t="s">
        <v>566</v>
      </c>
      <c r="G2768" s="50" t="s">
        <v>559</v>
      </c>
      <c r="H2768" s="50">
        <v>2</v>
      </c>
      <c r="I2768" s="100">
        <v>6.7391919697301583</v>
      </c>
      <c r="J2768" s="52">
        <v>3834.68</v>
      </c>
      <c r="K2768" s="67">
        <f t="shared" si="176"/>
        <v>43389.800388312047</v>
      </c>
      <c r="L2768" s="95">
        <f>+VLOOKUP(E2768,MARGEN!A:B,2,FALSE)</f>
        <v>0.1</v>
      </c>
      <c r="M2768" s="112">
        <f t="shared" si="173"/>
        <v>4338.9800388312051</v>
      </c>
      <c r="N2768" s="113">
        <f t="shared" si="174"/>
        <v>173.55920155324819</v>
      </c>
      <c r="O2768" s="113">
        <f t="shared" si="175"/>
        <v>38877.261147927595</v>
      </c>
    </row>
    <row r="2769" spans="1:15" x14ac:dyDescent="0.25">
      <c r="A2769" s="13">
        <v>44455</v>
      </c>
      <c r="B2769" s="97">
        <v>1679</v>
      </c>
      <c r="C2769" t="s">
        <v>121</v>
      </c>
      <c r="D2769" s="94" t="s">
        <v>381</v>
      </c>
      <c r="E2769" t="s">
        <v>17</v>
      </c>
      <c r="F2769" t="s">
        <v>562</v>
      </c>
      <c r="G2769" s="50" t="s">
        <v>559</v>
      </c>
      <c r="H2769" s="50">
        <v>2</v>
      </c>
      <c r="I2769" s="100">
        <v>6.7391919697301583</v>
      </c>
      <c r="J2769" s="52">
        <v>3834.68</v>
      </c>
      <c r="K2769" s="67">
        <f t="shared" si="176"/>
        <v>43389.800388312047</v>
      </c>
      <c r="L2769" s="95">
        <f>+VLOOKUP(E2769,MARGEN!A:B,2,FALSE)</f>
        <v>0.1</v>
      </c>
      <c r="M2769" s="112">
        <f t="shared" si="173"/>
        <v>4338.9800388312051</v>
      </c>
      <c r="N2769" s="113">
        <f t="shared" si="174"/>
        <v>173.55920155324819</v>
      </c>
      <c r="O2769" s="113">
        <f t="shared" si="175"/>
        <v>38877.261147927595</v>
      </c>
    </row>
    <row r="2770" spans="1:15" x14ac:dyDescent="0.25">
      <c r="A2770" s="13">
        <v>44455</v>
      </c>
      <c r="B2770" s="97">
        <v>1679</v>
      </c>
      <c r="C2770" t="s">
        <v>194</v>
      </c>
      <c r="D2770" s="94" t="s">
        <v>417</v>
      </c>
      <c r="E2770" t="s">
        <v>17</v>
      </c>
      <c r="F2770" t="s">
        <v>562</v>
      </c>
      <c r="G2770" s="50" t="s">
        <v>559</v>
      </c>
      <c r="H2770" s="50">
        <v>2</v>
      </c>
      <c r="I2770" s="100">
        <v>6.7391919697301583</v>
      </c>
      <c r="J2770" s="52">
        <v>3834.68</v>
      </c>
      <c r="K2770" s="67">
        <f t="shared" si="176"/>
        <v>43389.800388312047</v>
      </c>
      <c r="L2770" s="95">
        <f>+VLOOKUP(E2770,MARGEN!A:B,2,FALSE)</f>
        <v>0.1</v>
      </c>
      <c r="M2770" s="112">
        <f t="shared" si="173"/>
        <v>4338.9800388312051</v>
      </c>
      <c r="N2770" s="113">
        <f t="shared" si="174"/>
        <v>173.55920155324819</v>
      </c>
      <c r="O2770" s="113">
        <f t="shared" si="175"/>
        <v>38877.261147927595</v>
      </c>
    </row>
    <row r="2771" spans="1:15" x14ac:dyDescent="0.25">
      <c r="A2771" s="13">
        <v>44455</v>
      </c>
      <c r="B2771" s="51">
        <v>1655</v>
      </c>
      <c r="C2771" s="66" t="s">
        <v>285</v>
      </c>
      <c r="D2771" s="66" t="s">
        <v>534</v>
      </c>
      <c r="E2771" t="s">
        <v>17</v>
      </c>
      <c r="F2771" s="50" t="s">
        <v>562</v>
      </c>
      <c r="G2771" s="50" t="s">
        <v>559</v>
      </c>
      <c r="H2771" s="50">
        <v>2</v>
      </c>
      <c r="I2771" s="100">
        <v>6.7391919697301583</v>
      </c>
      <c r="J2771" s="52">
        <v>3834.68</v>
      </c>
      <c r="K2771" s="67">
        <f t="shared" si="176"/>
        <v>42769.576916412421</v>
      </c>
      <c r="L2771" s="95">
        <f>+VLOOKUP(E2771,MARGEN!A:B,2,FALSE)</f>
        <v>0.1</v>
      </c>
      <c r="M2771" s="112">
        <f t="shared" si="173"/>
        <v>4276.9576916412425</v>
      </c>
      <c r="N2771" s="113">
        <f t="shared" si="174"/>
        <v>171.07830766564967</v>
      </c>
      <c r="O2771" s="113">
        <f t="shared" si="175"/>
        <v>38321.540917105529</v>
      </c>
    </row>
    <row r="2772" spans="1:15" x14ac:dyDescent="0.25">
      <c r="A2772" s="13">
        <v>44455</v>
      </c>
      <c r="B2772" s="97">
        <v>1631</v>
      </c>
      <c r="C2772" t="s">
        <v>196</v>
      </c>
      <c r="D2772" s="94" t="s">
        <v>413</v>
      </c>
      <c r="E2772" t="s">
        <v>17</v>
      </c>
      <c r="F2772" t="s">
        <v>562</v>
      </c>
      <c r="G2772" s="50" t="s">
        <v>559</v>
      </c>
      <c r="H2772" s="50">
        <v>2</v>
      </c>
      <c r="I2772" s="100">
        <v>6.7391919697301583</v>
      </c>
      <c r="J2772" s="52">
        <v>3834.68</v>
      </c>
      <c r="K2772" s="67">
        <f t="shared" si="176"/>
        <v>42149.353444512773</v>
      </c>
      <c r="L2772" s="95">
        <f>+VLOOKUP(E2772,MARGEN!A:B,2,FALSE)</f>
        <v>0.1</v>
      </c>
      <c r="M2772" s="112">
        <f t="shared" si="173"/>
        <v>4214.9353444512772</v>
      </c>
      <c r="N2772" s="113">
        <f t="shared" si="174"/>
        <v>168.59741377805111</v>
      </c>
      <c r="O2772" s="113">
        <f t="shared" si="175"/>
        <v>37765.820686283449</v>
      </c>
    </row>
    <row r="2773" spans="1:15" x14ac:dyDescent="0.25">
      <c r="A2773" s="13">
        <v>44455</v>
      </c>
      <c r="B2773" s="97">
        <v>1631</v>
      </c>
      <c r="C2773" t="s">
        <v>209</v>
      </c>
      <c r="D2773" s="94" t="s">
        <v>441</v>
      </c>
      <c r="E2773" t="s">
        <v>17</v>
      </c>
      <c r="F2773" t="s">
        <v>562</v>
      </c>
      <c r="G2773" s="50" t="s">
        <v>559</v>
      </c>
      <c r="H2773" s="50">
        <v>2</v>
      </c>
      <c r="I2773" s="100">
        <v>6.7391919697301583</v>
      </c>
      <c r="J2773" s="52">
        <v>3834.68</v>
      </c>
      <c r="K2773" s="67">
        <f t="shared" si="176"/>
        <v>42149.353444512773</v>
      </c>
      <c r="L2773" s="95">
        <f>+VLOOKUP(E2773,MARGEN!A:B,2,FALSE)</f>
        <v>0.1</v>
      </c>
      <c r="M2773" s="112">
        <f t="shared" si="173"/>
        <v>4214.9353444512772</v>
      </c>
      <c r="N2773" s="113">
        <f t="shared" si="174"/>
        <v>168.59741377805111</v>
      </c>
      <c r="O2773" s="113">
        <f t="shared" si="175"/>
        <v>37765.820686283449</v>
      </c>
    </row>
    <row r="2774" spans="1:15" x14ac:dyDescent="0.25">
      <c r="A2774" s="43">
        <v>44455</v>
      </c>
      <c r="B2774" s="97">
        <v>1631</v>
      </c>
      <c r="C2774" s="88" t="s">
        <v>290</v>
      </c>
      <c r="D2774" s="94" t="s">
        <v>454</v>
      </c>
      <c r="E2774" t="s">
        <v>17</v>
      </c>
      <c r="F2774" s="88" t="s">
        <v>566</v>
      </c>
      <c r="G2774" s="50" t="s">
        <v>559</v>
      </c>
      <c r="H2774" s="50">
        <v>2</v>
      </c>
      <c r="I2774" s="100">
        <v>6.7391919697301583</v>
      </c>
      <c r="J2774" s="52">
        <v>3834.68</v>
      </c>
      <c r="K2774" s="67">
        <f t="shared" si="176"/>
        <v>42149.353444512773</v>
      </c>
      <c r="L2774" s="95">
        <f>+VLOOKUP(E2774,MARGEN!A:B,2,FALSE)</f>
        <v>0.1</v>
      </c>
      <c r="M2774" s="112">
        <f t="shared" si="173"/>
        <v>4214.9353444512772</v>
      </c>
      <c r="N2774" s="113">
        <f t="shared" si="174"/>
        <v>168.59741377805111</v>
      </c>
      <c r="O2774" s="113">
        <f t="shared" si="175"/>
        <v>37765.820686283449</v>
      </c>
    </row>
    <row r="2775" spans="1:15" x14ac:dyDescent="0.25">
      <c r="A2775" s="13">
        <v>44455</v>
      </c>
      <c r="B2775" s="97">
        <v>1631</v>
      </c>
      <c r="C2775" s="88" t="s">
        <v>171</v>
      </c>
      <c r="D2775" t="s">
        <v>387</v>
      </c>
      <c r="E2775" t="s">
        <v>17</v>
      </c>
      <c r="F2775" t="s">
        <v>562</v>
      </c>
      <c r="G2775" s="50" t="s">
        <v>559</v>
      </c>
      <c r="H2775" s="50">
        <v>2</v>
      </c>
      <c r="I2775" s="100">
        <v>6.7391919697301583</v>
      </c>
      <c r="J2775" s="52">
        <v>3834.68</v>
      </c>
      <c r="K2775" s="67">
        <f t="shared" si="176"/>
        <v>42149.353444512773</v>
      </c>
      <c r="L2775" s="95">
        <f>+VLOOKUP(E2775,MARGEN!A:B,2,FALSE)</f>
        <v>0.1</v>
      </c>
      <c r="M2775" s="112">
        <f t="shared" si="173"/>
        <v>4214.9353444512772</v>
      </c>
      <c r="N2775" s="113">
        <f t="shared" si="174"/>
        <v>168.59741377805111</v>
      </c>
      <c r="O2775" s="113">
        <f t="shared" si="175"/>
        <v>37765.820686283449</v>
      </c>
    </row>
    <row r="2776" spans="1:15" x14ac:dyDescent="0.25">
      <c r="A2776" s="13">
        <v>44455</v>
      </c>
      <c r="B2776" s="97">
        <v>1607</v>
      </c>
      <c r="C2776" t="s">
        <v>180</v>
      </c>
      <c r="D2776" s="94" t="s">
        <v>447</v>
      </c>
      <c r="E2776" t="s">
        <v>17</v>
      </c>
      <c r="F2776" t="s">
        <v>551</v>
      </c>
      <c r="G2776" s="50" t="s">
        <v>205</v>
      </c>
      <c r="H2776" s="50">
        <v>2</v>
      </c>
      <c r="I2776" s="100">
        <v>6.7391919697301583</v>
      </c>
      <c r="J2776" s="52">
        <v>3834.68</v>
      </c>
      <c r="K2776" s="67">
        <f t="shared" si="176"/>
        <v>41529.12997261314</v>
      </c>
      <c r="L2776" s="95">
        <f>+VLOOKUP(E2776,MARGEN!A:B,2,FALSE)</f>
        <v>0.1</v>
      </c>
      <c r="M2776" s="112">
        <f t="shared" si="173"/>
        <v>4152.9129972613146</v>
      </c>
      <c r="N2776" s="113">
        <f t="shared" si="174"/>
        <v>166.11651989045257</v>
      </c>
      <c r="O2776" s="113">
        <f t="shared" si="175"/>
        <v>37210.100455461376</v>
      </c>
    </row>
    <row r="2777" spans="1:15" x14ac:dyDescent="0.25">
      <c r="A2777" s="13">
        <v>44455</v>
      </c>
      <c r="B2777" s="97">
        <v>1559</v>
      </c>
      <c r="C2777" t="s">
        <v>176</v>
      </c>
      <c r="D2777" s="94" t="s">
        <v>430</v>
      </c>
      <c r="E2777" t="s">
        <v>17</v>
      </c>
      <c r="F2777" t="s">
        <v>562</v>
      </c>
      <c r="G2777" s="50" t="s">
        <v>559</v>
      </c>
      <c r="H2777" s="50">
        <v>2</v>
      </c>
      <c r="I2777" s="100">
        <v>6.7391919697301583</v>
      </c>
      <c r="J2777" s="52">
        <v>3834.68</v>
      </c>
      <c r="K2777" s="67">
        <f t="shared" si="176"/>
        <v>40288.683028813866</v>
      </c>
      <c r="L2777" s="95">
        <f>+VLOOKUP(E2777,MARGEN!A:B,2,FALSE)</f>
        <v>0.1</v>
      </c>
      <c r="M2777" s="112">
        <f t="shared" si="173"/>
        <v>4028.8683028813866</v>
      </c>
      <c r="N2777" s="113">
        <f t="shared" si="174"/>
        <v>161.15473211525546</v>
      </c>
      <c r="O2777" s="113">
        <f t="shared" si="175"/>
        <v>36098.659993817222</v>
      </c>
    </row>
    <row r="2778" spans="1:15" x14ac:dyDescent="0.25">
      <c r="A2778" s="13">
        <v>44455</v>
      </c>
      <c r="B2778" s="97">
        <v>1559</v>
      </c>
      <c r="C2778" t="s">
        <v>152</v>
      </c>
      <c r="D2778" s="94" t="s">
        <v>425</v>
      </c>
      <c r="E2778" t="s">
        <v>17</v>
      </c>
      <c r="F2778" t="s">
        <v>551</v>
      </c>
      <c r="G2778" s="50" t="s">
        <v>205</v>
      </c>
      <c r="H2778" s="50">
        <v>2</v>
      </c>
      <c r="I2778" s="100">
        <v>6.7391919697301583</v>
      </c>
      <c r="J2778" s="52">
        <v>3834.68</v>
      </c>
      <c r="K2778" s="67">
        <f t="shared" si="176"/>
        <v>40288.683028813866</v>
      </c>
      <c r="L2778" s="95">
        <f>+VLOOKUP(E2778,MARGEN!A:B,2,FALSE)</f>
        <v>0.1</v>
      </c>
      <c r="M2778" s="112">
        <f t="shared" si="173"/>
        <v>4028.8683028813866</v>
      </c>
      <c r="N2778" s="113">
        <f t="shared" si="174"/>
        <v>161.15473211525546</v>
      </c>
      <c r="O2778" s="113">
        <f t="shared" si="175"/>
        <v>36098.659993817222</v>
      </c>
    </row>
    <row r="2779" spans="1:15" x14ac:dyDescent="0.25">
      <c r="A2779" s="13">
        <v>44455</v>
      </c>
      <c r="B2779" s="97">
        <v>1559</v>
      </c>
      <c r="C2779" t="s">
        <v>294</v>
      </c>
      <c r="D2779" s="94" t="s">
        <v>527</v>
      </c>
      <c r="E2779" t="s">
        <v>17</v>
      </c>
      <c r="F2779" t="s">
        <v>551</v>
      </c>
      <c r="G2779" s="50" t="s">
        <v>205</v>
      </c>
      <c r="H2779" s="50">
        <v>2</v>
      </c>
      <c r="I2779" s="100">
        <v>6.7391919697301583</v>
      </c>
      <c r="J2779" s="52">
        <v>3834.68</v>
      </c>
      <c r="K2779" s="67">
        <f t="shared" si="176"/>
        <v>40288.683028813866</v>
      </c>
      <c r="L2779" s="95">
        <f>+VLOOKUP(E2779,MARGEN!A:B,2,FALSE)</f>
        <v>0.1</v>
      </c>
      <c r="M2779" s="112">
        <f t="shared" si="173"/>
        <v>4028.8683028813866</v>
      </c>
      <c r="N2779" s="113">
        <f t="shared" si="174"/>
        <v>161.15473211525546</v>
      </c>
      <c r="O2779" s="113">
        <f t="shared" si="175"/>
        <v>36098.659993817222</v>
      </c>
    </row>
    <row r="2780" spans="1:15" x14ac:dyDescent="0.25">
      <c r="A2780" s="13">
        <v>44455</v>
      </c>
      <c r="B2780" s="97">
        <v>1559</v>
      </c>
      <c r="C2780" t="s">
        <v>552</v>
      </c>
      <c r="D2780" s="94" t="s">
        <v>563</v>
      </c>
      <c r="E2780" t="s">
        <v>17</v>
      </c>
      <c r="F2780" t="s">
        <v>566</v>
      </c>
      <c r="G2780" s="50" t="s">
        <v>559</v>
      </c>
      <c r="H2780" s="50">
        <v>2</v>
      </c>
      <c r="I2780" s="100">
        <v>6.7391919697301583</v>
      </c>
      <c r="J2780" s="52">
        <v>3834.68</v>
      </c>
      <c r="K2780" s="67">
        <f t="shared" si="176"/>
        <v>40288.683028813866</v>
      </c>
      <c r="L2780" s="95">
        <f>+VLOOKUP(E2780,MARGEN!A:B,2,FALSE)</f>
        <v>0.1</v>
      </c>
      <c r="M2780" s="112">
        <f t="shared" si="173"/>
        <v>4028.8683028813866</v>
      </c>
      <c r="N2780" s="113">
        <f t="shared" si="174"/>
        <v>161.15473211525546</v>
      </c>
      <c r="O2780" s="113">
        <f t="shared" si="175"/>
        <v>36098.659993817222</v>
      </c>
    </row>
    <row r="2781" spans="1:15" x14ac:dyDescent="0.25">
      <c r="A2781" s="13">
        <v>44455</v>
      </c>
      <c r="B2781" s="97">
        <v>1559</v>
      </c>
      <c r="C2781" t="s">
        <v>119</v>
      </c>
      <c r="D2781" s="94" t="s">
        <v>377</v>
      </c>
      <c r="E2781" t="s">
        <v>17</v>
      </c>
      <c r="F2781" t="s">
        <v>562</v>
      </c>
      <c r="G2781" s="50" t="s">
        <v>559</v>
      </c>
      <c r="H2781" s="50">
        <v>2</v>
      </c>
      <c r="I2781" s="100">
        <v>6.7391919697301583</v>
      </c>
      <c r="J2781" s="52">
        <v>3834.68</v>
      </c>
      <c r="K2781" s="67">
        <f t="shared" si="176"/>
        <v>40288.683028813866</v>
      </c>
      <c r="L2781" s="95">
        <f>+VLOOKUP(E2781,MARGEN!A:B,2,FALSE)</f>
        <v>0.1</v>
      </c>
      <c r="M2781" s="112">
        <f t="shared" si="173"/>
        <v>4028.8683028813866</v>
      </c>
      <c r="N2781" s="113">
        <f t="shared" si="174"/>
        <v>161.15473211525546</v>
      </c>
      <c r="O2781" s="113">
        <f t="shared" si="175"/>
        <v>36098.659993817222</v>
      </c>
    </row>
    <row r="2782" spans="1:15" x14ac:dyDescent="0.25">
      <c r="A2782" s="13">
        <v>44455</v>
      </c>
      <c r="B2782" s="97">
        <v>1535</v>
      </c>
      <c r="C2782" t="s">
        <v>137</v>
      </c>
      <c r="D2782" s="94" t="s">
        <v>418</v>
      </c>
      <c r="E2782" t="s">
        <v>17</v>
      </c>
      <c r="F2782" t="s">
        <v>551</v>
      </c>
      <c r="G2782" s="50" t="s">
        <v>205</v>
      </c>
      <c r="H2782" s="50">
        <v>2</v>
      </c>
      <c r="I2782" s="100">
        <v>6.7391919697301583</v>
      </c>
      <c r="J2782" s="52">
        <v>3834.68</v>
      </c>
      <c r="K2782" s="67">
        <f t="shared" si="176"/>
        <v>39668.459556914233</v>
      </c>
      <c r="L2782" s="95">
        <f>+VLOOKUP(E2782,MARGEN!A:B,2,FALSE)</f>
        <v>0.1</v>
      </c>
      <c r="M2782" s="112">
        <f t="shared" si="173"/>
        <v>3966.8459556914236</v>
      </c>
      <c r="N2782" s="113">
        <f t="shared" si="174"/>
        <v>158.67383822765694</v>
      </c>
      <c r="O2782" s="113">
        <f t="shared" si="175"/>
        <v>35542.939762995149</v>
      </c>
    </row>
    <row r="2783" spans="1:15" x14ac:dyDescent="0.25">
      <c r="A2783" s="13">
        <v>44455</v>
      </c>
      <c r="B2783" s="97">
        <v>1511</v>
      </c>
      <c r="C2783" t="s">
        <v>291</v>
      </c>
      <c r="D2783" s="94" t="s">
        <v>492</v>
      </c>
      <c r="E2783" t="s">
        <v>17</v>
      </c>
      <c r="F2783" t="s">
        <v>566</v>
      </c>
      <c r="G2783" s="50" t="s">
        <v>559</v>
      </c>
      <c r="H2783" s="50">
        <v>2</v>
      </c>
      <c r="I2783" s="100">
        <v>6.7391919697301583</v>
      </c>
      <c r="J2783" s="52">
        <v>3834.68</v>
      </c>
      <c r="K2783" s="67">
        <f t="shared" si="176"/>
        <v>39048.2360850146</v>
      </c>
      <c r="L2783" s="95">
        <f>+VLOOKUP(E2783,MARGEN!A:B,2,FALSE)</f>
        <v>0.1</v>
      </c>
      <c r="M2783" s="112">
        <f t="shared" si="173"/>
        <v>3904.8236085014601</v>
      </c>
      <c r="N2783" s="113">
        <f t="shared" si="174"/>
        <v>156.1929443400584</v>
      </c>
      <c r="O2783" s="113">
        <f t="shared" si="175"/>
        <v>34987.219532173083</v>
      </c>
    </row>
    <row r="2784" spans="1:15" x14ac:dyDescent="0.25">
      <c r="A2784" s="13">
        <v>44455</v>
      </c>
      <c r="B2784" s="97">
        <v>1511</v>
      </c>
      <c r="C2784" t="s">
        <v>202</v>
      </c>
      <c r="D2784" s="94" t="s">
        <v>436</v>
      </c>
      <c r="E2784" t="s">
        <v>17</v>
      </c>
      <c r="F2784" t="s">
        <v>562</v>
      </c>
      <c r="G2784" s="50" t="s">
        <v>559</v>
      </c>
      <c r="H2784" s="50">
        <v>2</v>
      </c>
      <c r="I2784" s="100">
        <v>6.7391919697301583</v>
      </c>
      <c r="J2784" s="52">
        <v>3834.68</v>
      </c>
      <c r="K2784" s="67">
        <f t="shared" si="176"/>
        <v>39048.2360850146</v>
      </c>
      <c r="L2784" s="95">
        <f>+VLOOKUP(E2784,MARGEN!A:B,2,FALSE)</f>
        <v>0.1</v>
      </c>
      <c r="M2784" s="112">
        <f t="shared" si="173"/>
        <v>3904.8236085014601</v>
      </c>
      <c r="N2784" s="113">
        <f t="shared" si="174"/>
        <v>156.1929443400584</v>
      </c>
      <c r="O2784" s="113">
        <f t="shared" si="175"/>
        <v>34987.219532173083</v>
      </c>
    </row>
    <row r="2785" spans="1:15" x14ac:dyDescent="0.25">
      <c r="A2785" s="13">
        <v>44455</v>
      </c>
      <c r="B2785" s="97">
        <v>1487</v>
      </c>
      <c r="C2785" t="s">
        <v>169</v>
      </c>
      <c r="D2785" s="94" t="s">
        <v>351</v>
      </c>
      <c r="E2785" t="s">
        <v>17</v>
      </c>
      <c r="F2785" t="s">
        <v>566</v>
      </c>
      <c r="G2785" s="50" t="s">
        <v>559</v>
      </c>
      <c r="H2785" s="50">
        <v>2</v>
      </c>
      <c r="I2785" s="100">
        <v>6.7391919697301583</v>
      </c>
      <c r="J2785" s="52">
        <v>3834.68</v>
      </c>
      <c r="K2785" s="67">
        <f t="shared" si="176"/>
        <v>38428.012613114959</v>
      </c>
      <c r="L2785" s="95">
        <f>+VLOOKUP(E2785,MARGEN!A:B,2,FALSE)</f>
        <v>0.1</v>
      </c>
      <c r="M2785" s="112">
        <f t="shared" si="173"/>
        <v>3842.8012613114961</v>
      </c>
      <c r="N2785" s="113">
        <f t="shared" si="174"/>
        <v>153.71205045245983</v>
      </c>
      <c r="O2785" s="113">
        <f t="shared" si="175"/>
        <v>34431.499301351003</v>
      </c>
    </row>
    <row r="2786" spans="1:15" x14ac:dyDescent="0.25">
      <c r="A2786" s="13">
        <v>44455</v>
      </c>
      <c r="B2786" s="97">
        <v>1463</v>
      </c>
      <c r="C2786" t="s">
        <v>297</v>
      </c>
      <c r="D2786" s="94" t="s">
        <v>526</v>
      </c>
      <c r="E2786" t="s">
        <v>17</v>
      </c>
      <c r="F2786" t="s">
        <v>566</v>
      </c>
      <c r="G2786" s="50" t="s">
        <v>559</v>
      </c>
      <c r="H2786" s="50">
        <v>2</v>
      </c>
      <c r="I2786" s="100">
        <v>6.7391919697301583</v>
      </c>
      <c r="J2786" s="52">
        <v>3834.68</v>
      </c>
      <c r="K2786" s="67">
        <f t="shared" si="176"/>
        <v>37807.789141215326</v>
      </c>
      <c r="L2786" s="95">
        <f>+VLOOKUP(E2786,MARGEN!A:B,2,FALSE)</f>
        <v>0.1</v>
      </c>
      <c r="M2786" s="112">
        <f t="shared" si="173"/>
        <v>3780.7789141215326</v>
      </c>
      <c r="N2786" s="113">
        <f t="shared" si="174"/>
        <v>151.23115656486129</v>
      </c>
      <c r="O2786" s="113">
        <f t="shared" si="175"/>
        <v>33875.77907052893</v>
      </c>
    </row>
    <row r="2787" spans="1:15" x14ac:dyDescent="0.25">
      <c r="A2787" s="13">
        <v>44455</v>
      </c>
      <c r="B2787" s="97">
        <v>1439</v>
      </c>
      <c r="C2787" t="s">
        <v>210</v>
      </c>
      <c r="D2787" s="94" t="s">
        <v>402</v>
      </c>
      <c r="E2787" t="s">
        <v>17</v>
      </c>
      <c r="F2787" t="s">
        <v>566</v>
      </c>
      <c r="G2787" s="50" t="s">
        <v>559</v>
      </c>
      <c r="H2787" s="50">
        <v>2</v>
      </c>
      <c r="I2787" s="100">
        <v>6.7391919697301583</v>
      </c>
      <c r="J2787" s="52">
        <v>3834.68</v>
      </c>
      <c r="K2787" s="67">
        <f t="shared" si="176"/>
        <v>37187.565669315685</v>
      </c>
      <c r="L2787" s="95">
        <f>+VLOOKUP(E2787,MARGEN!A:B,2,FALSE)</f>
        <v>0.1</v>
      </c>
      <c r="M2787" s="112">
        <f t="shared" si="173"/>
        <v>3718.7565669315686</v>
      </c>
      <c r="N2787" s="113">
        <f t="shared" si="174"/>
        <v>148.75026267726275</v>
      </c>
      <c r="O2787" s="113">
        <f t="shared" si="175"/>
        <v>33320.058839706857</v>
      </c>
    </row>
    <row r="2788" spans="1:15" x14ac:dyDescent="0.25">
      <c r="A2788" s="13">
        <v>44455</v>
      </c>
      <c r="B2788" s="97">
        <v>1439</v>
      </c>
      <c r="C2788" t="s">
        <v>168</v>
      </c>
      <c r="D2788" s="94" t="s">
        <v>352</v>
      </c>
      <c r="E2788" t="s">
        <v>17</v>
      </c>
      <c r="F2788" t="s">
        <v>562</v>
      </c>
      <c r="G2788" s="50" t="s">
        <v>559</v>
      </c>
      <c r="H2788" s="50">
        <v>2</v>
      </c>
      <c r="I2788" s="100">
        <v>6.7391919697301583</v>
      </c>
      <c r="J2788" s="52">
        <v>3834.68</v>
      </c>
      <c r="K2788" s="67">
        <f t="shared" si="176"/>
        <v>37187.565669315685</v>
      </c>
      <c r="L2788" s="95">
        <f>+VLOOKUP(E2788,MARGEN!A:B,2,FALSE)</f>
        <v>0.1</v>
      </c>
      <c r="M2788" s="112">
        <f t="shared" si="173"/>
        <v>3718.7565669315686</v>
      </c>
      <c r="N2788" s="113">
        <f t="shared" si="174"/>
        <v>148.75026267726275</v>
      </c>
      <c r="O2788" s="113">
        <f t="shared" si="175"/>
        <v>33320.058839706857</v>
      </c>
    </row>
    <row r="2789" spans="1:15" x14ac:dyDescent="0.25">
      <c r="A2789" s="13">
        <v>44455</v>
      </c>
      <c r="B2789" s="97">
        <v>1439</v>
      </c>
      <c r="C2789" t="s">
        <v>200</v>
      </c>
      <c r="D2789" s="94" t="s">
        <v>428</v>
      </c>
      <c r="E2789" t="s">
        <v>17</v>
      </c>
      <c r="F2789" t="s">
        <v>551</v>
      </c>
      <c r="G2789" s="50" t="s">
        <v>205</v>
      </c>
      <c r="H2789" s="50">
        <v>2</v>
      </c>
      <c r="I2789" s="100">
        <v>6.7391919697301583</v>
      </c>
      <c r="J2789" s="52">
        <v>3834.68</v>
      </c>
      <c r="K2789" s="67">
        <f t="shared" si="176"/>
        <v>37187.565669315685</v>
      </c>
      <c r="L2789" s="95">
        <f>+VLOOKUP(E2789,MARGEN!A:B,2,FALSE)</f>
        <v>0.1</v>
      </c>
      <c r="M2789" s="112">
        <f t="shared" si="173"/>
        <v>3718.7565669315686</v>
      </c>
      <c r="N2789" s="113">
        <f t="shared" si="174"/>
        <v>148.75026267726275</v>
      </c>
      <c r="O2789" s="113">
        <f t="shared" si="175"/>
        <v>33320.058839706857</v>
      </c>
    </row>
    <row r="2790" spans="1:15" x14ac:dyDescent="0.25">
      <c r="A2790" s="13">
        <v>44455</v>
      </c>
      <c r="B2790" s="97">
        <v>1367</v>
      </c>
      <c r="C2790" t="s">
        <v>173</v>
      </c>
      <c r="D2790" s="94" t="s">
        <v>451</v>
      </c>
      <c r="E2790" t="s">
        <v>17</v>
      </c>
      <c r="F2790" t="s">
        <v>562</v>
      </c>
      <c r="G2790" s="50" t="s">
        <v>559</v>
      </c>
      <c r="H2790" s="50">
        <v>2</v>
      </c>
      <c r="I2790" s="100">
        <v>6.7391919697301583</v>
      </c>
      <c r="J2790" s="52">
        <v>3834.68</v>
      </c>
      <c r="K2790" s="67">
        <f t="shared" si="176"/>
        <v>35326.895253616778</v>
      </c>
      <c r="L2790" s="95">
        <f>+VLOOKUP(E2790,MARGEN!A:B,2,FALSE)</f>
        <v>0.1</v>
      </c>
      <c r="M2790" s="112">
        <f t="shared" si="173"/>
        <v>3532.6895253616781</v>
      </c>
      <c r="N2790" s="113">
        <f t="shared" si="174"/>
        <v>141.3075810144671</v>
      </c>
      <c r="O2790" s="113">
        <f t="shared" si="175"/>
        <v>31652.898147240634</v>
      </c>
    </row>
    <row r="2791" spans="1:15" x14ac:dyDescent="0.25">
      <c r="A2791" s="13">
        <v>44455</v>
      </c>
      <c r="B2791" s="97">
        <v>1343</v>
      </c>
      <c r="C2791" t="s">
        <v>292</v>
      </c>
      <c r="D2791" s="94" t="s">
        <v>535</v>
      </c>
      <c r="E2791" t="s">
        <v>17</v>
      </c>
      <c r="F2791" t="s">
        <v>562</v>
      </c>
      <c r="G2791" s="50" t="s">
        <v>559</v>
      </c>
      <c r="H2791" s="50">
        <v>2</v>
      </c>
      <c r="I2791" s="100">
        <v>6.7391919697301583</v>
      </c>
      <c r="J2791" s="52">
        <v>3834.68</v>
      </c>
      <c r="K2791" s="67">
        <f t="shared" si="176"/>
        <v>34706.671781717145</v>
      </c>
      <c r="L2791" s="95">
        <f>+VLOOKUP(E2791,MARGEN!A:B,2,FALSE)</f>
        <v>0.1</v>
      </c>
      <c r="M2791" s="112">
        <f t="shared" si="173"/>
        <v>3470.6671781717146</v>
      </c>
      <c r="N2791" s="113">
        <f t="shared" si="174"/>
        <v>138.82668712686859</v>
      </c>
      <c r="O2791" s="113">
        <f t="shared" si="175"/>
        <v>31097.177916418561</v>
      </c>
    </row>
    <row r="2792" spans="1:15" x14ac:dyDescent="0.25">
      <c r="A2792" s="13">
        <v>44455</v>
      </c>
      <c r="B2792" s="97">
        <v>1319</v>
      </c>
      <c r="C2792" t="s">
        <v>141</v>
      </c>
      <c r="D2792" s="94" t="s">
        <v>450</v>
      </c>
      <c r="E2792" t="s">
        <v>17</v>
      </c>
      <c r="F2792" t="s">
        <v>566</v>
      </c>
      <c r="G2792" s="50" t="s">
        <v>559</v>
      </c>
      <c r="H2792" s="50">
        <v>2</v>
      </c>
      <c r="I2792" s="100">
        <v>6.7391919697301583</v>
      </c>
      <c r="J2792" s="52">
        <v>3834.68</v>
      </c>
      <c r="K2792" s="67">
        <f t="shared" si="176"/>
        <v>34086.448309817511</v>
      </c>
      <c r="L2792" s="95">
        <f>+VLOOKUP(E2792,MARGEN!A:B,2,FALSE)</f>
        <v>0.1</v>
      </c>
      <c r="M2792" s="112">
        <f t="shared" si="173"/>
        <v>3408.6448309817515</v>
      </c>
      <c r="N2792" s="113">
        <f t="shared" si="174"/>
        <v>136.34579323927005</v>
      </c>
      <c r="O2792" s="113">
        <f t="shared" si="175"/>
        <v>30541.457685596492</v>
      </c>
    </row>
    <row r="2793" spans="1:15" x14ac:dyDescent="0.25">
      <c r="A2793" s="13">
        <v>44455</v>
      </c>
      <c r="B2793" s="97">
        <v>1319</v>
      </c>
      <c r="C2793" t="s">
        <v>118</v>
      </c>
      <c r="D2793" s="94" t="s">
        <v>329</v>
      </c>
      <c r="E2793" t="s">
        <v>17</v>
      </c>
      <c r="F2793" t="s">
        <v>566</v>
      </c>
      <c r="G2793" s="50" t="s">
        <v>559</v>
      </c>
      <c r="H2793" s="50">
        <v>2</v>
      </c>
      <c r="I2793" s="100">
        <v>6.7391919697301583</v>
      </c>
      <c r="J2793" s="52">
        <v>3834.68</v>
      </c>
      <c r="K2793" s="67">
        <f t="shared" si="176"/>
        <v>34086.448309817511</v>
      </c>
      <c r="L2793" s="95">
        <f>+VLOOKUP(E2793,MARGEN!A:B,2,FALSE)</f>
        <v>0.1</v>
      </c>
      <c r="M2793" s="112">
        <f t="shared" si="173"/>
        <v>3408.6448309817515</v>
      </c>
      <c r="N2793" s="113">
        <f t="shared" si="174"/>
        <v>136.34579323927005</v>
      </c>
      <c r="O2793" s="113">
        <f t="shared" si="175"/>
        <v>30541.457685596492</v>
      </c>
    </row>
    <row r="2794" spans="1:15" x14ac:dyDescent="0.25">
      <c r="A2794" s="13">
        <v>44455</v>
      </c>
      <c r="B2794" s="97">
        <v>1295</v>
      </c>
      <c r="C2794" t="s">
        <v>151</v>
      </c>
      <c r="D2794" s="94" t="s">
        <v>394</v>
      </c>
      <c r="E2794" t="s">
        <v>17</v>
      </c>
      <c r="F2794" t="s">
        <v>566</v>
      </c>
      <c r="G2794" s="50" t="s">
        <v>559</v>
      </c>
      <c r="H2794" s="50">
        <v>2</v>
      </c>
      <c r="I2794" s="100">
        <v>6.7391919697301583</v>
      </c>
      <c r="J2794" s="52">
        <v>3834.68</v>
      </c>
      <c r="K2794" s="67">
        <f t="shared" si="176"/>
        <v>33466.224837917871</v>
      </c>
      <c r="L2794" s="95">
        <f>+VLOOKUP(E2794,MARGEN!A:B,2,FALSE)</f>
        <v>0.1</v>
      </c>
      <c r="M2794" s="112">
        <f t="shared" si="173"/>
        <v>3346.6224837917871</v>
      </c>
      <c r="N2794" s="113">
        <f t="shared" si="174"/>
        <v>133.86489935167148</v>
      </c>
      <c r="O2794" s="113">
        <f t="shared" si="175"/>
        <v>29985.737454774411</v>
      </c>
    </row>
    <row r="2795" spans="1:15" x14ac:dyDescent="0.25">
      <c r="A2795" s="13">
        <v>44455</v>
      </c>
      <c r="B2795" s="97">
        <v>1295</v>
      </c>
      <c r="C2795" t="s">
        <v>302</v>
      </c>
      <c r="D2795" s="94" t="s">
        <v>538</v>
      </c>
      <c r="E2795" t="s">
        <v>17</v>
      </c>
      <c r="F2795" t="s">
        <v>562</v>
      </c>
      <c r="G2795" s="50" t="s">
        <v>559</v>
      </c>
      <c r="H2795" s="50">
        <v>2</v>
      </c>
      <c r="I2795" s="100">
        <v>6.7391919697301583</v>
      </c>
      <c r="J2795" s="52">
        <v>3834.68</v>
      </c>
      <c r="K2795" s="67">
        <f t="shared" si="176"/>
        <v>33466.224837917871</v>
      </c>
      <c r="L2795" s="95">
        <f>+VLOOKUP(E2795,MARGEN!A:B,2,FALSE)</f>
        <v>0.1</v>
      </c>
      <c r="M2795" s="112">
        <f t="shared" si="173"/>
        <v>3346.6224837917871</v>
      </c>
      <c r="N2795" s="113">
        <f t="shared" si="174"/>
        <v>133.86489935167148</v>
      </c>
      <c r="O2795" s="113">
        <f t="shared" si="175"/>
        <v>29985.737454774411</v>
      </c>
    </row>
    <row r="2796" spans="1:15" x14ac:dyDescent="0.25">
      <c r="A2796" s="13">
        <v>44455</v>
      </c>
      <c r="B2796" s="97">
        <v>1295</v>
      </c>
      <c r="C2796" t="s">
        <v>211</v>
      </c>
      <c r="D2796" s="94" t="s">
        <v>382</v>
      </c>
      <c r="E2796" t="s">
        <v>17</v>
      </c>
      <c r="F2796" t="s">
        <v>562</v>
      </c>
      <c r="G2796" s="50" t="s">
        <v>559</v>
      </c>
      <c r="H2796" s="50">
        <v>2</v>
      </c>
      <c r="I2796" s="100">
        <v>6.7391919697301583</v>
      </c>
      <c r="J2796" s="52">
        <v>3834.68</v>
      </c>
      <c r="K2796" s="67">
        <f t="shared" si="176"/>
        <v>33466.224837917871</v>
      </c>
      <c r="L2796" s="95">
        <f>+VLOOKUP(E2796,MARGEN!A:B,2,FALSE)</f>
        <v>0.1</v>
      </c>
      <c r="M2796" s="112">
        <f t="shared" si="173"/>
        <v>3346.6224837917871</v>
      </c>
      <c r="N2796" s="113">
        <f t="shared" si="174"/>
        <v>133.86489935167148</v>
      </c>
      <c r="O2796" s="113">
        <f t="shared" si="175"/>
        <v>29985.737454774411</v>
      </c>
    </row>
    <row r="2797" spans="1:15" x14ac:dyDescent="0.25">
      <c r="A2797" s="13">
        <v>44455</v>
      </c>
      <c r="B2797" s="97">
        <v>1295</v>
      </c>
      <c r="C2797" t="s">
        <v>303</v>
      </c>
      <c r="D2797" s="94" t="s">
        <v>539</v>
      </c>
      <c r="E2797" t="s">
        <v>17</v>
      </c>
      <c r="F2797" t="s">
        <v>551</v>
      </c>
      <c r="G2797" s="50" t="s">
        <v>205</v>
      </c>
      <c r="H2797" s="50">
        <v>2</v>
      </c>
      <c r="I2797" s="100">
        <v>6.7391919697301583</v>
      </c>
      <c r="J2797" s="52">
        <v>3834.68</v>
      </c>
      <c r="K2797" s="67">
        <f t="shared" si="176"/>
        <v>33466.224837917871</v>
      </c>
      <c r="L2797" s="95">
        <f>+VLOOKUP(E2797,MARGEN!A:B,2,FALSE)</f>
        <v>0.1</v>
      </c>
      <c r="M2797" s="112">
        <f t="shared" si="173"/>
        <v>3346.6224837917871</v>
      </c>
      <c r="N2797" s="113">
        <f t="shared" si="174"/>
        <v>133.86489935167148</v>
      </c>
      <c r="O2797" s="113">
        <f t="shared" si="175"/>
        <v>29985.737454774411</v>
      </c>
    </row>
    <row r="2798" spans="1:15" x14ac:dyDescent="0.25">
      <c r="A2798" s="13">
        <v>44455</v>
      </c>
      <c r="B2798" s="97">
        <v>1271</v>
      </c>
      <c r="C2798" t="s">
        <v>183</v>
      </c>
      <c r="D2798" s="94" t="s">
        <v>390</v>
      </c>
      <c r="E2798" t="s">
        <v>17</v>
      </c>
      <c r="F2798" t="s">
        <v>562</v>
      </c>
      <c r="G2798" s="50" t="s">
        <v>559</v>
      </c>
      <c r="H2798" s="50">
        <v>2</v>
      </c>
      <c r="I2798" s="100">
        <v>6.7391919697301583</v>
      </c>
      <c r="J2798" s="52">
        <v>3834.68</v>
      </c>
      <c r="K2798" s="67">
        <f t="shared" si="176"/>
        <v>32846.00136601823</v>
      </c>
      <c r="L2798" s="95">
        <f>+VLOOKUP(E2798,MARGEN!A:B,2,FALSE)</f>
        <v>0.1</v>
      </c>
      <c r="M2798" s="112">
        <f t="shared" si="173"/>
        <v>3284.6001366018231</v>
      </c>
      <c r="N2798" s="113">
        <f t="shared" si="174"/>
        <v>131.38400546407291</v>
      </c>
      <c r="O2798" s="113">
        <f t="shared" si="175"/>
        <v>29430.017223952334</v>
      </c>
    </row>
    <row r="2799" spans="1:15" x14ac:dyDescent="0.25">
      <c r="A2799" s="13">
        <v>44455</v>
      </c>
      <c r="B2799" s="97">
        <v>1247</v>
      </c>
      <c r="C2799" t="s">
        <v>298</v>
      </c>
      <c r="D2799" s="94" t="s">
        <v>536</v>
      </c>
      <c r="E2799" t="s">
        <v>17</v>
      </c>
      <c r="F2799" t="s">
        <v>562</v>
      </c>
      <c r="G2799" s="50" t="s">
        <v>559</v>
      </c>
      <c r="H2799" s="50">
        <v>2</v>
      </c>
      <c r="I2799" s="100">
        <v>6.7391919697301583</v>
      </c>
      <c r="J2799" s="52">
        <v>3834.68</v>
      </c>
      <c r="K2799" s="67">
        <f t="shared" si="176"/>
        <v>32225.777894118601</v>
      </c>
      <c r="L2799" s="95">
        <f>+VLOOKUP(E2799,MARGEN!A:B,2,FALSE)</f>
        <v>0.1</v>
      </c>
      <c r="M2799" s="112">
        <f t="shared" si="173"/>
        <v>3222.5777894118601</v>
      </c>
      <c r="N2799" s="113">
        <f t="shared" si="174"/>
        <v>128.9031115764744</v>
      </c>
      <c r="O2799" s="113">
        <f t="shared" si="175"/>
        <v>28874.296993130265</v>
      </c>
    </row>
    <row r="2800" spans="1:15" x14ac:dyDescent="0.25">
      <c r="A2800" s="13">
        <v>44455</v>
      </c>
      <c r="B2800" s="97">
        <v>1223</v>
      </c>
      <c r="C2800" t="s">
        <v>299</v>
      </c>
      <c r="D2800" s="94" t="s">
        <v>537</v>
      </c>
      <c r="E2800" t="s">
        <v>17</v>
      </c>
      <c r="F2800" t="s">
        <v>562</v>
      </c>
      <c r="G2800" s="50" t="s">
        <v>559</v>
      </c>
      <c r="H2800" s="50">
        <v>2</v>
      </c>
      <c r="I2800" s="100">
        <v>6.7391919697301583</v>
      </c>
      <c r="J2800" s="52">
        <v>3834.68</v>
      </c>
      <c r="K2800" s="67">
        <f t="shared" si="176"/>
        <v>31605.55442221896</v>
      </c>
      <c r="L2800" s="95">
        <f>+VLOOKUP(E2800,MARGEN!A:B,2,FALSE)</f>
        <v>0.1</v>
      </c>
      <c r="M2800" s="112">
        <f t="shared" si="173"/>
        <v>3160.5554422218961</v>
      </c>
      <c r="N2800" s="113">
        <f t="shared" si="174"/>
        <v>126.42221768887585</v>
      </c>
      <c r="O2800" s="113">
        <f t="shared" si="175"/>
        <v>28318.576762308188</v>
      </c>
    </row>
    <row r="2801" spans="1:15" x14ac:dyDescent="0.25">
      <c r="A2801" s="13">
        <v>44455</v>
      </c>
      <c r="B2801" s="97">
        <v>1223</v>
      </c>
      <c r="C2801" t="s">
        <v>199</v>
      </c>
      <c r="D2801" s="94" t="s">
        <v>414</v>
      </c>
      <c r="E2801" t="s">
        <v>17</v>
      </c>
      <c r="F2801" t="s">
        <v>566</v>
      </c>
      <c r="G2801" s="50" t="s">
        <v>559</v>
      </c>
      <c r="H2801" s="50">
        <v>2</v>
      </c>
      <c r="I2801" s="100">
        <v>6.7391919697301583</v>
      </c>
      <c r="J2801" s="52">
        <v>3834.68</v>
      </c>
      <c r="K2801" s="67">
        <f t="shared" si="176"/>
        <v>31605.55442221896</v>
      </c>
      <c r="L2801" s="95">
        <f>+VLOOKUP(E2801,MARGEN!A:B,2,FALSE)</f>
        <v>0.1</v>
      </c>
      <c r="M2801" s="112">
        <f t="shared" si="173"/>
        <v>3160.5554422218961</v>
      </c>
      <c r="N2801" s="113">
        <f t="shared" si="174"/>
        <v>126.42221768887585</v>
      </c>
      <c r="O2801" s="113">
        <f t="shared" si="175"/>
        <v>28318.576762308188</v>
      </c>
    </row>
    <row r="2802" spans="1:15" x14ac:dyDescent="0.25">
      <c r="A2802" s="13">
        <v>44455</v>
      </c>
      <c r="B2802" s="97">
        <v>1199</v>
      </c>
      <c r="C2802" t="s">
        <v>308</v>
      </c>
      <c r="D2802" s="94" t="s">
        <v>500</v>
      </c>
      <c r="E2802" t="s">
        <v>17</v>
      </c>
      <c r="F2802" t="s">
        <v>562</v>
      </c>
      <c r="G2802" s="50" t="s">
        <v>559</v>
      </c>
      <c r="H2802" s="50">
        <v>2</v>
      </c>
      <c r="I2802" s="100">
        <v>6.7391919697301583</v>
      </c>
      <c r="J2802" s="52">
        <v>3834.68</v>
      </c>
      <c r="K2802" s="67">
        <f t="shared" si="176"/>
        <v>30985.330950319327</v>
      </c>
      <c r="L2802" s="95">
        <f>+VLOOKUP(E2802,MARGEN!A:B,2,FALSE)</f>
        <v>0.1</v>
      </c>
      <c r="M2802" s="112">
        <f t="shared" si="173"/>
        <v>3098.533095031933</v>
      </c>
      <c r="N2802" s="113">
        <f t="shared" si="174"/>
        <v>123.94132380127731</v>
      </c>
      <c r="O2802" s="113">
        <f t="shared" si="175"/>
        <v>27762.856531486115</v>
      </c>
    </row>
    <row r="2803" spans="1:15" x14ac:dyDescent="0.25">
      <c r="A2803" s="13">
        <v>44455</v>
      </c>
      <c r="B2803" s="97">
        <v>1199</v>
      </c>
      <c r="C2803" t="s">
        <v>201</v>
      </c>
      <c r="D2803" s="94" t="s">
        <v>374</v>
      </c>
      <c r="E2803" t="s">
        <v>17</v>
      </c>
      <c r="F2803" t="s">
        <v>551</v>
      </c>
      <c r="G2803" s="50" t="s">
        <v>205</v>
      </c>
      <c r="H2803" s="50">
        <v>2</v>
      </c>
      <c r="I2803" s="100">
        <v>6.7391919697301583</v>
      </c>
      <c r="J2803" s="52">
        <v>3834.68</v>
      </c>
      <c r="K2803" s="67">
        <f t="shared" si="176"/>
        <v>30985.330950319327</v>
      </c>
      <c r="L2803" s="95">
        <f>+VLOOKUP(E2803,MARGEN!A:B,2,FALSE)</f>
        <v>0.1</v>
      </c>
      <c r="M2803" s="112">
        <f t="shared" si="173"/>
        <v>3098.533095031933</v>
      </c>
      <c r="N2803" s="113">
        <f t="shared" si="174"/>
        <v>123.94132380127731</v>
      </c>
      <c r="O2803" s="113">
        <f t="shared" si="175"/>
        <v>27762.856531486115</v>
      </c>
    </row>
    <row r="2804" spans="1:15" x14ac:dyDescent="0.25">
      <c r="A2804" s="13">
        <v>44455</v>
      </c>
      <c r="B2804" s="97">
        <v>1151</v>
      </c>
      <c r="C2804" t="s">
        <v>184</v>
      </c>
      <c r="D2804" s="94" t="s">
        <v>443</v>
      </c>
      <c r="E2804" t="s">
        <v>17</v>
      </c>
      <c r="F2804" t="s">
        <v>562</v>
      </c>
      <c r="G2804" s="50" t="s">
        <v>559</v>
      </c>
      <c r="H2804" s="50">
        <v>2</v>
      </c>
      <c r="I2804" s="100">
        <v>6.7391919697301583</v>
      </c>
      <c r="J2804" s="52">
        <v>3834.68</v>
      </c>
      <c r="K2804" s="67">
        <f t="shared" si="176"/>
        <v>29744.884006520053</v>
      </c>
      <c r="L2804" s="95">
        <f>+VLOOKUP(E2804,MARGEN!A:B,2,FALSE)</f>
        <v>0.1</v>
      </c>
      <c r="M2804" s="112">
        <f t="shared" si="173"/>
        <v>2974.4884006520056</v>
      </c>
      <c r="N2804" s="113">
        <f t="shared" si="174"/>
        <v>118.97953602608021</v>
      </c>
      <c r="O2804" s="113">
        <f t="shared" si="175"/>
        <v>26651.416069841969</v>
      </c>
    </row>
    <row r="2805" spans="1:15" x14ac:dyDescent="0.25">
      <c r="A2805" s="13">
        <v>44455</v>
      </c>
      <c r="B2805" s="97">
        <v>1151</v>
      </c>
      <c r="C2805" t="s">
        <v>185</v>
      </c>
      <c r="D2805" s="94" t="s">
        <v>456</v>
      </c>
      <c r="E2805" t="s">
        <v>17</v>
      </c>
      <c r="F2805" t="s">
        <v>566</v>
      </c>
      <c r="G2805" s="50" t="s">
        <v>559</v>
      </c>
      <c r="H2805" s="50">
        <v>2</v>
      </c>
      <c r="I2805" s="100">
        <v>6.7391919697301583</v>
      </c>
      <c r="J2805" s="52">
        <v>3834.68</v>
      </c>
      <c r="K2805" s="67">
        <f t="shared" si="176"/>
        <v>29744.884006520053</v>
      </c>
      <c r="L2805" s="95">
        <f>+VLOOKUP(E2805,MARGEN!A:B,2,FALSE)</f>
        <v>0.1</v>
      </c>
      <c r="M2805" s="112">
        <f t="shared" si="173"/>
        <v>2974.4884006520056</v>
      </c>
      <c r="N2805" s="113">
        <f t="shared" si="174"/>
        <v>118.97953602608021</v>
      </c>
      <c r="O2805" s="113">
        <f t="shared" si="175"/>
        <v>26651.416069841969</v>
      </c>
    </row>
    <row r="2806" spans="1:15" x14ac:dyDescent="0.25">
      <c r="A2806" s="13">
        <v>44455</v>
      </c>
      <c r="B2806" s="97">
        <v>1127</v>
      </c>
      <c r="C2806" t="s">
        <v>153</v>
      </c>
      <c r="D2806" s="94" t="s">
        <v>444</v>
      </c>
      <c r="E2806" t="s">
        <v>17</v>
      </c>
      <c r="F2806" t="s">
        <v>558</v>
      </c>
      <c r="G2806" s="50" t="s">
        <v>559</v>
      </c>
      <c r="H2806" s="50">
        <v>2</v>
      </c>
      <c r="I2806" s="100">
        <v>6.7391919697301583</v>
      </c>
      <c r="J2806" s="52">
        <v>3834.68</v>
      </c>
      <c r="K2806" s="67">
        <f t="shared" si="176"/>
        <v>29124.660534620416</v>
      </c>
      <c r="L2806" s="95">
        <f>+VLOOKUP(E2806,MARGEN!A:B,2,FALSE)</f>
        <v>0.1</v>
      </c>
      <c r="M2806" s="112">
        <f t="shared" si="173"/>
        <v>2912.4660534620416</v>
      </c>
      <c r="N2806" s="113">
        <f t="shared" si="174"/>
        <v>116.49864213848167</v>
      </c>
      <c r="O2806" s="113">
        <f t="shared" si="175"/>
        <v>26095.695839019892</v>
      </c>
    </row>
    <row r="2807" spans="1:15" x14ac:dyDescent="0.25">
      <c r="A2807" s="13">
        <v>44455</v>
      </c>
      <c r="B2807" s="97">
        <v>911</v>
      </c>
      <c r="C2807" t="s">
        <v>182</v>
      </c>
      <c r="D2807" s="94" t="s">
        <v>455</v>
      </c>
      <c r="E2807" t="s">
        <v>17</v>
      </c>
      <c r="F2807" t="s">
        <v>566</v>
      </c>
      <c r="G2807" s="50" t="s">
        <v>559</v>
      </c>
      <c r="H2807" s="50">
        <v>2</v>
      </c>
      <c r="I2807" s="100">
        <v>6.7391919697301583</v>
      </c>
      <c r="J2807" s="52">
        <v>3834.68</v>
      </c>
      <c r="K2807" s="67">
        <f t="shared" si="176"/>
        <v>23542.649287523691</v>
      </c>
      <c r="L2807" s="95">
        <f>+VLOOKUP(E2807,MARGEN!A:B,2,FALSE)</f>
        <v>0.1</v>
      </c>
      <c r="M2807" s="112">
        <f t="shared" si="173"/>
        <v>2354.2649287523691</v>
      </c>
      <c r="N2807" s="113">
        <f t="shared" si="174"/>
        <v>94.170597150094764</v>
      </c>
      <c r="O2807" s="113">
        <f t="shared" si="175"/>
        <v>21094.213761621224</v>
      </c>
    </row>
    <row r="2808" spans="1:15" x14ac:dyDescent="0.25">
      <c r="A2808" s="13">
        <v>44455</v>
      </c>
      <c r="B2808" s="97">
        <v>791</v>
      </c>
      <c r="C2808" t="s">
        <v>307</v>
      </c>
      <c r="D2808" s="94" t="s">
        <v>497</v>
      </c>
      <c r="E2808" t="s">
        <v>17</v>
      </c>
      <c r="F2808" t="s">
        <v>566</v>
      </c>
      <c r="G2808" s="50" t="s">
        <v>559</v>
      </c>
      <c r="H2808" s="50">
        <v>2</v>
      </c>
      <c r="I2808" s="100">
        <v>6.7391919697301583</v>
      </c>
      <c r="J2808" s="52">
        <v>3834.68</v>
      </c>
      <c r="K2808" s="67">
        <f t="shared" si="176"/>
        <v>20441.53192802551</v>
      </c>
      <c r="L2808" s="95">
        <f>+VLOOKUP(E2808,MARGEN!A:B,2,FALSE)</f>
        <v>0.1</v>
      </c>
      <c r="M2808" s="112">
        <f t="shared" si="173"/>
        <v>2044.1531928025511</v>
      </c>
      <c r="N2808" s="113">
        <f t="shared" si="174"/>
        <v>81.766127712102033</v>
      </c>
      <c r="O2808" s="113">
        <f t="shared" si="175"/>
        <v>18315.612607510859</v>
      </c>
    </row>
    <row r="2809" spans="1:15" x14ac:dyDescent="0.25">
      <c r="A2809" s="13">
        <v>44455</v>
      </c>
      <c r="B2809" s="97">
        <v>743</v>
      </c>
      <c r="C2809" t="s">
        <v>181</v>
      </c>
      <c r="D2809" s="94" t="s">
        <v>415</v>
      </c>
      <c r="E2809" t="s">
        <v>17</v>
      </c>
      <c r="F2809" t="s">
        <v>551</v>
      </c>
      <c r="G2809" s="50" t="s">
        <v>205</v>
      </c>
      <c r="H2809" s="50">
        <v>2</v>
      </c>
      <c r="I2809" s="100">
        <v>6.7391919697301583</v>
      </c>
      <c r="J2809" s="52">
        <v>3834.68</v>
      </c>
      <c r="K2809" s="67">
        <f t="shared" si="176"/>
        <v>19201.08498422624</v>
      </c>
      <c r="L2809" s="95">
        <f>+VLOOKUP(E2809,MARGEN!A:B,2,FALSE)</f>
        <v>0.1</v>
      </c>
      <c r="M2809" s="112">
        <f t="shared" si="173"/>
        <v>1920.1084984226241</v>
      </c>
      <c r="N2809" s="113">
        <f t="shared" si="174"/>
        <v>76.804339936904952</v>
      </c>
      <c r="O2809" s="113">
        <f t="shared" si="175"/>
        <v>17204.172145866709</v>
      </c>
    </row>
    <row r="2810" spans="1:15" x14ac:dyDescent="0.25">
      <c r="A2810" s="13">
        <v>44456</v>
      </c>
      <c r="B2810" s="97">
        <v>9454</v>
      </c>
      <c r="C2810" t="s">
        <v>280</v>
      </c>
      <c r="D2810" s="94" t="s">
        <v>457</v>
      </c>
      <c r="E2810" t="s">
        <v>17</v>
      </c>
      <c r="F2810" t="s">
        <v>566</v>
      </c>
      <c r="G2810" s="50" t="s">
        <v>559</v>
      </c>
      <c r="H2810" s="50">
        <v>2</v>
      </c>
      <c r="I2810" s="100">
        <v>6.7391919697301583</v>
      </c>
      <c r="J2810" s="52">
        <v>3834.68</v>
      </c>
      <c r="K2810" s="67">
        <f t="shared" si="176"/>
        <v>244316.36263913172</v>
      </c>
      <c r="L2810" s="95">
        <f>+VLOOKUP(E2810,MARGEN!A:B,2,FALSE)</f>
        <v>0.1</v>
      </c>
      <c r="M2810" s="112">
        <f t="shared" si="173"/>
        <v>24431.636263913173</v>
      </c>
      <c r="N2810" s="113">
        <f t="shared" si="174"/>
        <v>977.26545055652684</v>
      </c>
      <c r="O2810" s="113">
        <f t="shared" si="175"/>
        <v>218907.46092466201</v>
      </c>
    </row>
    <row r="2811" spans="1:15" x14ac:dyDescent="0.25">
      <c r="A2811" s="13">
        <v>44456</v>
      </c>
      <c r="B2811" s="97">
        <v>8470</v>
      </c>
      <c r="C2811" t="s">
        <v>164</v>
      </c>
      <c r="D2811" s="94" t="s">
        <v>445</v>
      </c>
      <c r="E2811" t="s">
        <v>17</v>
      </c>
      <c r="F2811" t="s">
        <v>551</v>
      </c>
      <c r="G2811" s="50" t="s">
        <v>205</v>
      </c>
      <c r="H2811" s="50">
        <v>2</v>
      </c>
      <c r="I2811" s="100">
        <v>6.7391919697301583</v>
      </c>
      <c r="J2811" s="52">
        <v>3834.68</v>
      </c>
      <c r="K2811" s="67">
        <f t="shared" si="176"/>
        <v>218887.20029124661</v>
      </c>
      <c r="L2811" s="95">
        <f>+VLOOKUP(E2811,MARGEN!A:B,2,FALSE)</f>
        <v>0.1</v>
      </c>
      <c r="M2811" s="112">
        <f t="shared" si="173"/>
        <v>21888.720029124663</v>
      </c>
      <c r="N2811" s="113">
        <f t="shared" si="174"/>
        <v>875.54880116498646</v>
      </c>
      <c r="O2811" s="113">
        <f t="shared" si="175"/>
        <v>196122.93146095696</v>
      </c>
    </row>
    <row r="2812" spans="1:15" x14ac:dyDescent="0.25">
      <c r="A2812" s="13">
        <v>44456</v>
      </c>
      <c r="B2812" s="97">
        <v>6766</v>
      </c>
      <c r="C2812" t="s">
        <v>150</v>
      </c>
      <c r="D2812" s="94" t="s">
        <v>357</v>
      </c>
      <c r="E2812" t="s">
        <v>17</v>
      </c>
      <c r="F2812" t="s">
        <v>566</v>
      </c>
      <c r="G2812" s="50" t="s">
        <v>559</v>
      </c>
      <c r="H2812" s="50">
        <v>2</v>
      </c>
      <c r="I2812" s="100">
        <v>6.7391919697301583</v>
      </c>
      <c r="J2812" s="52">
        <v>3834.68</v>
      </c>
      <c r="K2812" s="67">
        <f t="shared" si="176"/>
        <v>174851.33378637244</v>
      </c>
      <c r="L2812" s="95">
        <f>+VLOOKUP(E2812,MARGEN!A:B,2,FALSE)</f>
        <v>0.1</v>
      </c>
      <c r="M2812" s="112">
        <f t="shared" si="173"/>
        <v>17485.133378637245</v>
      </c>
      <c r="N2812" s="113">
        <f t="shared" si="174"/>
        <v>699.40533514548974</v>
      </c>
      <c r="O2812" s="113">
        <f t="shared" si="175"/>
        <v>156666.79507258971</v>
      </c>
    </row>
    <row r="2813" spans="1:15" x14ac:dyDescent="0.25">
      <c r="A2813" s="13">
        <v>44456</v>
      </c>
      <c r="B2813" s="97">
        <v>4631</v>
      </c>
      <c r="C2813" t="s">
        <v>136</v>
      </c>
      <c r="D2813" s="94" t="s">
        <v>359</v>
      </c>
      <c r="E2813" t="s">
        <v>17</v>
      </c>
      <c r="F2813" t="s">
        <v>566</v>
      </c>
      <c r="G2813" s="50" t="s">
        <v>559</v>
      </c>
      <c r="H2813" s="50">
        <v>2</v>
      </c>
      <c r="I2813" s="100">
        <v>6.7391919697301583</v>
      </c>
      <c r="J2813" s="52">
        <v>3834.68</v>
      </c>
      <c r="K2813" s="67">
        <f t="shared" si="176"/>
        <v>119677.28743196731</v>
      </c>
      <c r="L2813" s="95">
        <f>+VLOOKUP(E2813,MARGEN!A:B,2,FALSE)</f>
        <v>0.1</v>
      </c>
      <c r="M2813" s="112">
        <f t="shared" si="173"/>
        <v>11967.728743196732</v>
      </c>
      <c r="N2813" s="113">
        <f t="shared" si="174"/>
        <v>478.70914972786926</v>
      </c>
      <c r="O2813" s="113">
        <f t="shared" si="175"/>
        <v>107230.84953904271</v>
      </c>
    </row>
    <row r="2814" spans="1:15" x14ac:dyDescent="0.25">
      <c r="A2814" s="13">
        <v>44456</v>
      </c>
      <c r="B2814" s="97">
        <v>4079</v>
      </c>
      <c r="C2814" t="s">
        <v>148</v>
      </c>
      <c r="D2814" s="94" t="s">
        <v>323</v>
      </c>
      <c r="E2814" t="s">
        <v>17</v>
      </c>
      <c r="F2814" t="s">
        <v>566</v>
      </c>
      <c r="G2814" s="50" t="s">
        <v>559</v>
      </c>
      <c r="H2814" s="50">
        <v>2</v>
      </c>
      <c r="I2814" s="100">
        <v>6.7391919697301583</v>
      </c>
      <c r="J2814" s="52">
        <v>3834.68</v>
      </c>
      <c r="K2814" s="67">
        <f t="shared" si="176"/>
        <v>105412.14757827566</v>
      </c>
      <c r="L2814" s="95">
        <f>+VLOOKUP(E2814,MARGEN!A:B,2,FALSE)</f>
        <v>0.1</v>
      </c>
      <c r="M2814" s="112">
        <f t="shared" si="173"/>
        <v>10541.214757827567</v>
      </c>
      <c r="N2814" s="113">
        <f t="shared" si="174"/>
        <v>421.64859031310266</v>
      </c>
      <c r="O2814" s="113">
        <f t="shared" si="175"/>
        <v>94449.284230135003</v>
      </c>
    </row>
    <row r="2815" spans="1:15" x14ac:dyDescent="0.25">
      <c r="A2815" s="13">
        <v>44456</v>
      </c>
      <c r="B2815" s="97">
        <v>3887</v>
      </c>
      <c r="C2815" t="s">
        <v>293</v>
      </c>
      <c r="D2815" s="94" t="s">
        <v>499</v>
      </c>
      <c r="E2815" t="s">
        <v>17</v>
      </c>
      <c r="F2815" t="s">
        <v>562</v>
      </c>
      <c r="G2815" s="50" t="s">
        <v>559</v>
      </c>
      <c r="H2815" s="50">
        <v>2</v>
      </c>
      <c r="I2815" s="100">
        <v>6.7391919697301583</v>
      </c>
      <c r="J2815" s="52">
        <v>3834.68</v>
      </c>
      <c r="K2815" s="67">
        <f t="shared" si="176"/>
        <v>100450.35980307858</v>
      </c>
      <c r="L2815" s="95">
        <f>+VLOOKUP(E2815,MARGEN!A:B,2,FALSE)</f>
        <v>0.1</v>
      </c>
      <c r="M2815" s="112">
        <f t="shared" si="173"/>
        <v>10045.035980307859</v>
      </c>
      <c r="N2815" s="113">
        <f t="shared" si="174"/>
        <v>401.80143921231434</v>
      </c>
      <c r="O2815" s="113">
        <f t="shared" si="175"/>
        <v>90003.522383558404</v>
      </c>
    </row>
    <row r="2816" spans="1:15" x14ac:dyDescent="0.25">
      <c r="A2816" s="13">
        <v>44456</v>
      </c>
      <c r="B2816" s="97">
        <v>3791</v>
      </c>
      <c r="C2816" t="s">
        <v>144</v>
      </c>
      <c r="D2816" s="94" t="s">
        <v>343</v>
      </c>
      <c r="E2816" t="s">
        <v>17</v>
      </c>
      <c r="F2816" t="s">
        <v>566</v>
      </c>
      <c r="G2816" s="50" t="s">
        <v>559</v>
      </c>
      <c r="H2816" s="50">
        <v>2</v>
      </c>
      <c r="I2816" s="100">
        <v>6.7391919697301583</v>
      </c>
      <c r="J2816" s="52">
        <v>3834.68</v>
      </c>
      <c r="K2816" s="67">
        <f t="shared" si="176"/>
        <v>97969.465915480032</v>
      </c>
      <c r="L2816" s="95">
        <f>+VLOOKUP(E2816,MARGEN!A:B,2,FALSE)</f>
        <v>0.1</v>
      </c>
      <c r="M2816" s="112">
        <f t="shared" si="173"/>
        <v>9796.9465915480032</v>
      </c>
      <c r="N2816" s="113">
        <f t="shared" si="174"/>
        <v>391.87786366192012</v>
      </c>
      <c r="O2816" s="113">
        <f t="shared" si="175"/>
        <v>87780.641460270112</v>
      </c>
    </row>
    <row r="2817" spans="1:15" x14ac:dyDescent="0.25">
      <c r="A2817" s="13">
        <v>44456</v>
      </c>
      <c r="B2817" s="97">
        <v>3479</v>
      </c>
      <c r="C2817" t="s">
        <v>165</v>
      </c>
      <c r="D2817" s="94" t="s">
        <v>375</v>
      </c>
      <c r="E2817" t="s">
        <v>17</v>
      </c>
      <c r="F2817" t="s">
        <v>551</v>
      </c>
      <c r="G2817" s="50" t="s">
        <v>205</v>
      </c>
      <c r="H2817" s="50">
        <v>2</v>
      </c>
      <c r="I2817" s="100">
        <v>6.7391919697301583</v>
      </c>
      <c r="J2817" s="52">
        <v>3834.68</v>
      </c>
      <c r="K2817" s="67">
        <f t="shared" si="176"/>
        <v>89906.56078078477</v>
      </c>
      <c r="L2817" s="95">
        <f>+VLOOKUP(E2817,MARGEN!A:B,2,FALSE)</f>
        <v>0.1</v>
      </c>
      <c r="M2817" s="112">
        <f t="shared" si="173"/>
        <v>8990.6560780784766</v>
      </c>
      <c r="N2817" s="113">
        <f t="shared" si="174"/>
        <v>359.62624312313909</v>
      </c>
      <c r="O2817" s="113">
        <f t="shared" si="175"/>
        <v>80556.278459583147</v>
      </c>
    </row>
    <row r="2818" spans="1:15" x14ac:dyDescent="0.25">
      <c r="A2818" s="13">
        <v>44456</v>
      </c>
      <c r="B2818" s="97">
        <v>3383</v>
      </c>
      <c r="C2818" t="s">
        <v>135</v>
      </c>
      <c r="D2818" s="94" t="s">
        <v>533</v>
      </c>
      <c r="E2818" t="s">
        <v>17</v>
      </c>
      <c r="F2818" t="s">
        <v>562</v>
      </c>
      <c r="G2818" s="50" t="s">
        <v>559</v>
      </c>
      <c r="H2818" s="50">
        <v>2</v>
      </c>
      <c r="I2818" s="100">
        <v>6.7391919697301583</v>
      </c>
      <c r="J2818" s="52">
        <v>3834.68</v>
      </c>
      <c r="K2818" s="67">
        <f t="shared" si="176"/>
        <v>87425.666893186222</v>
      </c>
      <c r="L2818" s="95">
        <f>+VLOOKUP(E2818,MARGEN!A:B,2,FALSE)</f>
        <v>0.1</v>
      </c>
      <c r="M2818" s="112">
        <f t="shared" si="173"/>
        <v>8742.5666893186226</v>
      </c>
      <c r="N2818" s="113">
        <f t="shared" si="174"/>
        <v>349.70266757274487</v>
      </c>
      <c r="O2818" s="113">
        <f t="shared" si="175"/>
        <v>78333.397536294855</v>
      </c>
    </row>
    <row r="2819" spans="1:15" x14ac:dyDescent="0.25">
      <c r="A2819" s="13">
        <v>44456</v>
      </c>
      <c r="B2819" s="97">
        <v>2783</v>
      </c>
      <c r="C2819" t="s">
        <v>189</v>
      </c>
      <c r="D2819" s="94" t="s">
        <v>431</v>
      </c>
      <c r="E2819" t="s">
        <v>17</v>
      </c>
      <c r="F2819" t="s">
        <v>562</v>
      </c>
      <c r="G2819" s="50" t="s">
        <v>559</v>
      </c>
      <c r="H2819" s="50">
        <v>2</v>
      </c>
      <c r="I2819" s="100">
        <v>6.7391919697301583</v>
      </c>
      <c r="J2819" s="52">
        <v>3834.68</v>
      </c>
      <c r="K2819" s="67">
        <f t="shared" si="176"/>
        <v>71920.080095695317</v>
      </c>
      <c r="L2819" s="95">
        <f>+VLOOKUP(E2819,MARGEN!A:B,2,FALSE)</f>
        <v>0.1</v>
      </c>
      <c r="M2819" s="112">
        <f t="shared" ref="M2819:M2882" si="177">+K2819*L2819</f>
        <v>7192.0080095695321</v>
      </c>
      <c r="N2819" s="113">
        <f t="shared" ref="N2819:N2882" si="178">+K2819*4/1000</f>
        <v>287.68032038278125</v>
      </c>
      <c r="O2819" s="113">
        <f t="shared" ref="O2819:O2882" si="179">+K2819-M2819-N2819</f>
        <v>64440.391765743007</v>
      </c>
    </row>
    <row r="2820" spans="1:15" x14ac:dyDescent="0.25">
      <c r="A2820" s="13">
        <v>44456</v>
      </c>
      <c r="B2820" s="97">
        <v>2663</v>
      </c>
      <c r="C2820" t="s">
        <v>186</v>
      </c>
      <c r="D2820" s="94" t="s">
        <v>440</v>
      </c>
      <c r="E2820" t="s">
        <v>17</v>
      </c>
      <c r="F2820" t="s">
        <v>566</v>
      </c>
      <c r="G2820" s="50" t="s">
        <v>559</v>
      </c>
      <c r="H2820" s="50">
        <v>2</v>
      </c>
      <c r="I2820" s="100">
        <v>6.7391919697301583</v>
      </c>
      <c r="J2820" s="52">
        <v>3834.68</v>
      </c>
      <c r="K2820" s="67">
        <f t="shared" si="176"/>
        <v>68818.962736197136</v>
      </c>
      <c r="L2820" s="95">
        <f>+VLOOKUP(E2820,MARGEN!A:B,2,FALSE)</f>
        <v>0.1</v>
      </c>
      <c r="M2820" s="112">
        <f t="shared" si="177"/>
        <v>6881.8962736197136</v>
      </c>
      <c r="N2820" s="113">
        <f t="shared" si="178"/>
        <v>275.27585094478854</v>
      </c>
      <c r="O2820" s="113">
        <f t="shared" si="179"/>
        <v>61661.790611632634</v>
      </c>
    </row>
    <row r="2821" spans="1:15" x14ac:dyDescent="0.25">
      <c r="A2821" s="13">
        <v>44456</v>
      </c>
      <c r="B2821" s="97">
        <v>2567</v>
      </c>
      <c r="C2821" t="s">
        <v>310</v>
      </c>
      <c r="D2821" s="94" t="s">
        <v>540</v>
      </c>
      <c r="E2821" t="s">
        <v>17</v>
      </c>
      <c r="F2821" t="s">
        <v>566</v>
      </c>
      <c r="G2821" s="50" t="s">
        <v>559</v>
      </c>
      <c r="H2821" s="50">
        <v>2</v>
      </c>
      <c r="I2821" s="100">
        <v>6.7391919697301583</v>
      </c>
      <c r="J2821" s="52">
        <v>3834.68</v>
      </c>
      <c r="K2821" s="67">
        <f t="shared" si="176"/>
        <v>66338.068848598588</v>
      </c>
      <c r="L2821" s="95">
        <f>+VLOOKUP(E2821,MARGEN!A:B,2,FALSE)</f>
        <v>0.1</v>
      </c>
      <c r="M2821" s="112">
        <f t="shared" si="177"/>
        <v>6633.8068848598596</v>
      </c>
      <c r="N2821" s="113">
        <f t="shared" si="178"/>
        <v>265.35227539439433</v>
      </c>
      <c r="O2821" s="113">
        <f t="shared" si="179"/>
        <v>59438.909688344334</v>
      </c>
    </row>
    <row r="2822" spans="1:15" x14ac:dyDescent="0.25">
      <c r="A2822" s="13">
        <v>44456</v>
      </c>
      <c r="B2822" s="97">
        <v>2423</v>
      </c>
      <c r="C2822" t="s">
        <v>281</v>
      </c>
      <c r="D2822" s="94" t="s">
        <v>495</v>
      </c>
      <c r="E2822" t="s">
        <v>17</v>
      </c>
      <c r="F2822" t="s">
        <v>566</v>
      </c>
      <c r="G2822" s="50" t="s">
        <v>559</v>
      </c>
      <c r="H2822" s="50">
        <v>2</v>
      </c>
      <c r="I2822" s="100">
        <v>6.7391919697301583</v>
      </c>
      <c r="J2822" s="52">
        <v>3834.68</v>
      </c>
      <c r="K2822" s="67">
        <f t="shared" si="176"/>
        <v>62616.728017200774</v>
      </c>
      <c r="L2822" s="95">
        <f>+VLOOKUP(E2822,MARGEN!A:B,2,FALSE)</f>
        <v>0.1</v>
      </c>
      <c r="M2822" s="112">
        <f t="shared" si="177"/>
        <v>6261.6728017200776</v>
      </c>
      <c r="N2822" s="113">
        <f t="shared" si="178"/>
        <v>250.46691206880308</v>
      </c>
      <c r="O2822" s="113">
        <f t="shared" si="179"/>
        <v>56104.588303411889</v>
      </c>
    </row>
    <row r="2823" spans="1:15" x14ac:dyDescent="0.25">
      <c r="A2823" s="13">
        <v>44456</v>
      </c>
      <c r="B2823" s="97">
        <v>2351</v>
      </c>
      <c r="C2823" t="s">
        <v>283</v>
      </c>
      <c r="D2823" s="94" t="s">
        <v>543</v>
      </c>
      <c r="E2823" t="s">
        <v>17</v>
      </c>
      <c r="F2823" t="s">
        <v>562</v>
      </c>
      <c r="G2823" s="50" t="s">
        <v>559</v>
      </c>
      <c r="H2823" s="50">
        <v>2</v>
      </c>
      <c r="I2823" s="100">
        <v>6.7391919697301583</v>
      </c>
      <c r="J2823" s="52">
        <v>3834.68</v>
      </c>
      <c r="K2823" s="67">
        <f t="shared" si="176"/>
        <v>60756.057601501867</v>
      </c>
      <c r="L2823" s="95">
        <f>+VLOOKUP(E2823,MARGEN!A:B,2,FALSE)</f>
        <v>0.1</v>
      </c>
      <c r="M2823" s="112">
        <f t="shared" si="177"/>
        <v>6075.6057601501871</v>
      </c>
      <c r="N2823" s="113">
        <f t="shared" si="178"/>
        <v>243.02423040600746</v>
      </c>
      <c r="O2823" s="113">
        <f t="shared" si="179"/>
        <v>54437.42761094567</v>
      </c>
    </row>
    <row r="2824" spans="1:15" x14ac:dyDescent="0.25">
      <c r="A2824" s="13">
        <v>44456</v>
      </c>
      <c r="B2824" s="97">
        <v>2327</v>
      </c>
      <c r="C2824" t="s">
        <v>156</v>
      </c>
      <c r="D2824" s="94" t="s">
        <v>429</v>
      </c>
      <c r="E2824" t="s">
        <v>17</v>
      </c>
      <c r="F2824" t="s">
        <v>551</v>
      </c>
      <c r="G2824" s="50" t="s">
        <v>205</v>
      </c>
      <c r="H2824" s="50">
        <v>2</v>
      </c>
      <c r="I2824" s="100">
        <v>6.7391919697301583</v>
      </c>
      <c r="J2824" s="52">
        <v>3834.68</v>
      </c>
      <c r="K2824" s="67">
        <f t="shared" si="176"/>
        <v>60135.834129602234</v>
      </c>
      <c r="L2824" s="95">
        <f>+VLOOKUP(E2824,MARGEN!A:B,2,FALSE)</f>
        <v>0.1</v>
      </c>
      <c r="M2824" s="112">
        <f t="shared" si="177"/>
        <v>6013.5834129602235</v>
      </c>
      <c r="N2824" s="113">
        <f t="shared" si="178"/>
        <v>240.54333651840892</v>
      </c>
      <c r="O2824" s="113">
        <f t="shared" si="179"/>
        <v>53881.707380123604</v>
      </c>
    </row>
    <row r="2825" spans="1:15" x14ac:dyDescent="0.25">
      <c r="A2825" s="13">
        <v>44456</v>
      </c>
      <c r="B2825" s="97">
        <v>2303</v>
      </c>
      <c r="C2825" t="s">
        <v>130</v>
      </c>
      <c r="D2825" s="94" t="s">
        <v>367</v>
      </c>
      <c r="E2825" t="s">
        <v>17</v>
      </c>
      <c r="F2825" t="s">
        <v>566</v>
      </c>
      <c r="G2825" s="50" t="s">
        <v>559</v>
      </c>
      <c r="H2825" s="50">
        <v>2</v>
      </c>
      <c r="I2825" s="100">
        <v>6.7391919697301583</v>
      </c>
      <c r="J2825" s="52">
        <v>3834.68</v>
      </c>
      <c r="K2825" s="67">
        <f t="shared" ref="K2825:K2888" si="180">+B2825*I2825*J2825/1000</f>
        <v>59515.610657702593</v>
      </c>
      <c r="L2825" s="95">
        <f>+VLOOKUP(E2825,MARGEN!A:B,2,FALSE)</f>
        <v>0.1</v>
      </c>
      <c r="M2825" s="112">
        <f t="shared" si="177"/>
        <v>5951.56106577026</v>
      </c>
      <c r="N2825" s="113">
        <f t="shared" si="178"/>
        <v>238.06244263081038</v>
      </c>
      <c r="O2825" s="113">
        <f t="shared" si="179"/>
        <v>53325.987149301516</v>
      </c>
    </row>
    <row r="2826" spans="1:15" x14ac:dyDescent="0.25">
      <c r="A2826" s="13">
        <v>44456</v>
      </c>
      <c r="B2826" s="97">
        <v>2279</v>
      </c>
      <c r="C2826" t="s">
        <v>122</v>
      </c>
      <c r="D2826" s="94" t="s">
        <v>446</v>
      </c>
      <c r="E2826" t="s">
        <v>17</v>
      </c>
      <c r="F2826" t="s">
        <v>566</v>
      </c>
      <c r="G2826" s="50" t="s">
        <v>559</v>
      </c>
      <c r="H2826" s="50">
        <v>2</v>
      </c>
      <c r="I2826" s="100">
        <v>6.7391919697301583</v>
      </c>
      <c r="J2826" s="52">
        <v>3834.68</v>
      </c>
      <c r="K2826" s="67">
        <f t="shared" si="180"/>
        <v>58895.387185802952</v>
      </c>
      <c r="L2826" s="95">
        <f>+VLOOKUP(E2826,MARGEN!A:B,2,FALSE)</f>
        <v>0.1</v>
      </c>
      <c r="M2826" s="112">
        <f t="shared" si="177"/>
        <v>5889.5387185802956</v>
      </c>
      <c r="N2826" s="113">
        <f t="shared" si="178"/>
        <v>235.58154874321181</v>
      </c>
      <c r="O2826" s="113">
        <f t="shared" si="179"/>
        <v>52770.266918479443</v>
      </c>
    </row>
    <row r="2827" spans="1:15" x14ac:dyDescent="0.25">
      <c r="A2827" s="13">
        <v>44456</v>
      </c>
      <c r="B2827" s="97">
        <v>2255</v>
      </c>
      <c r="C2827" t="s">
        <v>284</v>
      </c>
      <c r="D2827" s="94" t="s">
        <v>525</v>
      </c>
      <c r="E2827" t="s">
        <v>17</v>
      </c>
      <c r="F2827" t="s">
        <v>566</v>
      </c>
      <c r="G2827" s="50" t="s">
        <v>559</v>
      </c>
      <c r="H2827" s="50">
        <v>2</v>
      </c>
      <c r="I2827" s="100">
        <v>6.7391919697301583</v>
      </c>
      <c r="J2827" s="52">
        <v>3834.68</v>
      </c>
      <c r="K2827" s="67">
        <f t="shared" si="180"/>
        <v>58275.163713903326</v>
      </c>
      <c r="L2827" s="95">
        <f>+VLOOKUP(E2827,MARGEN!A:B,2,FALSE)</f>
        <v>0.1</v>
      </c>
      <c r="M2827" s="112">
        <f t="shared" si="177"/>
        <v>5827.516371390333</v>
      </c>
      <c r="N2827" s="113">
        <f t="shared" si="178"/>
        <v>233.1006548556133</v>
      </c>
      <c r="O2827" s="113">
        <f t="shared" si="179"/>
        <v>52214.546687657385</v>
      </c>
    </row>
    <row r="2828" spans="1:15" x14ac:dyDescent="0.25">
      <c r="A2828" s="13">
        <v>44456</v>
      </c>
      <c r="B2828" s="97">
        <v>2231</v>
      </c>
      <c r="C2828" t="s">
        <v>126</v>
      </c>
      <c r="D2828" s="94" t="s">
        <v>438</v>
      </c>
      <c r="E2828" t="s">
        <v>17</v>
      </c>
      <c r="F2828" t="s">
        <v>558</v>
      </c>
      <c r="G2828" s="50" t="s">
        <v>559</v>
      </c>
      <c r="H2828" s="50">
        <v>2</v>
      </c>
      <c r="I2828" s="100">
        <v>6.7391919697301583</v>
      </c>
      <c r="J2828" s="52">
        <v>3834.68</v>
      </c>
      <c r="K2828" s="67">
        <f t="shared" si="180"/>
        <v>57654.940242003679</v>
      </c>
      <c r="L2828" s="95">
        <f>+VLOOKUP(E2828,MARGEN!A:B,2,FALSE)</f>
        <v>0.1</v>
      </c>
      <c r="M2828" s="112">
        <f t="shared" si="177"/>
        <v>5765.4940242003686</v>
      </c>
      <c r="N2828" s="113">
        <f t="shared" si="178"/>
        <v>230.6197609680147</v>
      </c>
      <c r="O2828" s="113">
        <f t="shared" si="179"/>
        <v>51658.826456835297</v>
      </c>
    </row>
    <row r="2829" spans="1:15" x14ac:dyDescent="0.25">
      <c r="A2829" s="13">
        <v>44456</v>
      </c>
      <c r="B2829" s="97">
        <v>2183</v>
      </c>
      <c r="C2829" t="s">
        <v>157</v>
      </c>
      <c r="D2829" s="94" t="s">
        <v>435</v>
      </c>
      <c r="E2829" t="s">
        <v>17</v>
      </c>
      <c r="F2829" t="s">
        <v>558</v>
      </c>
      <c r="G2829" s="50" t="s">
        <v>559</v>
      </c>
      <c r="H2829" s="50">
        <v>2</v>
      </c>
      <c r="I2829" s="100">
        <v>6.7391919697301583</v>
      </c>
      <c r="J2829" s="52">
        <v>3834.68</v>
      </c>
      <c r="K2829" s="67">
        <f t="shared" si="180"/>
        <v>56414.493298204405</v>
      </c>
      <c r="L2829" s="95">
        <f>+VLOOKUP(E2829,MARGEN!A:B,2,FALSE)</f>
        <v>0.1</v>
      </c>
      <c r="M2829" s="112">
        <f t="shared" si="177"/>
        <v>5641.4493298204407</v>
      </c>
      <c r="N2829" s="113">
        <f t="shared" si="178"/>
        <v>225.65797319281762</v>
      </c>
      <c r="O2829" s="113">
        <f t="shared" si="179"/>
        <v>50547.385995191151</v>
      </c>
    </row>
    <row r="2830" spans="1:15" x14ac:dyDescent="0.25">
      <c r="A2830" s="13">
        <v>44456</v>
      </c>
      <c r="B2830" s="97">
        <v>2183</v>
      </c>
      <c r="C2830" t="s">
        <v>282</v>
      </c>
      <c r="D2830" s="94" t="s">
        <v>494</v>
      </c>
      <c r="E2830" t="s">
        <v>17</v>
      </c>
      <c r="F2830" t="s">
        <v>566</v>
      </c>
      <c r="G2830" s="50" t="s">
        <v>559</v>
      </c>
      <c r="H2830" s="50">
        <v>2</v>
      </c>
      <c r="I2830" s="100">
        <v>6.7391919697301583</v>
      </c>
      <c r="J2830" s="52">
        <v>3834.68</v>
      </c>
      <c r="K2830" s="67">
        <f t="shared" si="180"/>
        <v>56414.493298204405</v>
      </c>
      <c r="L2830" s="95">
        <f>+VLOOKUP(E2830,MARGEN!A:B,2,FALSE)</f>
        <v>0.1</v>
      </c>
      <c r="M2830" s="112">
        <f t="shared" si="177"/>
        <v>5641.4493298204407</v>
      </c>
      <c r="N2830" s="113">
        <f t="shared" si="178"/>
        <v>225.65797319281762</v>
      </c>
      <c r="O2830" s="113">
        <f t="shared" si="179"/>
        <v>50547.385995191151</v>
      </c>
    </row>
    <row r="2831" spans="1:15" x14ac:dyDescent="0.25">
      <c r="A2831" s="13">
        <v>44456</v>
      </c>
      <c r="B2831" s="97">
        <v>1943</v>
      </c>
      <c r="C2831" t="s">
        <v>155</v>
      </c>
      <c r="D2831" s="94" t="s">
        <v>399</v>
      </c>
      <c r="E2831" t="s">
        <v>17</v>
      </c>
      <c r="F2831" t="s">
        <v>558</v>
      </c>
      <c r="G2831" s="50" t="s">
        <v>559</v>
      </c>
      <c r="H2831" s="50">
        <v>2</v>
      </c>
      <c r="I2831" s="100">
        <v>6.7391919697301583</v>
      </c>
      <c r="J2831" s="52">
        <v>3834.68</v>
      </c>
      <c r="K2831" s="67">
        <f t="shared" si="180"/>
        <v>50212.258579208043</v>
      </c>
      <c r="L2831" s="95">
        <f>+VLOOKUP(E2831,MARGEN!A:B,2,FALSE)</f>
        <v>0.1</v>
      </c>
      <c r="M2831" s="112">
        <f t="shared" si="177"/>
        <v>5021.2258579208046</v>
      </c>
      <c r="N2831" s="113">
        <f t="shared" si="178"/>
        <v>200.84903431683216</v>
      </c>
      <c r="O2831" s="113">
        <f t="shared" si="179"/>
        <v>44990.183686970406</v>
      </c>
    </row>
    <row r="2832" spans="1:15" x14ac:dyDescent="0.25">
      <c r="A2832" s="13">
        <v>44456</v>
      </c>
      <c r="B2832" s="97">
        <v>1871</v>
      </c>
      <c r="C2832" s="88" t="s">
        <v>304</v>
      </c>
      <c r="D2832" t="s">
        <v>522</v>
      </c>
      <c r="E2832" t="s">
        <v>17</v>
      </c>
      <c r="F2832" t="s">
        <v>566</v>
      </c>
      <c r="G2832" s="50" t="s">
        <v>559</v>
      </c>
      <c r="H2832" s="50">
        <v>2</v>
      </c>
      <c r="I2832" s="100">
        <v>6.7391919697301583</v>
      </c>
      <c r="J2832" s="52">
        <v>3834.68</v>
      </c>
      <c r="K2832" s="67">
        <f t="shared" si="180"/>
        <v>48351.588163509143</v>
      </c>
      <c r="L2832" s="95">
        <f>+VLOOKUP(E2832,MARGEN!A:B,2,FALSE)</f>
        <v>0.1</v>
      </c>
      <c r="M2832" s="112">
        <f t="shared" si="177"/>
        <v>4835.1588163509141</v>
      </c>
      <c r="N2832" s="113">
        <f t="shared" si="178"/>
        <v>193.40635265403657</v>
      </c>
      <c r="O2832" s="113">
        <f t="shared" si="179"/>
        <v>43323.022994504194</v>
      </c>
    </row>
    <row r="2833" spans="1:15" x14ac:dyDescent="0.25">
      <c r="A2833" s="13">
        <v>44456</v>
      </c>
      <c r="B2833" s="97">
        <v>1799</v>
      </c>
      <c r="C2833" t="s">
        <v>223</v>
      </c>
      <c r="D2833" s="94" t="s">
        <v>389</v>
      </c>
      <c r="E2833" t="s">
        <v>17</v>
      </c>
      <c r="F2833" t="s">
        <v>562</v>
      </c>
      <c r="G2833" s="50" t="s">
        <v>559</v>
      </c>
      <c r="H2833" s="50">
        <v>2</v>
      </c>
      <c r="I2833" s="100">
        <v>6.7391919697301583</v>
      </c>
      <c r="J2833" s="52">
        <v>3834.68</v>
      </c>
      <c r="K2833" s="67">
        <f t="shared" si="180"/>
        <v>46490.917747810228</v>
      </c>
      <c r="L2833" s="95">
        <f>+VLOOKUP(E2833,MARGEN!A:B,2,FALSE)</f>
        <v>0.1</v>
      </c>
      <c r="M2833" s="112">
        <f t="shared" si="177"/>
        <v>4649.0917747810227</v>
      </c>
      <c r="N2833" s="113">
        <f t="shared" si="178"/>
        <v>185.96367099124092</v>
      </c>
      <c r="O2833" s="113">
        <f t="shared" si="179"/>
        <v>41655.862302037967</v>
      </c>
    </row>
    <row r="2834" spans="1:15" x14ac:dyDescent="0.25">
      <c r="A2834" s="13">
        <v>44456</v>
      </c>
      <c r="B2834" s="97">
        <v>1799</v>
      </c>
      <c r="C2834" t="s">
        <v>172</v>
      </c>
      <c r="D2834" s="94" t="s">
        <v>371</v>
      </c>
      <c r="E2834" t="s">
        <v>17</v>
      </c>
      <c r="F2834" t="s">
        <v>566</v>
      </c>
      <c r="G2834" s="50" t="s">
        <v>559</v>
      </c>
      <c r="H2834" s="50">
        <v>2</v>
      </c>
      <c r="I2834" s="100">
        <v>6.7391919697301583</v>
      </c>
      <c r="J2834" s="52">
        <v>3834.68</v>
      </c>
      <c r="K2834" s="67">
        <f t="shared" si="180"/>
        <v>46490.917747810228</v>
      </c>
      <c r="L2834" s="95">
        <f>+VLOOKUP(E2834,MARGEN!A:B,2,FALSE)</f>
        <v>0.1</v>
      </c>
      <c r="M2834" s="112">
        <f t="shared" si="177"/>
        <v>4649.0917747810227</v>
      </c>
      <c r="N2834" s="113">
        <f t="shared" si="178"/>
        <v>185.96367099124092</v>
      </c>
      <c r="O2834" s="113">
        <f t="shared" si="179"/>
        <v>41655.862302037967</v>
      </c>
    </row>
    <row r="2835" spans="1:15" x14ac:dyDescent="0.25">
      <c r="A2835" s="13">
        <v>44456</v>
      </c>
      <c r="B2835" s="51">
        <v>1751</v>
      </c>
      <c r="C2835" s="66" t="s">
        <v>154</v>
      </c>
      <c r="D2835" s="66" t="s">
        <v>419</v>
      </c>
      <c r="E2835" t="s">
        <v>17</v>
      </c>
      <c r="F2835" s="50" t="s">
        <v>566</v>
      </c>
      <c r="G2835" s="50" t="s">
        <v>559</v>
      </c>
      <c r="H2835" s="50">
        <v>2</v>
      </c>
      <c r="I2835" s="100">
        <v>6.7391919697301583</v>
      </c>
      <c r="J2835" s="52">
        <v>3834.68</v>
      </c>
      <c r="K2835" s="67">
        <f t="shared" si="180"/>
        <v>45250.470804010954</v>
      </c>
      <c r="L2835" s="95">
        <f>+VLOOKUP(E2835,MARGEN!A:B,2,FALSE)</f>
        <v>0.1</v>
      </c>
      <c r="M2835" s="112">
        <f t="shared" si="177"/>
        <v>4525.0470804010956</v>
      </c>
      <c r="N2835" s="113">
        <f t="shared" si="178"/>
        <v>181.00188321604381</v>
      </c>
      <c r="O2835" s="113">
        <f t="shared" si="179"/>
        <v>40544.421840393814</v>
      </c>
    </row>
    <row r="2836" spans="1:15" x14ac:dyDescent="0.25">
      <c r="A2836" s="13">
        <v>44456</v>
      </c>
      <c r="B2836" s="97">
        <v>1727</v>
      </c>
      <c r="C2836" t="s">
        <v>120</v>
      </c>
      <c r="D2836" s="94" t="s">
        <v>452</v>
      </c>
      <c r="E2836" t="s">
        <v>17</v>
      </c>
      <c r="F2836" t="s">
        <v>566</v>
      </c>
      <c r="G2836" s="50" t="s">
        <v>559</v>
      </c>
      <c r="H2836" s="50">
        <v>2</v>
      </c>
      <c r="I2836" s="100">
        <v>6.7391919697301583</v>
      </c>
      <c r="J2836" s="52">
        <v>3834.68</v>
      </c>
      <c r="K2836" s="67">
        <f t="shared" si="180"/>
        <v>44630.247332111321</v>
      </c>
      <c r="L2836" s="95">
        <f>+VLOOKUP(E2836,MARGEN!A:B,2,FALSE)</f>
        <v>0.1</v>
      </c>
      <c r="M2836" s="112">
        <f t="shared" si="177"/>
        <v>4463.0247332111321</v>
      </c>
      <c r="N2836" s="113">
        <f t="shared" si="178"/>
        <v>178.5209893284453</v>
      </c>
      <c r="O2836" s="113">
        <f t="shared" si="179"/>
        <v>39988.701609571741</v>
      </c>
    </row>
    <row r="2837" spans="1:15" x14ac:dyDescent="0.25">
      <c r="A2837" s="13">
        <v>44456</v>
      </c>
      <c r="B2837" s="97">
        <v>1727</v>
      </c>
      <c r="C2837" t="s">
        <v>188</v>
      </c>
      <c r="D2837" s="94" t="s">
        <v>397</v>
      </c>
      <c r="E2837" t="s">
        <v>17</v>
      </c>
      <c r="F2837" t="s">
        <v>566</v>
      </c>
      <c r="G2837" s="50" t="s">
        <v>559</v>
      </c>
      <c r="H2837" s="50">
        <v>2</v>
      </c>
      <c r="I2837" s="100">
        <v>6.7391919697301583</v>
      </c>
      <c r="J2837" s="52">
        <v>3834.68</v>
      </c>
      <c r="K2837" s="67">
        <f t="shared" si="180"/>
        <v>44630.247332111321</v>
      </c>
      <c r="L2837" s="95">
        <f>+VLOOKUP(E2837,MARGEN!A:B,2,FALSE)</f>
        <v>0.1</v>
      </c>
      <c r="M2837" s="112">
        <f t="shared" si="177"/>
        <v>4463.0247332111321</v>
      </c>
      <c r="N2837" s="113">
        <f t="shared" si="178"/>
        <v>178.5209893284453</v>
      </c>
      <c r="O2837" s="113">
        <f t="shared" si="179"/>
        <v>39988.701609571741</v>
      </c>
    </row>
    <row r="2838" spans="1:15" x14ac:dyDescent="0.25">
      <c r="A2838" s="13">
        <v>44456</v>
      </c>
      <c r="B2838" s="97">
        <v>1703</v>
      </c>
      <c r="C2838" t="s">
        <v>286</v>
      </c>
      <c r="D2838" s="94" t="s">
        <v>531</v>
      </c>
      <c r="E2838" t="s">
        <v>17</v>
      </c>
      <c r="F2838" t="s">
        <v>562</v>
      </c>
      <c r="G2838" s="50" t="s">
        <v>559</v>
      </c>
      <c r="H2838" s="50">
        <v>2</v>
      </c>
      <c r="I2838" s="100">
        <v>6.7391919697301583</v>
      </c>
      <c r="J2838" s="52">
        <v>3834.68</v>
      </c>
      <c r="K2838" s="67">
        <f t="shared" si="180"/>
        <v>44010.023860211688</v>
      </c>
      <c r="L2838" s="95">
        <f>+VLOOKUP(E2838,MARGEN!A:B,2,FALSE)</f>
        <v>0.1</v>
      </c>
      <c r="M2838" s="112">
        <f t="shared" si="177"/>
        <v>4401.0023860211686</v>
      </c>
      <c r="N2838" s="113">
        <f t="shared" si="178"/>
        <v>176.04009544084676</v>
      </c>
      <c r="O2838" s="113">
        <f t="shared" si="179"/>
        <v>39432.981378749675</v>
      </c>
    </row>
    <row r="2839" spans="1:15" x14ac:dyDescent="0.25">
      <c r="A2839" s="13">
        <v>44456</v>
      </c>
      <c r="B2839" s="97">
        <v>1679</v>
      </c>
      <c r="C2839" t="s">
        <v>288</v>
      </c>
      <c r="D2839" s="94" t="s">
        <v>530</v>
      </c>
      <c r="E2839" t="s">
        <v>17</v>
      </c>
      <c r="F2839" t="s">
        <v>551</v>
      </c>
      <c r="G2839" s="50" t="s">
        <v>205</v>
      </c>
      <c r="H2839" s="50">
        <v>2</v>
      </c>
      <c r="I2839" s="100">
        <v>6.7391919697301583</v>
      </c>
      <c r="J2839" s="52">
        <v>3834.68</v>
      </c>
      <c r="K2839" s="67">
        <f t="shared" si="180"/>
        <v>43389.800388312047</v>
      </c>
      <c r="L2839" s="95">
        <f>+VLOOKUP(E2839,MARGEN!A:B,2,FALSE)</f>
        <v>0.1</v>
      </c>
      <c r="M2839" s="112">
        <f t="shared" si="177"/>
        <v>4338.9800388312051</v>
      </c>
      <c r="N2839" s="113">
        <f t="shared" si="178"/>
        <v>173.55920155324819</v>
      </c>
      <c r="O2839" s="113">
        <f t="shared" si="179"/>
        <v>38877.261147927595</v>
      </c>
    </row>
    <row r="2840" spans="1:15" x14ac:dyDescent="0.25">
      <c r="A2840" s="13">
        <v>44456</v>
      </c>
      <c r="B2840" s="97">
        <v>1679</v>
      </c>
      <c r="C2840" t="s">
        <v>287</v>
      </c>
      <c r="D2840" s="94" t="s">
        <v>496</v>
      </c>
      <c r="E2840" t="s">
        <v>17</v>
      </c>
      <c r="F2840" t="s">
        <v>566</v>
      </c>
      <c r="G2840" s="50" t="s">
        <v>559</v>
      </c>
      <c r="H2840" s="50">
        <v>2</v>
      </c>
      <c r="I2840" s="100">
        <v>6.7391919697301583</v>
      </c>
      <c r="J2840" s="52">
        <v>3834.68</v>
      </c>
      <c r="K2840" s="67">
        <f t="shared" si="180"/>
        <v>43389.800388312047</v>
      </c>
      <c r="L2840" s="95">
        <f>+VLOOKUP(E2840,MARGEN!A:B,2,FALSE)</f>
        <v>0.1</v>
      </c>
      <c r="M2840" s="112">
        <f t="shared" si="177"/>
        <v>4338.9800388312051</v>
      </c>
      <c r="N2840" s="113">
        <f t="shared" si="178"/>
        <v>173.55920155324819</v>
      </c>
      <c r="O2840" s="113">
        <f t="shared" si="179"/>
        <v>38877.261147927595</v>
      </c>
    </row>
    <row r="2841" spans="1:15" x14ac:dyDescent="0.25">
      <c r="A2841" s="13">
        <v>44456</v>
      </c>
      <c r="B2841" s="97">
        <v>1679</v>
      </c>
      <c r="C2841" t="s">
        <v>175</v>
      </c>
      <c r="D2841" s="94" t="s">
        <v>432</v>
      </c>
      <c r="E2841" t="s">
        <v>17</v>
      </c>
      <c r="F2841" t="s">
        <v>566</v>
      </c>
      <c r="G2841" s="50" t="s">
        <v>559</v>
      </c>
      <c r="H2841" s="50">
        <v>2</v>
      </c>
      <c r="I2841" s="100">
        <v>6.7391919697301583</v>
      </c>
      <c r="J2841" s="52">
        <v>3834.68</v>
      </c>
      <c r="K2841" s="67">
        <f t="shared" si="180"/>
        <v>43389.800388312047</v>
      </c>
      <c r="L2841" s="95">
        <f>+VLOOKUP(E2841,MARGEN!A:B,2,FALSE)</f>
        <v>0.1</v>
      </c>
      <c r="M2841" s="112">
        <f t="shared" si="177"/>
        <v>4338.9800388312051</v>
      </c>
      <c r="N2841" s="113">
        <f t="shared" si="178"/>
        <v>173.55920155324819</v>
      </c>
      <c r="O2841" s="113">
        <f t="shared" si="179"/>
        <v>38877.261147927595</v>
      </c>
    </row>
    <row r="2842" spans="1:15" x14ac:dyDescent="0.25">
      <c r="A2842" s="13">
        <v>44456</v>
      </c>
      <c r="B2842" s="97">
        <v>1655</v>
      </c>
      <c r="C2842" t="s">
        <v>285</v>
      </c>
      <c r="D2842" s="94" t="s">
        <v>534</v>
      </c>
      <c r="E2842" t="s">
        <v>17</v>
      </c>
      <c r="F2842" t="s">
        <v>566</v>
      </c>
      <c r="G2842" s="50" t="s">
        <v>559</v>
      </c>
      <c r="H2842" s="50">
        <v>2</v>
      </c>
      <c r="I2842" s="100">
        <v>6.7391919697301583</v>
      </c>
      <c r="J2842" s="52">
        <v>3834.68</v>
      </c>
      <c r="K2842" s="67">
        <f t="shared" si="180"/>
        <v>42769.576916412421</v>
      </c>
      <c r="L2842" s="95">
        <f>+VLOOKUP(E2842,MARGEN!A:B,2,FALSE)</f>
        <v>0.1</v>
      </c>
      <c r="M2842" s="112">
        <f t="shared" si="177"/>
        <v>4276.9576916412425</v>
      </c>
      <c r="N2842" s="113">
        <f t="shared" si="178"/>
        <v>171.07830766564967</v>
      </c>
      <c r="O2842" s="113">
        <f t="shared" si="179"/>
        <v>38321.540917105529</v>
      </c>
    </row>
    <row r="2843" spans="1:15" x14ac:dyDescent="0.25">
      <c r="A2843" s="13">
        <v>44456</v>
      </c>
      <c r="B2843" s="97">
        <v>1631</v>
      </c>
      <c r="C2843" t="s">
        <v>196</v>
      </c>
      <c r="D2843" s="94" t="s">
        <v>413</v>
      </c>
      <c r="E2843" t="s">
        <v>17</v>
      </c>
      <c r="F2843" t="s">
        <v>558</v>
      </c>
      <c r="G2843" s="50" t="s">
        <v>559</v>
      </c>
      <c r="H2843" s="50">
        <v>2</v>
      </c>
      <c r="I2843" s="100">
        <v>6.7391919697301583</v>
      </c>
      <c r="J2843" s="52">
        <v>3834.68</v>
      </c>
      <c r="K2843" s="67">
        <f t="shared" si="180"/>
        <v>42149.353444512773</v>
      </c>
      <c r="L2843" s="95">
        <f>+VLOOKUP(E2843,MARGEN!A:B,2,FALSE)</f>
        <v>0.1</v>
      </c>
      <c r="M2843" s="112">
        <f t="shared" si="177"/>
        <v>4214.9353444512772</v>
      </c>
      <c r="N2843" s="113">
        <f t="shared" si="178"/>
        <v>168.59741377805111</v>
      </c>
      <c r="O2843" s="113">
        <f t="shared" si="179"/>
        <v>37765.820686283449</v>
      </c>
    </row>
    <row r="2844" spans="1:15" x14ac:dyDescent="0.25">
      <c r="A2844" s="13">
        <v>44456</v>
      </c>
      <c r="B2844" s="97">
        <v>1631</v>
      </c>
      <c r="C2844" t="s">
        <v>209</v>
      </c>
      <c r="D2844" s="94" t="s">
        <v>441</v>
      </c>
      <c r="E2844" t="s">
        <v>17</v>
      </c>
      <c r="F2844" t="s">
        <v>558</v>
      </c>
      <c r="G2844" s="50" t="s">
        <v>559</v>
      </c>
      <c r="H2844" s="50">
        <v>2</v>
      </c>
      <c r="I2844" s="100">
        <v>6.7391919697301583</v>
      </c>
      <c r="J2844" s="52">
        <v>3834.68</v>
      </c>
      <c r="K2844" s="67">
        <f t="shared" si="180"/>
        <v>42149.353444512773</v>
      </c>
      <c r="L2844" s="95">
        <f>+VLOOKUP(E2844,MARGEN!A:B,2,FALSE)</f>
        <v>0.1</v>
      </c>
      <c r="M2844" s="112">
        <f t="shared" si="177"/>
        <v>4214.9353444512772</v>
      </c>
      <c r="N2844" s="113">
        <f t="shared" si="178"/>
        <v>168.59741377805111</v>
      </c>
      <c r="O2844" s="113">
        <f t="shared" si="179"/>
        <v>37765.820686283449</v>
      </c>
    </row>
    <row r="2845" spans="1:15" x14ac:dyDescent="0.25">
      <c r="A2845" s="13">
        <v>44456</v>
      </c>
      <c r="B2845" s="97">
        <v>1631</v>
      </c>
      <c r="C2845" t="s">
        <v>290</v>
      </c>
      <c r="D2845" s="94" t="s">
        <v>454</v>
      </c>
      <c r="E2845" t="s">
        <v>17</v>
      </c>
      <c r="F2845" t="s">
        <v>566</v>
      </c>
      <c r="G2845" s="50" t="s">
        <v>559</v>
      </c>
      <c r="H2845" s="50">
        <v>2</v>
      </c>
      <c r="I2845" s="100">
        <v>6.7391919697301583</v>
      </c>
      <c r="J2845" s="52">
        <v>3834.68</v>
      </c>
      <c r="K2845" s="67">
        <f t="shared" si="180"/>
        <v>42149.353444512773</v>
      </c>
      <c r="L2845" s="95">
        <f>+VLOOKUP(E2845,MARGEN!A:B,2,FALSE)</f>
        <v>0.1</v>
      </c>
      <c r="M2845" s="112">
        <f t="shared" si="177"/>
        <v>4214.9353444512772</v>
      </c>
      <c r="N2845" s="113">
        <f t="shared" si="178"/>
        <v>168.59741377805111</v>
      </c>
      <c r="O2845" s="113">
        <f t="shared" si="179"/>
        <v>37765.820686283449</v>
      </c>
    </row>
    <row r="2846" spans="1:15" x14ac:dyDescent="0.25">
      <c r="A2846" s="13">
        <v>44456</v>
      </c>
      <c r="B2846" s="97">
        <v>1631</v>
      </c>
      <c r="C2846" t="s">
        <v>171</v>
      </c>
      <c r="D2846" s="94" t="s">
        <v>387</v>
      </c>
      <c r="E2846" t="s">
        <v>17</v>
      </c>
      <c r="F2846" t="s">
        <v>566</v>
      </c>
      <c r="G2846" s="50" t="s">
        <v>559</v>
      </c>
      <c r="H2846" s="50">
        <v>2</v>
      </c>
      <c r="I2846" s="100">
        <v>6.7391919697301583</v>
      </c>
      <c r="J2846" s="52">
        <v>3834.68</v>
      </c>
      <c r="K2846" s="67">
        <f t="shared" si="180"/>
        <v>42149.353444512773</v>
      </c>
      <c r="L2846" s="95">
        <f>+VLOOKUP(E2846,MARGEN!A:B,2,FALSE)</f>
        <v>0.1</v>
      </c>
      <c r="M2846" s="112">
        <f t="shared" si="177"/>
        <v>4214.9353444512772</v>
      </c>
      <c r="N2846" s="113">
        <f t="shared" si="178"/>
        <v>168.59741377805111</v>
      </c>
      <c r="O2846" s="113">
        <f t="shared" si="179"/>
        <v>37765.820686283449</v>
      </c>
    </row>
    <row r="2847" spans="1:15" x14ac:dyDescent="0.25">
      <c r="A2847" s="13">
        <v>44456</v>
      </c>
      <c r="B2847" s="97">
        <v>1607</v>
      </c>
      <c r="C2847" t="s">
        <v>180</v>
      </c>
      <c r="D2847" s="94" t="s">
        <v>447</v>
      </c>
      <c r="E2847" t="s">
        <v>17</v>
      </c>
      <c r="F2847" t="s">
        <v>551</v>
      </c>
      <c r="G2847" s="50" t="s">
        <v>205</v>
      </c>
      <c r="H2847" s="50">
        <v>2</v>
      </c>
      <c r="I2847" s="100">
        <v>6.7391919697301583</v>
      </c>
      <c r="J2847" s="52">
        <v>3834.68</v>
      </c>
      <c r="K2847" s="67">
        <f t="shared" si="180"/>
        <v>41529.12997261314</v>
      </c>
      <c r="L2847" s="95">
        <f>+VLOOKUP(E2847,MARGEN!A:B,2,FALSE)</f>
        <v>0.1</v>
      </c>
      <c r="M2847" s="112">
        <f t="shared" si="177"/>
        <v>4152.9129972613146</v>
      </c>
      <c r="N2847" s="113">
        <f t="shared" si="178"/>
        <v>166.11651989045257</v>
      </c>
      <c r="O2847" s="113">
        <f t="shared" si="179"/>
        <v>37210.100455461376</v>
      </c>
    </row>
    <row r="2848" spans="1:15" x14ac:dyDescent="0.25">
      <c r="A2848" s="13">
        <v>44456</v>
      </c>
      <c r="B2848" s="97">
        <v>1559</v>
      </c>
      <c r="C2848" t="s">
        <v>294</v>
      </c>
      <c r="D2848" s="94" t="s">
        <v>527</v>
      </c>
      <c r="E2848" t="s">
        <v>17</v>
      </c>
      <c r="F2848" t="s">
        <v>551</v>
      </c>
      <c r="G2848" s="50" t="s">
        <v>205</v>
      </c>
      <c r="H2848" s="50">
        <v>2</v>
      </c>
      <c r="I2848" s="100">
        <v>6.7391919697301583</v>
      </c>
      <c r="J2848" s="52">
        <v>3834.68</v>
      </c>
      <c r="K2848" s="67">
        <f t="shared" si="180"/>
        <v>40288.683028813866</v>
      </c>
      <c r="L2848" s="95">
        <f>+VLOOKUP(E2848,MARGEN!A:B,2,FALSE)</f>
        <v>0.1</v>
      </c>
      <c r="M2848" s="112">
        <f t="shared" si="177"/>
        <v>4028.8683028813866</v>
      </c>
      <c r="N2848" s="113">
        <f t="shared" si="178"/>
        <v>161.15473211525546</v>
      </c>
      <c r="O2848" s="113">
        <f t="shared" si="179"/>
        <v>36098.659993817222</v>
      </c>
    </row>
    <row r="2849" spans="1:15" x14ac:dyDescent="0.25">
      <c r="A2849" s="13">
        <v>44456</v>
      </c>
      <c r="B2849" s="97">
        <v>1559</v>
      </c>
      <c r="C2849" t="s">
        <v>152</v>
      </c>
      <c r="D2849" s="94" t="s">
        <v>425</v>
      </c>
      <c r="E2849" t="s">
        <v>17</v>
      </c>
      <c r="F2849" t="s">
        <v>551</v>
      </c>
      <c r="G2849" s="50" t="s">
        <v>205</v>
      </c>
      <c r="H2849" s="50">
        <v>2</v>
      </c>
      <c r="I2849" s="100">
        <v>6.7391919697301583</v>
      </c>
      <c r="J2849" s="52">
        <v>3834.68</v>
      </c>
      <c r="K2849" s="67">
        <f t="shared" si="180"/>
        <v>40288.683028813866</v>
      </c>
      <c r="L2849" s="95">
        <f>+VLOOKUP(E2849,MARGEN!A:B,2,FALSE)</f>
        <v>0.1</v>
      </c>
      <c r="M2849" s="112">
        <f t="shared" si="177"/>
        <v>4028.8683028813866</v>
      </c>
      <c r="N2849" s="113">
        <f t="shared" si="178"/>
        <v>161.15473211525546</v>
      </c>
      <c r="O2849" s="113">
        <f t="shared" si="179"/>
        <v>36098.659993817222</v>
      </c>
    </row>
    <row r="2850" spans="1:15" x14ac:dyDescent="0.25">
      <c r="A2850" s="13">
        <v>44456</v>
      </c>
      <c r="B2850" s="97">
        <v>1559</v>
      </c>
      <c r="C2850" t="s">
        <v>552</v>
      </c>
      <c r="D2850" s="94" t="s">
        <v>563</v>
      </c>
      <c r="E2850" t="s">
        <v>17</v>
      </c>
      <c r="F2850" t="s">
        <v>566</v>
      </c>
      <c r="G2850" s="50" t="s">
        <v>559</v>
      </c>
      <c r="H2850" s="50">
        <v>2</v>
      </c>
      <c r="I2850" s="100">
        <v>6.7391919697301583</v>
      </c>
      <c r="J2850" s="52">
        <v>3834.68</v>
      </c>
      <c r="K2850" s="67">
        <f t="shared" si="180"/>
        <v>40288.683028813866</v>
      </c>
      <c r="L2850" s="95">
        <f>+VLOOKUP(E2850,MARGEN!A:B,2,FALSE)</f>
        <v>0.1</v>
      </c>
      <c r="M2850" s="112">
        <f t="shared" si="177"/>
        <v>4028.8683028813866</v>
      </c>
      <c r="N2850" s="113">
        <f t="shared" si="178"/>
        <v>161.15473211525546</v>
      </c>
      <c r="O2850" s="113">
        <f t="shared" si="179"/>
        <v>36098.659993817222</v>
      </c>
    </row>
    <row r="2851" spans="1:15" x14ac:dyDescent="0.25">
      <c r="A2851" s="13">
        <v>44456</v>
      </c>
      <c r="B2851" s="97">
        <v>1535</v>
      </c>
      <c r="C2851" t="s">
        <v>137</v>
      </c>
      <c r="D2851" s="94" t="s">
        <v>418</v>
      </c>
      <c r="E2851" t="s">
        <v>17</v>
      </c>
      <c r="F2851" t="s">
        <v>551</v>
      </c>
      <c r="G2851" s="50" t="s">
        <v>205</v>
      </c>
      <c r="H2851" s="50">
        <v>2</v>
      </c>
      <c r="I2851" s="100">
        <v>6.7391919697301583</v>
      </c>
      <c r="J2851" s="52">
        <v>3834.68</v>
      </c>
      <c r="K2851" s="67">
        <f t="shared" si="180"/>
        <v>39668.459556914233</v>
      </c>
      <c r="L2851" s="95">
        <f>+VLOOKUP(E2851,MARGEN!A:B,2,FALSE)</f>
        <v>0.1</v>
      </c>
      <c r="M2851" s="112">
        <f t="shared" si="177"/>
        <v>3966.8459556914236</v>
      </c>
      <c r="N2851" s="113">
        <f t="shared" si="178"/>
        <v>158.67383822765694</v>
      </c>
      <c r="O2851" s="113">
        <f t="shared" si="179"/>
        <v>35542.939762995149</v>
      </c>
    </row>
    <row r="2852" spans="1:15" x14ac:dyDescent="0.25">
      <c r="A2852" s="13">
        <v>44456</v>
      </c>
      <c r="B2852" s="97">
        <v>1535</v>
      </c>
      <c r="C2852" t="s">
        <v>202</v>
      </c>
      <c r="D2852" s="94" t="s">
        <v>436</v>
      </c>
      <c r="E2852" t="s">
        <v>17</v>
      </c>
      <c r="F2852" t="s">
        <v>566</v>
      </c>
      <c r="G2852" s="50" t="s">
        <v>559</v>
      </c>
      <c r="H2852" s="50">
        <v>2</v>
      </c>
      <c r="I2852" s="100">
        <v>6.7391919697301583</v>
      </c>
      <c r="J2852" s="52">
        <v>3834.68</v>
      </c>
      <c r="K2852" s="67">
        <f t="shared" si="180"/>
        <v>39668.459556914233</v>
      </c>
      <c r="L2852" s="95">
        <f>+VLOOKUP(E2852,MARGEN!A:B,2,FALSE)</f>
        <v>0.1</v>
      </c>
      <c r="M2852" s="112">
        <f t="shared" si="177"/>
        <v>3966.8459556914236</v>
      </c>
      <c r="N2852" s="113">
        <f t="shared" si="178"/>
        <v>158.67383822765694</v>
      </c>
      <c r="O2852" s="113">
        <f t="shared" si="179"/>
        <v>35542.939762995149</v>
      </c>
    </row>
    <row r="2853" spans="1:15" x14ac:dyDescent="0.25">
      <c r="A2853" s="13">
        <v>44456</v>
      </c>
      <c r="B2853" s="97">
        <v>1511</v>
      </c>
      <c r="C2853" t="s">
        <v>291</v>
      </c>
      <c r="D2853" s="94" t="s">
        <v>492</v>
      </c>
      <c r="E2853" t="s">
        <v>17</v>
      </c>
      <c r="F2853" t="s">
        <v>566</v>
      </c>
      <c r="G2853" s="50" t="s">
        <v>559</v>
      </c>
      <c r="H2853" s="50">
        <v>2</v>
      </c>
      <c r="I2853" s="100">
        <v>6.7391919697301583</v>
      </c>
      <c r="J2853" s="52">
        <v>3834.68</v>
      </c>
      <c r="K2853" s="67">
        <f t="shared" si="180"/>
        <v>39048.2360850146</v>
      </c>
      <c r="L2853" s="95">
        <f>+VLOOKUP(E2853,MARGEN!A:B,2,FALSE)</f>
        <v>0.1</v>
      </c>
      <c r="M2853" s="112">
        <f t="shared" si="177"/>
        <v>3904.8236085014601</v>
      </c>
      <c r="N2853" s="113">
        <f t="shared" si="178"/>
        <v>156.1929443400584</v>
      </c>
      <c r="O2853" s="113">
        <f t="shared" si="179"/>
        <v>34987.219532173083</v>
      </c>
    </row>
    <row r="2854" spans="1:15" x14ac:dyDescent="0.25">
      <c r="A2854" s="13">
        <v>44456</v>
      </c>
      <c r="B2854" s="97">
        <v>1487</v>
      </c>
      <c r="C2854" t="s">
        <v>169</v>
      </c>
      <c r="D2854" s="94" t="s">
        <v>351</v>
      </c>
      <c r="E2854" t="s">
        <v>17</v>
      </c>
      <c r="F2854" t="s">
        <v>566</v>
      </c>
      <c r="G2854" s="50" t="s">
        <v>559</v>
      </c>
      <c r="H2854" s="50">
        <v>2</v>
      </c>
      <c r="I2854" s="100">
        <v>6.7391919697301583</v>
      </c>
      <c r="J2854" s="52">
        <v>3834.68</v>
      </c>
      <c r="K2854" s="67">
        <f t="shared" si="180"/>
        <v>38428.012613114959</v>
      </c>
      <c r="L2854" s="95">
        <f>+VLOOKUP(E2854,MARGEN!A:B,2,FALSE)</f>
        <v>0.1</v>
      </c>
      <c r="M2854" s="112">
        <f t="shared" si="177"/>
        <v>3842.8012613114961</v>
      </c>
      <c r="N2854" s="113">
        <f t="shared" si="178"/>
        <v>153.71205045245983</v>
      </c>
      <c r="O2854" s="113">
        <f t="shared" si="179"/>
        <v>34431.499301351003</v>
      </c>
    </row>
    <row r="2855" spans="1:15" x14ac:dyDescent="0.25">
      <c r="A2855" s="13">
        <v>44456</v>
      </c>
      <c r="B2855" s="51">
        <v>1463</v>
      </c>
      <c r="C2855" s="66" t="s">
        <v>297</v>
      </c>
      <c r="D2855" s="66" t="s">
        <v>526</v>
      </c>
      <c r="E2855" t="s">
        <v>17</v>
      </c>
      <c r="F2855" s="50" t="s">
        <v>566</v>
      </c>
      <c r="G2855" s="50" t="s">
        <v>559</v>
      </c>
      <c r="H2855" s="50">
        <v>2</v>
      </c>
      <c r="I2855" s="100">
        <v>6.7391919697301583</v>
      </c>
      <c r="J2855" s="52">
        <v>3834.68</v>
      </c>
      <c r="K2855" s="67">
        <f t="shared" si="180"/>
        <v>37807.789141215326</v>
      </c>
      <c r="L2855" s="95">
        <f>+VLOOKUP(E2855,MARGEN!A:B,2,FALSE)</f>
        <v>0.1</v>
      </c>
      <c r="M2855" s="112">
        <f t="shared" si="177"/>
        <v>3780.7789141215326</v>
      </c>
      <c r="N2855" s="113">
        <f t="shared" si="178"/>
        <v>151.23115656486129</v>
      </c>
      <c r="O2855" s="113">
        <f t="shared" si="179"/>
        <v>33875.77907052893</v>
      </c>
    </row>
    <row r="2856" spans="1:15" x14ac:dyDescent="0.25">
      <c r="A2856" s="13">
        <v>44456</v>
      </c>
      <c r="B2856" s="97">
        <v>1439</v>
      </c>
      <c r="C2856" t="s">
        <v>200</v>
      </c>
      <c r="D2856" s="94" t="s">
        <v>428</v>
      </c>
      <c r="E2856" t="s">
        <v>17</v>
      </c>
      <c r="F2856" t="s">
        <v>551</v>
      </c>
      <c r="G2856" s="50" t="s">
        <v>205</v>
      </c>
      <c r="H2856" s="50">
        <v>2</v>
      </c>
      <c r="I2856" s="100">
        <v>6.7391919697301583</v>
      </c>
      <c r="J2856" s="52">
        <v>3834.68</v>
      </c>
      <c r="K2856" s="67">
        <f t="shared" si="180"/>
        <v>37187.565669315685</v>
      </c>
      <c r="L2856" s="95">
        <f>+VLOOKUP(E2856,MARGEN!A:B,2,FALSE)</f>
        <v>0.1</v>
      </c>
      <c r="M2856" s="112">
        <f t="shared" si="177"/>
        <v>3718.7565669315686</v>
      </c>
      <c r="N2856" s="113">
        <f t="shared" si="178"/>
        <v>148.75026267726275</v>
      </c>
      <c r="O2856" s="113">
        <f t="shared" si="179"/>
        <v>33320.058839706857</v>
      </c>
    </row>
    <row r="2857" spans="1:15" x14ac:dyDescent="0.25">
      <c r="A2857" s="13">
        <v>44456</v>
      </c>
      <c r="B2857" s="97">
        <v>1439</v>
      </c>
      <c r="C2857" t="s">
        <v>210</v>
      </c>
      <c r="D2857" t="s">
        <v>402</v>
      </c>
      <c r="E2857" t="s">
        <v>17</v>
      </c>
      <c r="F2857" t="s">
        <v>566</v>
      </c>
      <c r="G2857" s="50" t="s">
        <v>559</v>
      </c>
      <c r="H2857" s="50">
        <v>2</v>
      </c>
      <c r="I2857" s="100">
        <v>6.7391919697301583</v>
      </c>
      <c r="J2857" s="52">
        <v>3834.68</v>
      </c>
      <c r="K2857" s="67">
        <f t="shared" si="180"/>
        <v>37187.565669315685</v>
      </c>
      <c r="L2857" s="95">
        <f>+VLOOKUP(E2857,MARGEN!A:B,2,FALSE)</f>
        <v>0.1</v>
      </c>
      <c r="M2857" s="112">
        <f t="shared" si="177"/>
        <v>3718.7565669315686</v>
      </c>
      <c r="N2857" s="113">
        <f t="shared" si="178"/>
        <v>148.75026267726275</v>
      </c>
      <c r="O2857" s="113">
        <f t="shared" si="179"/>
        <v>33320.058839706857</v>
      </c>
    </row>
    <row r="2858" spans="1:15" x14ac:dyDescent="0.25">
      <c r="A2858" s="13">
        <v>44456</v>
      </c>
      <c r="B2858" s="97">
        <v>1343</v>
      </c>
      <c r="C2858" t="s">
        <v>298</v>
      </c>
      <c r="D2858" s="94" t="s">
        <v>536</v>
      </c>
      <c r="E2858" t="s">
        <v>17</v>
      </c>
      <c r="F2858" t="s">
        <v>558</v>
      </c>
      <c r="G2858" s="50" t="s">
        <v>559</v>
      </c>
      <c r="H2858" s="50">
        <v>2</v>
      </c>
      <c r="I2858" s="100">
        <v>6.7391919697301583</v>
      </c>
      <c r="J2858" s="52">
        <v>3834.68</v>
      </c>
      <c r="K2858" s="67">
        <f t="shared" si="180"/>
        <v>34706.671781717145</v>
      </c>
      <c r="L2858" s="95">
        <f>+VLOOKUP(E2858,MARGEN!A:B,2,FALSE)</f>
        <v>0.1</v>
      </c>
      <c r="M2858" s="112">
        <f t="shared" si="177"/>
        <v>3470.6671781717146</v>
      </c>
      <c r="N2858" s="113">
        <f t="shared" si="178"/>
        <v>138.82668712686859</v>
      </c>
      <c r="O2858" s="113">
        <f t="shared" si="179"/>
        <v>31097.177916418561</v>
      </c>
    </row>
    <row r="2859" spans="1:15" x14ac:dyDescent="0.25">
      <c r="A2859" s="13">
        <v>44456</v>
      </c>
      <c r="B2859" s="97">
        <v>1319</v>
      </c>
      <c r="C2859" t="s">
        <v>141</v>
      </c>
      <c r="D2859" s="94" t="s">
        <v>450</v>
      </c>
      <c r="E2859" t="s">
        <v>17</v>
      </c>
      <c r="F2859" t="s">
        <v>566</v>
      </c>
      <c r="G2859" s="50" t="s">
        <v>559</v>
      </c>
      <c r="H2859" s="50">
        <v>2</v>
      </c>
      <c r="I2859" s="100">
        <v>6.7391919697301583</v>
      </c>
      <c r="J2859" s="52">
        <v>3834.68</v>
      </c>
      <c r="K2859" s="67">
        <f t="shared" si="180"/>
        <v>34086.448309817511</v>
      </c>
      <c r="L2859" s="95">
        <f>+VLOOKUP(E2859,MARGEN!A:B,2,FALSE)</f>
        <v>0.1</v>
      </c>
      <c r="M2859" s="112">
        <f t="shared" si="177"/>
        <v>3408.6448309817515</v>
      </c>
      <c r="N2859" s="113">
        <f t="shared" si="178"/>
        <v>136.34579323927005</v>
      </c>
      <c r="O2859" s="113">
        <f t="shared" si="179"/>
        <v>30541.457685596492</v>
      </c>
    </row>
    <row r="2860" spans="1:15" x14ac:dyDescent="0.25">
      <c r="A2860" s="13">
        <v>44456</v>
      </c>
      <c r="B2860" s="97">
        <v>1319</v>
      </c>
      <c r="C2860" t="s">
        <v>118</v>
      </c>
      <c r="D2860" s="94" t="s">
        <v>329</v>
      </c>
      <c r="E2860" t="s">
        <v>17</v>
      </c>
      <c r="F2860" t="s">
        <v>566</v>
      </c>
      <c r="G2860" s="50" t="s">
        <v>559</v>
      </c>
      <c r="H2860" s="50">
        <v>2</v>
      </c>
      <c r="I2860" s="100">
        <v>6.7391919697301583</v>
      </c>
      <c r="J2860" s="52">
        <v>3834.68</v>
      </c>
      <c r="K2860" s="67">
        <f t="shared" si="180"/>
        <v>34086.448309817511</v>
      </c>
      <c r="L2860" s="95">
        <f>+VLOOKUP(E2860,MARGEN!A:B,2,FALSE)</f>
        <v>0.1</v>
      </c>
      <c r="M2860" s="112">
        <f t="shared" si="177"/>
        <v>3408.6448309817515</v>
      </c>
      <c r="N2860" s="113">
        <f t="shared" si="178"/>
        <v>136.34579323927005</v>
      </c>
      <c r="O2860" s="113">
        <f t="shared" si="179"/>
        <v>30541.457685596492</v>
      </c>
    </row>
    <row r="2861" spans="1:15" x14ac:dyDescent="0.25">
      <c r="A2861" s="13">
        <v>44456</v>
      </c>
      <c r="B2861" s="97">
        <v>1295</v>
      </c>
      <c r="C2861" t="s">
        <v>302</v>
      </c>
      <c r="D2861" s="94" t="s">
        <v>538</v>
      </c>
      <c r="E2861" t="s">
        <v>17</v>
      </c>
      <c r="F2861" t="s">
        <v>558</v>
      </c>
      <c r="G2861" s="50" t="s">
        <v>559</v>
      </c>
      <c r="H2861" s="50">
        <v>2</v>
      </c>
      <c r="I2861" s="100">
        <v>6.7391919697301583</v>
      </c>
      <c r="J2861" s="52">
        <v>3834.68</v>
      </c>
      <c r="K2861" s="67">
        <f t="shared" si="180"/>
        <v>33466.224837917871</v>
      </c>
      <c r="L2861" s="95">
        <f>+VLOOKUP(E2861,MARGEN!A:B,2,FALSE)</f>
        <v>0.1</v>
      </c>
      <c r="M2861" s="112">
        <f t="shared" si="177"/>
        <v>3346.6224837917871</v>
      </c>
      <c r="N2861" s="113">
        <f t="shared" si="178"/>
        <v>133.86489935167148</v>
      </c>
      <c r="O2861" s="113">
        <f t="shared" si="179"/>
        <v>29985.737454774411</v>
      </c>
    </row>
    <row r="2862" spans="1:15" x14ac:dyDescent="0.25">
      <c r="A2862" s="13">
        <v>44456</v>
      </c>
      <c r="B2862" s="97">
        <v>1295</v>
      </c>
      <c r="C2862" t="s">
        <v>151</v>
      </c>
      <c r="D2862" s="94" t="s">
        <v>394</v>
      </c>
      <c r="E2862" t="s">
        <v>17</v>
      </c>
      <c r="F2862" t="s">
        <v>566</v>
      </c>
      <c r="G2862" s="50" t="s">
        <v>559</v>
      </c>
      <c r="H2862" s="50">
        <v>2</v>
      </c>
      <c r="I2862" s="100">
        <v>6.7391919697301583</v>
      </c>
      <c r="J2862" s="52">
        <v>3834.68</v>
      </c>
      <c r="K2862" s="67">
        <f t="shared" si="180"/>
        <v>33466.224837917871</v>
      </c>
      <c r="L2862" s="95">
        <f>+VLOOKUP(E2862,MARGEN!A:B,2,FALSE)</f>
        <v>0.1</v>
      </c>
      <c r="M2862" s="112">
        <f t="shared" si="177"/>
        <v>3346.6224837917871</v>
      </c>
      <c r="N2862" s="113">
        <f t="shared" si="178"/>
        <v>133.86489935167148</v>
      </c>
      <c r="O2862" s="113">
        <f t="shared" si="179"/>
        <v>29985.737454774411</v>
      </c>
    </row>
    <row r="2863" spans="1:15" x14ac:dyDescent="0.25">
      <c r="A2863" s="13">
        <v>44456</v>
      </c>
      <c r="B2863" s="97">
        <v>1295</v>
      </c>
      <c r="C2863" t="s">
        <v>211</v>
      </c>
      <c r="D2863" s="94" t="s">
        <v>382</v>
      </c>
      <c r="E2863" t="s">
        <v>17</v>
      </c>
      <c r="F2863" t="s">
        <v>566</v>
      </c>
      <c r="G2863" s="50" t="s">
        <v>559</v>
      </c>
      <c r="H2863" s="50">
        <v>2</v>
      </c>
      <c r="I2863" s="100">
        <v>6.7391919697301583</v>
      </c>
      <c r="J2863" s="52">
        <v>3834.68</v>
      </c>
      <c r="K2863" s="67">
        <f t="shared" si="180"/>
        <v>33466.224837917871</v>
      </c>
      <c r="L2863" s="95">
        <f>+VLOOKUP(E2863,MARGEN!A:B,2,FALSE)</f>
        <v>0.1</v>
      </c>
      <c r="M2863" s="112">
        <f t="shared" si="177"/>
        <v>3346.6224837917871</v>
      </c>
      <c r="N2863" s="113">
        <f t="shared" si="178"/>
        <v>133.86489935167148</v>
      </c>
      <c r="O2863" s="113">
        <f t="shared" si="179"/>
        <v>29985.737454774411</v>
      </c>
    </row>
    <row r="2864" spans="1:15" x14ac:dyDescent="0.25">
      <c r="A2864" s="13">
        <v>44456</v>
      </c>
      <c r="B2864" s="97">
        <v>1271</v>
      </c>
      <c r="C2864" t="s">
        <v>183</v>
      </c>
      <c r="D2864" s="94" t="s">
        <v>390</v>
      </c>
      <c r="E2864" t="s">
        <v>17</v>
      </c>
      <c r="F2864" t="s">
        <v>558</v>
      </c>
      <c r="G2864" s="50" t="s">
        <v>559</v>
      </c>
      <c r="H2864" s="50">
        <v>2</v>
      </c>
      <c r="I2864" s="100">
        <v>6.7391919697301583</v>
      </c>
      <c r="J2864" s="52">
        <v>3834.68</v>
      </c>
      <c r="K2864" s="67">
        <f t="shared" si="180"/>
        <v>32846.00136601823</v>
      </c>
      <c r="L2864" s="95">
        <f>+VLOOKUP(E2864,MARGEN!A:B,2,FALSE)</f>
        <v>0.1</v>
      </c>
      <c r="M2864" s="112">
        <f t="shared" si="177"/>
        <v>3284.6001366018231</v>
      </c>
      <c r="N2864" s="113">
        <f t="shared" si="178"/>
        <v>131.38400546407291</v>
      </c>
      <c r="O2864" s="113">
        <f t="shared" si="179"/>
        <v>29430.017223952334</v>
      </c>
    </row>
    <row r="2865" spans="1:15" x14ac:dyDescent="0.25">
      <c r="A2865" s="13">
        <v>44456</v>
      </c>
      <c r="B2865" s="97">
        <v>1271</v>
      </c>
      <c r="C2865" t="s">
        <v>303</v>
      </c>
      <c r="D2865" s="94" t="s">
        <v>539</v>
      </c>
      <c r="E2865" t="s">
        <v>17</v>
      </c>
      <c r="F2865" t="s">
        <v>551</v>
      </c>
      <c r="G2865" s="50" t="s">
        <v>205</v>
      </c>
      <c r="H2865" s="50">
        <v>2</v>
      </c>
      <c r="I2865" s="100">
        <v>6.7391919697301583</v>
      </c>
      <c r="J2865" s="52">
        <v>3834.68</v>
      </c>
      <c r="K2865" s="67">
        <f t="shared" si="180"/>
        <v>32846.00136601823</v>
      </c>
      <c r="L2865" s="95">
        <f>+VLOOKUP(E2865,MARGEN!A:B,2,FALSE)</f>
        <v>0.1</v>
      </c>
      <c r="M2865" s="112">
        <f t="shared" si="177"/>
        <v>3284.6001366018231</v>
      </c>
      <c r="N2865" s="113">
        <f t="shared" si="178"/>
        <v>131.38400546407291</v>
      </c>
      <c r="O2865" s="113">
        <f t="shared" si="179"/>
        <v>29430.017223952334</v>
      </c>
    </row>
    <row r="2866" spans="1:15" x14ac:dyDescent="0.25">
      <c r="A2866" s="13">
        <v>44456</v>
      </c>
      <c r="B2866" s="97">
        <v>1247</v>
      </c>
      <c r="C2866" t="s">
        <v>308</v>
      </c>
      <c r="D2866" t="s">
        <v>500</v>
      </c>
      <c r="E2866" t="s">
        <v>17</v>
      </c>
      <c r="F2866" t="s">
        <v>566</v>
      </c>
      <c r="G2866" s="50" t="s">
        <v>559</v>
      </c>
      <c r="H2866" s="50">
        <v>2</v>
      </c>
      <c r="I2866" s="100">
        <v>6.7391919697301583</v>
      </c>
      <c r="J2866" s="52">
        <v>3834.68</v>
      </c>
      <c r="K2866" s="67">
        <f t="shared" si="180"/>
        <v>32225.777894118601</v>
      </c>
      <c r="L2866" s="95">
        <f>+VLOOKUP(E2866,MARGEN!A:B,2,FALSE)</f>
        <v>0.1</v>
      </c>
      <c r="M2866" s="112">
        <f t="shared" si="177"/>
        <v>3222.5777894118601</v>
      </c>
      <c r="N2866" s="113">
        <f t="shared" si="178"/>
        <v>128.9031115764744</v>
      </c>
      <c r="O2866" s="113">
        <f t="shared" si="179"/>
        <v>28874.296993130265</v>
      </c>
    </row>
    <row r="2867" spans="1:15" x14ac:dyDescent="0.25">
      <c r="A2867" s="13">
        <v>44456</v>
      </c>
      <c r="B2867" s="97">
        <v>1223</v>
      </c>
      <c r="C2867" t="s">
        <v>299</v>
      </c>
      <c r="D2867" s="94" t="s">
        <v>537</v>
      </c>
      <c r="E2867" t="s">
        <v>17</v>
      </c>
      <c r="F2867" t="s">
        <v>566</v>
      </c>
      <c r="G2867" s="50" t="s">
        <v>559</v>
      </c>
      <c r="H2867" s="50">
        <v>2</v>
      </c>
      <c r="I2867" s="100">
        <v>6.7391919697301583</v>
      </c>
      <c r="J2867" s="52">
        <v>3834.68</v>
      </c>
      <c r="K2867" s="67">
        <f t="shared" si="180"/>
        <v>31605.55442221896</v>
      </c>
      <c r="L2867" s="95">
        <f>+VLOOKUP(E2867,MARGEN!A:B,2,FALSE)</f>
        <v>0.1</v>
      </c>
      <c r="M2867" s="112">
        <f t="shared" si="177"/>
        <v>3160.5554422218961</v>
      </c>
      <c r="N2867" s="113">
        <f t="shared" si="178"/>
        <v>126.42221768887585</v>
      </c>
      <c r="O2867" s="113">
        <f t="shared" si="179"/>
        <v>28318.576762308188</v>
      </c>
    </row>
    <row r="2868" spans="1:15" x14ac:dyDescent="0.25">
      <c r="A2868" s="13">
        <v>44456</v>
      </c>
      <c r="B2868" s="97">
        <v>1223</v>
      </c>
      <c r="C2868" t="s">
        <v>199</v>
      </c>
      <c r="D2868" s="94" t="s">
        <v>414</v>
      </c>
      <c r="E2868" t="s">
        <v>17</v>
      </c>
      <c r="F2868" t="s">
        <v>566</v>
      </c>
      <c r="G2868" s="50" t="s">
        <v>559</v>
      </c>
      <c r="H2868" s="50">
        <v>2</v>
      </c>
      <c r="I2868" s="100">
        <v>6.7391919697301583</v>
      </c>
      <c r="J2868" s="52">
        <v>3834.68</v>
      </c>
      <c r="K2868" s="67">
        <f t="shared" si="180"/>
        <v>31605.55442221896</v>
      </c>
      <c r="L2868" s="95">
        <f>+VLOOKUP(E2868,MARGEN!A:B,2,FALSE)</f>
        <v>0.1</v>
      </c>
      <c r="M2868" s="112">
        <f t="shared" si="177"/>
        <v>3160.5554422218961</v>
      </c>
      <c r="N2868" s="113">
        <f t="shared" si="178"/>
        <v>126.42221768887585</v>
      </c>
      <c r="O2868" s="113">
        <f t="shared" si="179"/>
        <v>28318.576762308188</v>
      </c>
    </row>
    <row r="2869" spans="1:15" x14ac:dyDescent="0.25">
      <c r="A2869" s="13">
        <v>44456</v>
      </c>
      <c r="B2869" s="97">
        <v>1175</v>
      </c>
      <c r="C2869" t="s">
        <v>201</v>
      </c>
      <c r="D2869" s="94" t="s">
        <v>374</v>
      </c>
      <c r="E2869" t="s">
        <v>17</v>
      </c>
      <c r="F2869" t="s">
        <v>551</v>
      </c>
      <c r="G2869" s="50" t="s">
        <v>205</v>
      </c>
      <c r="H2869" s="50">
        <v>2</v>
      </c>
      <c r="I2869" s="100">
        <v>6.7391919697301583</v>
      </c>
      <c r="J2869" s="52">
        <v>3834.68</v>
      </c>
      <c r="K2869" s="67">
        <f t="shared" si="180"/>
        <v>30365.10747841969</v>
      </c>
      <c r="L2869" s="95">
        <f>+VLOOKUP(E2869,MARGEN!A:B,2,FALSE)</f>
        <v>0.1</v>
      </c>
      <c r="M2869" s="112">
        <f t="shared" si="177"/>
        <v>3036.5107478419691</v>
      </c>
      <c r="N2869" s="113">
        <f t="shared" si="178"/>
        <v>121.46042991367877</v>
      </c>
      <c r="O2869" s="113">
        <f t="shared" si="179"/>
        <v>27207.136300664042</v>
      </c>
    </row>
    <row r="2870" spans="1:15" x14ac:dyDescent="0.25">
      <c r="A2870" s="13">
        <v>44456</v>
      </c>
      <c r="B2870" s="97">
        <v>1127</v>
      </c>
      <c r="C2870" t="s">
        <v>153</v>
      </c>
      <c r="D2870" s="94" t="s">
        <v>444</v>
      </c>
      <c r="E2870" t="s">
        <v>17</v>
      </c>
      <c r="F2870" t="s">
        <v>558</v>
      </c>
      <c r="G2870" s="50" t="s">
        <v>559</v>
      </c>
      <c r="H2870" s="50">
        <v>2</v>
      </c>
      <c r="I2870" s="100">
        <v>6.7391919697301583</v>
      </c>
      <c r="J2870" s="52">
        <v>3834.68</v>
      </c>
      <c r="K2870" s="67">
        <f t="shared" si="180"/>
        <v>29124.660534620416</v>
      </c>
      <c r="L2870" s="95">
        <f>+VLOOKUP(E2870,MARGEN!A:B,2,FALSE)</f>
        <v>0.1</v>
      </c>
      <c r="M2870" s="112">
        <f t="shared" si="177"/>
        <v>2912.4660534620416</v>
      </c>
      <c r="N2870" s="113">
        <f t="shared" si="178"/>
        <v>116.49864213848167</v>
      </c>
      <c r="O2870" s="113">
        <f t="shared" si="179"/>
        <v>26095.695839019892</v>
      </c>
    </row>
    <row r="2871" spans="1:15" x14ac:dyDescent="0.25">
      <c r="A2871" s="13">
        <v>44456</v>
      </c>
      <c r="B2871" s="97">
        <v>1127</v>
      </c>
      <c r="C2871" t="s">
        <v>185</v>
      </c>
      <c r="D2871" s="94" t="s">
        <v>456</v>
      </c>
      <c r="E2871" t="s">
        <v>17</v>
      </c>
      <c r="F2871" t="s">
        <v>566</v>
      </c>
      <c r="G2871" s="50" t="s">
        <v>559</v>
      </c>
      <c r="H2871" s="50">
        <v>2</v>
      </c>
      <c r="I2871" s="100">
        <v>6.7391919697301583</v>
      </c>
      <c r="J2871" s="52">
        <v>3834.68</v>
      </c>
      <c r="K2871" s="67">
        <f t="shared" si="180"/>
        <v>29124.660534620416</v>
      </c>
      <c r="L2871" s="95">
        <f>+VLOOKUP(E2871,MARGEN!A:B,2,FALSE)</f>
        <v>0.1</v>
      </c>
      <c r="M2871" s="112">
        <f t="shared" si="177"/>
        <v>2912.4660534620416</v>
      </c>
      <c r="N2871" s="113">
        <f t="shared" si="178"/>
        <v>116.49864213848167</v>
      </c>
      <c r="O2871" s="113">
        <f t="shared" si="179"/>
        <v>26095.695839019892</v>
      </c>
    </row>
    <row r="2872" spans="1:15" x14ac:dyDescent="0.25">
      <c r="A2872" s="13">
        <v>44456</v>
      </c>
      <c r="B2872" s="97">
        <v>911</v>
      </c>
      <c r="C2872" t="s">
        <v>182</v>
      </c>
      <c r="D2872" s="94" t="s">
        <v>455</v>
      </c>
      <c r="E2872" t="s">
        <v>17</v>
      </c>
      <c r="F2872" t="s">
        <v>566</v>
      </c>
      <c r="G2872" s="50" t="s">
        <v>559</v>
      </c>
      <c r="H2872" s="50">
        <v>2</v>
      </c>
      <c r="I2872" s="100">
        <v>6.7391919697301583</v>
      </c>
      <c r="J2872" s="52">
        <v>3834.68</v>
      </c>
      <c r="K2872" s="67">
        <f t="shared" si="180"/>
        <v>23542.649287523691</v>
      </c>
      <c r="L2872" s="95">
        <f>+VLOOKUP(E2872,MARGEN!A:B,2,FALSE)</f>
        <v>0.1</v>
      </c>
      <c r="M2872" s="112">
        <f t="shared" si="177"/>
        <v>2354.2649287523691</v>
      </c>
      <c r="N2872" s="113">
        <f t="shared" si="178"/>
        <v>94.170597150094764</v>
      </c>
      <c r="O2872" s="113">
        <f t="shared" si="179"/>
        <v>21094.213761621224</v>
      </c>
    </row>
    <row r="2873" spans="1:15" x14ac:dyDescent="0.25">
      <c r="A2873" s="13">
        <v>44456</v>
      </c>
      <c r="B2873" s="97">
        <v>791</v>
      </c>
      <c r="C2873" t="s">
        <v>307</v>
      </c>
      <c r="D2873" t="s">
        <v>497</v>
      </c>
      <c r="E2873" t="s">
        <v>17</v>
      </c>
      <c r="F2873" t="s">
        <v>566</v>
      </c>
      <c r="G2873" s="50" t="s">
        <v>559</v>
      </c>
      <c r="H2873" s="50">
        <v>2</v>
      </c>
      <c r="I2873" s="100">
        <v>6.7391919697301583</v>
      </c>
      <c r="J2873" s="52">
        <v>3834.68</v>
      </c>
      <c r="K2873" s="67">
        <f t="shared" si="180"/>
        <v>20441.53192802551</v>
      </c>
      <c r="L2873" s="95">
        <f>+VLOOKUP(E2873,MARGEN!A:B,2,FALSE)</f>
        <v>0.1</v>
      </c>
      <c r="M2873" s="112">
        <f t="shared" si="177"/>
        <v>2044.1531928025511</v>
      </c>
      <c r="N2873" s="113">
        <f t="shared" si="178"/>
        <v>81.766127712102033</v>
      </c>
      <c r="O2873" s="113">
        <f t="shared" si="179"/>
        <v>18315.612607510859</v>
      </c>
    </row>
    <row r="2874" spans="1:15" x14ac:dyDescent="0.25">
      <c r="A2874" s="13">
        <v>44457</v>
      </c>
      <c r="B2874" s="97">
        <v>9358</v>
      </c>
      <c r="C2874" t="s">
        <v>280</v>
      </c>
      <c r="D2874" s="94" t="s">
        <v>457</v>
      </c>
      <c r="E2874" t="s">
        <v>17</v>
      </c>
      <c r="F2874" t="s">
        <v>566</v>
      </c>
      <c r="G2874" s="50" t="s">
        <v>559</v>
      </c>
      <c r="H2874" s="50">
        <v>2</v>
      </c>
      <c r="I2874" s="100">
        <v>6.7391919697301583</v>
      </c>
      <c r="J2874" s="52">
        <v>3834.68</v>
      </c>
      <c r="K2874" s="67">
        <f t="shared" si="180"/>
        <v>241835.46875153316</v>
      </c>
      <c r="L2874" s="95">
        <f>+VLOOKUP(E2874,MARGEN!A:B,2,FALSE)</f>
        <v>0.1</v>
      </c>
      <c r="M2874" s="112">
        <f t="shared" si="177"/>
        <v>24183.546875153319</v>
      </c>
      <c r="N2874" s="113">
        <f t="shared" si="178"/>
        <v>967.34187500613268</v>
      </c>
      <c r="O2874" s="113">
        <f t="shared" si="179"/>
        <v>216684.58000137372</v>
      </c>
    </row>
    <row r="2875" spans="1:15" x14ac:dyDescent="0.25">
      <c r="A2875" s="13">
        <v>44457</v>
      </c>
      <c r="B2875" s="97">
        <v>8471</v>
      </c>
      <c r="C2875" t="s">
        <v>164</v>
      </c>
      <c r="D2875" t="s">
        <v>445</v>
      </c>
      <c r="E2875" t="s">
        <v>17</v>
      </c>
      <c r="F2875" t="s">
        <v>573</v>
      </c>
      <c r="G2875" s="50" t="s">
        <v>574</v>
      </c>
      <c r="H2875" s="50">
        <v>2</v>
      </c>
      <c r="I2875" s="100">
        <v>6.7391919697301583</v>
      </c>
      <c r="J2875" s="52">
        <v>3834.68</v>
      </c>
      <c r="K2875" s="67">
        <f t="shared" si="180"/>
        <v>218913.04293590909</v>
      </c>
      <c r="L2875" s="95">
        <f>+VLOOKUP(E2875,MARGEN!A:B,2,FALSE)</f>
        <v>0.1</v>
      </c>
      <c r="M2875" s="112">
        <f t="shared" si="177"/>
        <v>21891.304293590911</v>
      </c>
      <c r="N2875" s="113">
        <f t="shared" si="178"/>
        <v>875.65217174363636</v>
      </c>
      <c r="O2875" s="113">
        <f t="shared" si="179"/>
        <v>196146.08647057455</v>
      </c>
    </row>
    <row r="2876" spans="1:15" x14ac:dyDescent="0.25">
      <c r="A2876" s="13">
        <v>44457</v>
      </c>
      <c r="B2876" s="97">
        <v>8231</v>
      </c>
      <c r="C2876" t="s">
        <v>164</v>
      </c>
      <c r="D2876" t="s">
        <v>445</v>
      </c>
      <c r="E2876" t="s">
        <v>17</v>
      </c>
      <c r="F2876" t="s">
        <v>573</v>
      </c>
      <c r="G2876" s="50" t="s">
        <v>574</v>
      </c>
      <c r="H2876" s="50">
        <v>2</v>
      </c>
      <c r="I2876" s="100">
        <v>6.7391919697301583</v>
      </c>
      <c r="J2876" s="52">
        <v>3834.68</v>
      </c>
      <c r="K2876" s="67">
        <f t="shared" si="180"/>
        <v>212710.80821691276</v>
      </c>
      <c r="L2876" s="95">
        <f>+VLOOKUP(E2876,MARGEN!A:B,2,FALSE)</f>
        <v>0.1</v>
      </c>
      <c r="M2876" s="112">
        <f t="shared" si="177"/>
        <v>21271.080821691277</v>
      </c>
      <c r="N2876" s="113">
        <f t="shared" si="178"/>
        <v>850.84323286765107</v>
      </c>
      <c r="O2876" s="113">
        <f t="shared" si="179"/>
        <v>190588.88416235382</v>
      </c>
    </row>
    <row r="2877" spans="1:15" x14ac:dyDescent="0.25">
      <c r="A2877" s="13">
        <v>44457</v>
      </c>
      <c r="B2877" s="97">
        <v>8230</v>
      </c>
      <c r="C2877" t="s">
        <v>164</v>
      </c>
      <c r="D2877" s="94" t="s">
        <v>445</v>
      </c>
      <c r="E2877" t="s">
        <v>17</v>
      </c>
      <c r="F2877" t="s">
        <v>551</v>
      </c>
      <c r="G2877" s="50" t="s">
        <v>205</v>
      </c>
      <c r="H2877" s="50">
        <v>2</v>
      </c>
      <c r="I2877" s="100">
        <v>6.7391919697301583</v>
      </c>
      <c r="J2877" s="52">
        <v>3834.68</v>
      </c>
      <c r="K2877" s="67">
        <f t="shared" si="180"/>
        <v>212684.96557225028</v>
      </c>
      <c r="L2877" s="95">
        <f>+VLOOKUP(E2877,MARGEN!A:B,2,FALSE)</f>
        <v>0.1</v>
      </c>
      <c r="M2877" s="112">
        <f t="shared" si="177"/>
        <v>21268.496557225029</v>
      </c>
      <c r="N2877" s="113">
        <f t="shared" si="178"/>
        <v>850.73986228900117</v>
      </c>
      <c r="O2877" s="113">
        <f t="shared" si="179"/>
        <v>190565.72915273625</v>
      </c>
    </row>
    <row r="2878" spans="1:15" x14ac:dyDescent="0.25">
      <c r="A2878" s="13">
        <v>44457</v>
      </c>
      <c r="B2878" s="97">
        <v>6767</v>
      </c>
      <c r="C2878" t="s">
        <v>150</v>
      </c>
      <c r="D2878" t="s">
        <v>357</v>
      </c>
      <c r="E2878" t="s">
        <v>17</v>
      </c>
      <c r="F2878" t="s">
        <v>573</v>
      </c>
      <c r="G2878" s="50" t="s">
        <v>574</v>
      </c>
      <c r="H2878" s="50">
        <v>2</v>
      </c>
      <c r="I2878" s="100">
        <v>6.7391919697301583</v>
      </c>
      <c r="J2878" s="52">
        <v>3834.68</v>
      </c>
      <c r="K2878" s="67">
        <f t="shared" si="180"/>
        <v>174877.17643103495</v>
      </c>
      <c r="L2878" s="95">
        <f>+VLOOKUP(E2878,MARGEN!A:B,2,FALSE)</f>
        <v>0.1</v>
      </c>
      <c r="M2878" s="112">
        <f t="shared" si="177"/>
        <v>17487.717643103497</v>
      </c>
      <c r="N2878" s="113">
        <f t="shared" si="178"/>
        <v>699.50870572413976</v>
      </c>
      <c r="O2878" s="113">
        <f t="shared" si="179"/>
        <v>156689.9500822073</v>
      </c>
    </row>
    <row r="2879" spans="1:15" x14ac:dyDescent="0.25">
      <c r="A2879" s="13">
        <v>44457</v>
      </c>
      <c r="B2879" s="97">
        <v>6767</v>
      </c>
      <c r="C2879" t="s">
        <v>150</v>
      </c>
      <c r="D2879" t="s">
        <v>357</v>
      </c>
      <c r="E2879" t="s">
        <v>17</v>
      </c>
      <c r="F2879" t="s">
        <v>573</v>
      </c>
      <c r="G2879" s="50" t="s">
        <v>574</v>
      </c>
      <c r="H2879" s="50">
        <v>2</v>
      </c>
      <c r="I2879" s="100">
        <v>6.7391919697301583</v>
      </c>
      <c r="J2879" s="52">
        <v>3834.68</v>
      </c>
      <c r="K2879" s="67">
        <f t="shared" si="180"/>
        <v>174877.17643103495</v>
      </c>
      <c r="L2879" s="95">
        <f>+VLOOKUP(E2879,MARGEN!A:B,2,FALSE)</f>
        <v>0.1</v>
      </c>
      <c r="M2879" s="112">
        <f t="shared" si="177"/>
        <v>17487.717643103497</v>
      </c>
      <c r="N2879" s="113">
        <f t="shared" si="178"/>
        <v>699.50870572413976</v>
      </c>
      <c r="O2879" s="113">
        <f t="shared" si="179"/>
        <v>156689.9500822073</v>
      </c>
    </row>
    <row r="2880" spans="1:15" x14ac:dyDescent="0.25">
      <c r="A2880" s="13">
        <v>44457</v>
      </c>
      <c r="B2880" s="97">
        <v>5975</v>
      </c>
      <c r="C2880" t="s">
        <v>279</v>
      </c>
      <c r="D2880" s="94" t="s">
        <v>493</v>
      </c>
      <c r="E2880" t="s">
        <v>17</v>
      </c>
      <c r="F2880" t="s">
        <v>573</v>
      </c>
      <c r="G2880" s="50" t="s">
        <v>574</v>
      </c>
      <c r="H2880" s="50">
        <v>2</v>
      </c>
      <c r="I2880" s="100">
        <v>6.7391919697301583</v>
      </c>
      <c r="J2880" s="52">
        <v>3834.68</v>
      </c>
      <c r="K2880" s="67">
        <f t="shared" si="180"/>
        <v>154409.80185834694</v>
      </c>
      <c r="L2880" s="95">
        <f>+VLOOKUP(E2880,MARGEN!A:B,2,FALSE)</f>
        <v>0.1</v>
      </c>
      <c r="M2880" s="112">
        <f t="shared" si="177"/>
        <v>15440.980185834695</v>
      </c>
      <c r="N2880" s="113">
        <f t="shared" si="178"/>
        <v>617.63920743338781</v>
      </c>
      <c r="O2880" s="113">
        <f t="shared" si="179"/>
        <v>138351.18246507886</v>
      </c>
    </row>
    <row r="2881" spans="1:15" x14ac:dyDescent="0.25">
      <c r="A2881" s="13">
        <v>44457</v>
      </c>
      <c r="B2881" s="97">
        <v>5975</v>
      </c>
      <c r="C2881" t="s">
        <v>279</v>
      </c>
      <c r="D2881" t="s">
        <v>493</v>
      </c>
      <c r="E2881" t="s">
        <v>17</v>
      </c>
      <c r="F2881" t="s">
        <v>573</v>
      </c>
      <c r="G2881" s="50" t="s">
        <v>574</v>
      </c>
      <c r="H2881" s="50">
        <v>2</v>
      </c>
      <c r="I2881" s="100">
        <v>6.7391919697301583</v>
      </c>
      <c r="J2881" s="52">
        <v>3834.68</v>
      </c>
      <c r="K2881" s="67">
        <f t="shared" si="180"/>
        <v>154409.80185834694</v>
      </c>
      <c r="L2881" s="95">
        <f>+VLOOKUP(E2881,MARGEN!A:B,2,FALSE)</f>
        <v>0.1</v>
      </c>
      <c r="M2881" s="112">
        <f t="shared" si="177"/>
        <v>15440.980185834695</v>
      </c>
      <c r="N2881" s="113">
        <f t="shared" si="178"/>
        <v>617.63920743338781</v>
      </c>
      <c r="O2881" s="113">
        <f t="shared" si="179"/>
        <v>138351.18246507886</v>
      </c>
    </row>
    <row r="2882" spans="1:15" x14ac:dyDescent="0.25">
      <c r="A2882" s="13">
        <v>44457</v>
      </c>
      <c r="B2882" s="97">
        <v>4631</v>
      </c>
      <c r="C2882" t="s">
        <v>136</v>
      </c>
      <c r="D2882" s="94" t="s">
        <v>359</v>
      </c>
      <c r="E2882" t="s">
        <v>17</v>
      </c>
      <c r="F2882" t="s">
        <v>566</v>
      </c>
      <c r="G2882" s="50" t="s">
        <v>559</v>
      </c>
      <c r="H2882" s="50">
        <v>2</v>
      </c>
      <c r="I2882" s="100">
        <v>6.7391919697301583</v>
      </c>
      <c r="J2882" s="52">
        <v>3834.68</v>
      </c>
      <c r="K2882" s="67">
        <f t="shared" si="180"/>
        <v>119677.28743196731</v>
      </c>
      <c r="L2882" s="95">
        <f>+VLOOKUP(E2882,MARGEN!A:B,2,FALSE)</f>
        <v>0.1</v>
      </c>
      <c r="M2882" s="112">
        <f t="shared" si="177"/>
        <v>11967.728743196732</v>
      </c>
      <c r="N2882" s="113">
        <f t="shared" si="178"/>
        <v>478.70914972786926</v>
      </c>
      <c r="O2882" s="113">
        <f t="shared" si="179"/>
        <v>107230.84953904271</v>
      </c>
    </row>
    <row r="2883" spans="1:15" x14ac:dyDescent="0.25">
      <c r="A2883" s="13">
        <v>44457</v>
      </c>
      <c r="B2883" s="97">
        <v>4079</v>
      </c>
      <c r="C2883" t="s">
        <v>148</v>
      </c>
      <c r="D2883" s="94" t="s">
        <v>323</v>
      </c>
      <c r="E2883" t="s">
        <v>17</v>
      </c>
      <c r="F2883" t="s">
        <v>566</v>
      </c>
      <c r="G2883" s="50" t="s">
        <v>559</v>
      </c>
      <c r="H2883" s="50">
        <v>2</v>
      </c>
      <c r="I2883" s="100">
        <v>6.7391919697301583</v>
      </c>
      <c r="J2883" s="52">
        <v>3834.68</v>
      </c>
      <c r="K2883" s="67">
        <f t="shared" si="180"/>
        <v>105412.14757827566</v>
      </c>
      <c r="L2883" s="95">
        <f>+VLOOKUP(E2883,MARGEN!A:B,2,FALSE)</f>
        <v>0.1</v>
      </c>
      <c r="M2883" s="112">
        <f t="shared" ref="M2883:M2946" si="181">+K2883*L2883</f>
        <v>10541.214757827567</v>
      </c>
      <c r="N2883" s="113">
        <f t="shared" ref="N2883:N2946" si="182">+K2883*4/1000</f>
        <v>421.64859031310266</v>
      </c>
      <c r="O2883" s="113">
        <f t="shared" ref="O2883:O2946" si="183">+K2883-M2883-N2883</f>
        <v>94449.284230135003</v>
      </c>
    </row>
    <row r="2884" spans="1:15" x14ac:dyDescent="0.25">
      <c r="A2884" s="13">
        <v>44457</v>
      </c>
      <c r="B2884" s="97">
        <v>3887</v>
      </c>
      <c r="C2884" t="s">
        <v>293</v>
      </c>
      <c r="D2884" s="94" t="s">
        <v>499</v>
      </c>
      <c r="E2884" t="s">
        <v>17</v>
      </c>
      <c r="F2884" t="s">
        <v>562</v>
      </c>
      <c r="G2884" s="50" t="s">
        <v>559</v>
      </c>
      <c r="H2884" s="50">
        <v>2</v>
      </c>
      <c r="I2884" s="100">
        <v>6.7391919697301583</v>
      </c>
      <c r="J2884" s="52">
        <v>3834.68</v>
      </c>
      <c r="K2884" s="67">
        <f t="shared" si="180"/>
        <v>100450.35980307858</v>
      </c>
      <c r="L2884" s="95">
        <f>+VLOOKUP(E2884,MARGEN!A:B,2,FALSE)</f>
        <v>0.1</v>
      </c>
      <c r="M2884" s="112">
        <f t="shared" si="181"/>
        <v>10045.035980307859</v>
      </c>
      <c r="N2884" s="113">
        <f t="shared" si="182"/>
        <v>401.80143921231434</v>
      </c>
      <c r="O2884" s="113">
        <f t="shared" si="183"/>
        <v>90003.522383558404</v>
      </c>
    </row>
    <row r="2885" spans="1:15" x14ac:dyDescent="0.25">
      <c r="A2885" s="13">
        <v>44457</v>
      </c>
      <c r="B2885" s="97">
        <v>3791</v>
      </c>
      <c r="C2885" t="s">
        <v>144</v>
      </c>
      <c r="D2885" s="94" t="s">
        <v>343</v>
      </c>
      <c r="E2885" t="s">
        <v>17</v>
      </c>
      <c r="F2885" t="s">
        <v>566</v>
      </c>
      <c r="G2885" s="50" t="s">
        <v>559</v>
      </c>
      <c r="H2885" s="50">
        <v>2</v>
      </c>
      <c r="I2885" s="100">
        <v>6.7391919697301583</v>
      </c>
      <c r="J2885" s="52">
        <v>3834.68</v>
      </c>
      <c r="K2885" s="67">
        <f t="shared" si="180"/>
        <v>97969.465915480032</v>
      </c>
      <c r="L2885" s="95">
        <f>+VLOOKUP(E2885,MARGEN!A:B,2,FALSE)</f>
        <v>0.1</v>
      </c>
      <c r="M2885" s="112">
        <f t="shared" si="181"/>
        <v>9796.9465915480032</v>
      </c>
      <c r="N2885" s="113">
        <f t="shared" si="182"/>
        <v>391.87786366192012</v>
      </c>
      <c r="O2885" s="113">
        <f t="shared" si="183"/>
        <v>87780.641460270112</v>
      </c>
    </row>
    <row r="2886" spans="1:15" x14ac:dyDescent="0.25">
      <c r="A2886" s="13">
        <v>44457</v>
      </c>
      <c r="B2886" s="97">
        <v>3479</v>
      </c>
      <c r="C2886" t="s">
        <v>165</v>
      </c>
      <c r="D2886" s="94" t="s">
        <v>375</v>
      </c>
      <c r="E2886" t="s">
        <v>17</v>
      </c>
      <c r="F2886" t="s">
        <v>558</v>
      </c>
      <c r="G2886" s="50" t="s">
        <v>559</v>
      </c>
      <c r="H2886" s="50">
        <v>2</v>
      </c>
      <c r="I2886" s="100">
        <v>6.7391919697301583</v>
      </c>
      <c r="J2886" s="52">
        <v>3834.68</v>
      </c>
      <c r="K2886" s="67">
        <f t="shared" si="180"/>
        <v>89906.56078078477</v>
      </c>
      <c r="L2886" s="95">
        <f>+VLOOKUP(E2886,MARGEN!A:B,2,FALSE)</f>
        <v>0.1</v>
      </c>
      <c r="M2886" s="112">
        <f t="shared" si="181"/>
        <v>8990.6560780784766</v>
      </c>
      <c r="N2886" s="113">
        <f t="shared" si="182"/>
        <v>359.62624312313909</v>
      </c>
      <c r="O2886" s="113">
        <f t="shared" si="183"/>
        <v>80556.278459583147</v>
      </c>
    </row>
    <row r="2887" spans="1:15" x14ac:dyDescent="0.25">
      <c r="A2887" s="13">
        <v>44457</v>
      </c>
      <c r="B2887" s="97">
        <v>2375</v>
      </c>
      <c r="C2887" t="s">
        <v>281</v>
      </c>
      <c r="D2887" s="94" t="s">
        <v>495</v>
      </c>
      <c r="E2887" t="s">
        <v>17</v>
      </c>
      <c r="F2887" t="s">
        <v>566</v>
      </c>
      <c r="G2887" s="50" t="s">
        <v>559</v>
      </c>
      <c r="H2887" s="50">
        <v>2</v>
      </c>
      <c r="I2887" s="100">
        <v>6.7391919697301583</v>
      </c>
      <c r="J2887" s="52">
        <v>3834.68</v>
      </c>
      <c r="K2887" s="67">
        <f t="shared" si="180"/>
        <v>61376.2810734015</v>
      </c>
      <c r="L2887" s="95">
        <f>+VLOOKUP(E2887,MARGEN!A:B,2,FALSE)</f>
        <v>0.1</v>
      </c>
      <c r="M2887" s="112">
        <f t="shared" si="181"/>
        <v>6137.6281073401506</v>
      </c>
      <c r="N2887" s="113">
        <f t="shared" si="182"/>
        <v>245.505124293606</v>
      </c>
      <c r="O2887" s="113">
        <f t="shared" si="183"/>
        <v>54993.14784176775</v>
      </c>
    </row>
    <row r="2888" spans="1:15" x14ac:dyDescent="0.25">
      <c r="A2888" s="13">
        <v>44457</v>
      </c>
      <c r="B2888" s="97">
        <v>2327</v>
      </c>
      <c r="C2888" t="s">
        <v>163</v>
      </c>
      <c r="D2888" s="94" t="s">
        <v>398</v>
      </c>
      <c r="E2888" t="s">
        <v>17</v>
      </c>
      <c r="F2888" t="s">
        <v>562</v>
      </c>
      <c r="G2888" s="50" t="s">
        <v>559</v>
      </c>
      <c r="H2888" s="50">
        <v>2</v>
      </c>
      <c r="I2888" s="100">
        <v>6.7391919697301583</v>
      </c>
      <c r="J2888" s="52">
        <v>3834.68</v>
      </c>
      <c r="K2888" s="67">
        <f t="shared" si="180"/>
        <v>60135.834129602234</v>
      </c>
      <c r="L2888" s="95">
        <f>+VLOOKUP(E2888,MARGEN!A:B,2,FALSE)</f>
        <v>0.1</v>
      </c>
      <c r="M2888" s="112">
        <f t="shared" si="181"/>
        <v>6013.5834129602235</v>
      </c>
      <c r="N2888" s="113">
        <f t="shared" si="182"/>
        <v>240.54333651840892</v>
      </c>
      <c r="O2888" s="113">
        <f t="shared" si="183"/>
        <v>53881.707380123604</v>
      </c>
    </row>
    <row r="2889" spans="1:15" x14ac:dyDescent="0.25">
      <c r="A2889" s="13">
        <v>44457</v>
      </c>
      <c r="B2889" s="97">
        <v>2303</v>
      </c>
      <c r="C2889" t="s">
        <v>130</v>
      </c>
      <c r="D2889" s="94" t="s">
        <v>367</v>
      </c>
      <c r="E2889" t="s">
        <v>17</v>
      </c>
      <c r="F2889" t="s">
        <v>566</v>
      </c>
      <c r="G2889" s="50" t="s">
        <v>559</v>
      </c>
      <c r="H2889" s="50">
        <v>2</v>
      </c>
      <c r="I2889" s="100">
        <v>6.7391919697301583</v>
      </c>
      <c r="J2889" s="52">
        <v>3834.68</v>
      </c>
      <c r="K2889" s="67">
        <f t="shared" ref="K2889:K2952" si="184">+B2889*I2889*J2889/1000</f>
        <v>59515.610657702593</v>
      </c>
      <c r="L2889" s="95">
        <f>+VLOOKUP(E2889,MARGEN!A:B,2,FALSE)</f>
        <v>0.1</v>
      </c>
      <c r="M2889" s="112">
        <f t="shared" si="181"/>
        <v>5951.56106577026</v>
      </c>
      <c r="N2889" s="113">
        <f t="shared" si="182"/>
        <v>238.06244263081038</v>
      </c>
      <c r="O2889" s="113">
        <f t="shared" si="183"/>
        <v>53325.987149301516</v>
      </c>
    </row>
    <row r="2890" spans="1:15" x14ac:dyDescent="0.25">
      <c r="A2890" s="13">
        <v>44457</v>
      </c>
      <c r="B2890" s="97">
        <v>2135</v>
      </c>
      <c r="C2890" t="s">
        <v>282</v>
      </c>
      <c r="D2890" s="94" t="s">
        <v>494</v>
      </c>
      <c r="E2890" t="s">
        <v>17</v>
      </c>
      <c r="F2890" t="s">
        <v>566</v>
      </c>
      <c r="G2890" s="50" t="s">
        <v>559</v>
      </c>
      <c r="H2890" s="50">
        <v>2</v>
      </c>
      <c r="I2890" s="100">
        <v>6.7391919697301583</v>
      </c>
      <c r="J2890" s="52">
        <v>3834.68</v>
      </c>
      <c r="K2890" s="67">
        <f t="shared" si="184"/>
        <v>55174.046354405145</v>
      </c>
      <c r="L2890" s="95">
        <f>+VLOOKUP(E2890,MARGEN!A:B,2,FALSE)</f>
        <v>0.1</v>
      </c>
      <c r="M2890" s="112">
        <f t="shared" si="181"/>
        <v>5517.4046354405145</v>
      </c>
      <c r="N2890" s="113">
        <f t="shared" si="182"/>
        <v>220.69618541762057</v>
      </c>
      <c r="O2890" s="113">
        <f t="shared" si="183"/>
        <v>49435.945533547012</v>
      </c>
    </row>
    <row r="2891" spans="1:15" x14ac:dyDescent="0.25">
      <c r="A2891" s="13">
        <v>44457</v>
      </c>
      <c r="B2891" s="97">
        <v>1847</v>
      </c>
      <c r="C2891" t="s">
        <v>304</v>
      </c>
      <c r="D2891" s="94" t="s">
        <v>522</v>
      </c>
      <c r="E2891" t="s">
        <v>17</v>
      </c>
      <c r="F2891" t="s">
        <v>566</v>
      </c>
      <c r="G2891" s="50" t="s">
        <v>559</v>
      </c>
      <c r="H2891" s="50">
        <v>2</v>
      </c>
      <c r="I2891" s="100">
        <v>6.7391919697301583</v>
      </c>
      <c r="J2891" s="52">
        <v>3834.68</v>
      </c>
      <c r="K2891" s="67">
        <f t="shared" si="184"/>
        <v>47731.364691609502</v>
      </c>
      <c r="L2891" s="95">
        <f>+VLOOKUP(E2891,MARGEN!A:B,2,FALSE)</f>
        <v>0.1</v>
      </c>
      <c r="M2891" s="112">
        <f t="shared" si="181"/>
        <v>4773.1364691609506</v>
      </c>
      <c r="N2891" s="113">
        <f t="shared" si="182"/>
        <v>190.925458766438</v>
      </c>
      <c r="O2891" s="113">
        <f t="shared" si="183"/>
        <v>42767.302763682113</v>
      </c>
    </row>
    <row r="2892" spans="1:15" x14ac:dyDescent="0.25">
      <c r="A2892" s="13">
        <v>44457</v>
      </c>
      <c r="B2892" s="97">
        <v>1727</v>
      </c>
      <c r="C2892" t="s">
        <v>188</v>
      </c>
      <c r="D2892" s="94" t="s">
        <v>397</v>
      </c>
      <c r="E2892" t="s">
        <v>17</v>
      </c>
      <c r="F2892" t="s">
        <v>566</v>
      </c>
      <c r="G2892" s="50" t="s">
        <v>559</v>
      </c>
      <c r="H2892" s="50">
        <v>2</v>
      </c>
      <c r="I2892" s="100">
        <v>6.7391919697301583</v>
      </c>
      <c r="J2892" s="52">
        <v>3834.68</v>
      </c>
      <c r="K2892" s="67">
        <f t="shared" si="184"/>
        <v>44630.247332111321</v>
      </c>
      <c r="L2892" s="95">
        <f>+VLOOKUP(E2892,MARGEN!A:B,2,FALSE)</f>
        <v>0.1</v>
      </c>
      <c r="M2892" s="112">
        <f t="shared" si="181"/>
        <v>4463.0247332111321</v>
      </c>
      <c r="N2892" s="113">
        <f t="shared" si="182"/>
        <v>178.5209893284453</v>
      </c>
      <c r="O2892" s="113">
        <f t="shared" si="183"/>
        <v>39988.701609571741</v>
      </c>
    </row>
    <row r="2893" spans="1:15" x14ac:dyDescent="0.25">
      <c r="A2893" s="13">
        <v>44457</v>
      </c>
      <c r="B2893" s="97">
        <v>1679</v>
      </c>
      <c r="C2893" t="s">
        <v>175</v>
      </c>
      <c r="D2893" s="94" t="s">
        <v>432</v>
      </c>
      <c r="E2893" t="s">
        <v>17</v>
      </c>
      <c r="F2893" t="s">
        <v>566</v>
      </c>
      <c r="G2893" s="50" t="s">
        <v>559</v>
      </c>
      <c r="H2893" s="50">
        <v>2</v>
      </c>
      <c r="I2893" s="100">
        <v>6.7391919697301583</v>
      </c>
      <c r="J2893" s="52">
        <v>3834.68</v>
      </c>
      <c r="K2893" s="67">
        <f t="shared" si="184"/>
        <v>43389.800388312047</v>
      </c>
      <c r="L2893" s="95">
        <f>+VLOOKUP(E2893,MARGEN!A:B,2,FALSE)</f>
        <v>0.1</v>
      </c>
      <c r="M2893" s="112">
        <f t="shared" si="181"/>
        <v>4338.9800388312051</v>
      </c>
      <c r="N2893" s="113">
        <f t="shared" si="182"/>
        <v>173.55920155324819</v>
      </c>
      <c r="O2893" s="113">
        <f t="shared" si="183"/>
        <v>38877.261147927595</v>
      </c>
    </row>
    <row r="2894" spans="1:15" x14ac:dyDescent="0.25">
      <c r="A2894" s="13">
        <v>44457</v>
      </c>
      <c r="B2894" s="97">
        <v>1679</v>
      </c>
      <c r="C2894" t="s">
        <v>287</v>
      </c>
      <c r="D2894" s="94" t="s">
        <v>496</v>
      </c>
      <c r="E2894" t="s">
        <v>17</v>
      </c>
      <c r="F2894" t="s">
        <v>566</v>
      </c>
      <c r="G2894" s="50" t="s">
        <v>559</v>
      </c>
      <c r="H2894" s="50">
        <v>2</v>
      </c>
      <c r="I2894" s="100">
        <v>6.7391919697301583</v>
      </c>
      <c r="J2894" s="52">
        <v>3834.68</v>
      </c>
      <c r="K2894" s="67">
        <f t="shared" si="184"/>
        <v>43389.800388312047</v>
      </c>
      <c r="L2894" s="95">
        <f>+VLOOKUP(E2894,MARGEN!A:B,2,FALSE)</f>
        <v>0.1</v>
      </c>
      <c r="M2894" s="112">
        <f t="shared" si="181"/>
        <v>4338.9800388312051</v>
      </c>
      <c r="N2894" s="113">
        <f t="shared" si="182"/>
        <v>173.55920155324819</v>
      </c>
      <c r="O2894" s="113">
        <f t="shared" si="183"/>
        <v>38877.261147927595</v>
      </c>
    </row>
    <row r="2895" spans="1:15" x14ac:dyDescent="0.25">
      <c r="A2895" s="13">
        <v>44457</v>
      </c>
      <c r="B2895" s="97">
        <v>1655</v>
      </c>
      <c r="C2895" t="s">
        <v>285</v>
      </c>
      <c r="D2895" s="94" t="s">
        <v>534</v>
      </c>
      <c r="E2895" t="s">
        <v>17</v>
      </c>
      <c r="F2895" t="s">
        <v>566</v>
      </c>
      <c r="G2895" s="50" t="s">
        <v>559</v>
      </c>
      <c r="H2895" s="50">
        <v>2</v>
      </c>
      <c r="I2895" s="100">
        <v>6.7391919697301583</v>
      </c>
      <c r="J2895" s="52">
        <v>3834.68</v>
      </c>
      <c r="K2895" s="67">
        <f t="shared" si="184"/>
        <v>42769.576916412421</v>
      </c>
      <c r="L2895" s="95">
        <f>+VLOOKUP(E2895,MARGEN!A:B,2,FALSE)</f>
        <v>0.1</v>
      </c>
      <c r="M2895" s="112">
        <f t="shared" si="181"/>
        <v>4276.9576916412425</v>
      </c>
      <c r="N2895" s="113">
        <f t="shared" si="182"/>
        <v>171.07830766564967</v>
      </c>
      <c r="O2895" s="113">
        <f t="shared" si="183"/>
        <v>38321.540917105529</v>
      </c>
    </row>
    <row r="2896" spans="1:15" x14ac:dyDescent="0.25">
      <c r="A2896" s="13">
        <v>44457</v>
      </c>
      <c r="B2896" s="97">
        <v>1655</v>
      </c>
      <c r="C2896" t="s">
        <v>120</v>
      </c>
      <c r="D2896" s="94" t="s">
        <v>452</v>
      </c>
      <c r="E2896" t="s">
        <v>17</v>
      </c>
      <c r="F2896" t="s">
        <v>566</v>
      </c>
      <c r="G2896" s="50" t="s">
        <v>559</v>
      </c>
      <c r="H2896" s="50">
        <v>2</v>
      </c>
      <c r="I2896" s="100">
        <v>6.7391919697301583</v>
      </c>
      <c r="J2896" s="52">
        <v>3834.68</v>
      </c>
      <c r="K2896" s="67">
        <f t="shared" si="184"/>
        <v>42769.576916412421</v>
      </c>
      <c r="L2896" s="95">
        <f>+VLOOKUP(E2896,MARGEN!A:B,2,FALSE)</f>
        <v>0.1</v>
      </c>
      <c r="M2896" s="112">
        <f t="shared" si="181"/>
        <v>4276.9576916412425</v>
      </c>
      <c r="N2896" s="113">
        <f t="shared" si="182"/>
        <v>171.07830766564967</v>
      </c>
      <c r="O2896" s="113">
        <f t="shared" si="183"/>
        <v>38321.540917105529</v>
      </c>
    </row>
    <row r="2897" spans="1:15" x14ac:dyDescent="0.25">
      <c r="A2897" s="13">
        <v>44457</v>
      </c>
      <c r="B2897" s="97">
        <v>1631</v>
      </c>
      <c r="C2897" t="s">
        <v>171</v>
      </c>
      <c r="D2897" s="94" t="s">
        <v>387</v>
      </c>
      <c r="E2897" t="s">
        <v>17</v>
      </c>
      <c r="F2897" t="s">
        <v>566</v>
      </c>
      <c r="G2897" s="50" t="s">
        <v>559</v>
      </c>
      <c r="H2897" s="50">
        <v>2</v>
      </c>
      <c r="I2897" s="100">
        <v>6.7391919697301583</v>
      </c>
      <c r="J2897" s="52">
        <v>3834.68</v>
      </c>
      <c r="K2897" s="67">
        <f t="shared" si="184"/>
        <v>42149.353444512773</v>
      </c>
      <c r="L2897" s="95">
        <f>+VLOOKUP(E2897,MARGEN!A:B,2,FALSE)</f>
        <v>0.1</v>
      </c>
      <c r="M2897" s="112">
        <f t="shared" si="181"/>
        <v>4214.9353444512772</v>
      </c>
      <c r="N2897" s="113">
        <f t="shared" si="182"/>
        <v>168.59741377805111</v>
      </c>
      <c r="O2897" s="113">
        <f t="shared" si="183"/>
        <v>37765.820686283449</v>
      </c>
    </row>
    <row r="2898" spans="1:15" x14ac:dyDescent="0.25">
      <c r="A2898" s="13">
        <v>44457</v>
      </c>
      <c r="B2898" s="97">
        <v>1631</v>
      </c>
      <c r="C2898" t="s">
        <v>290</v>
      </c>
      <c r="D2898" s="94" t="s">
        <v>454</v>
      </c>
      <c r="E2898" t="s">
        <v>17</v>
      </c>
      <c r="F2898" t="s">
        <v>566</v>
      </c>
      <c r="G2898" s="50" t="s">
        <v>559</v>
      </c>
      <c r="H2898" s="50">
        <v>2</v>
      </c>
      <c r="I2898" s="100">
        <v>6.7391919697301583</v>
      </c>
      <c r="J2898" s="52">
        <v>3834.68</v>
      </c>
      <c r="K2898" s="67">
        <f t="shared" si="184"/>
        <v>42149.353444512773</v>
      </c>
      <c r="L2898" s="95">
        <f>+VLOOKUP(E2898,MARGEN!A:B,2,FALSE)</f>
        <v>0.1</v>
      </c>
      <c r="M2898" s="112">
        <f t="shared" si="181"/>
        <v>4214.9353444512772</v>
      </c>
      <c r="N2898" s="113">
        <f t="shared" si="182"/>
        <v>168.59741377805111</v>
      </c>
      <c r="O2898" s="113">
        <f t="shared" si="183"/>
        <v>37765.820686283449</v>
      </c>
    </row>
    <row r="2899" spans="1:15" x14ac:dyDescent="0.25">
      <c r="A2899" s="13">
        <v>44457</v>
      </c>
      <c r="B2899" s="51">
        <v>1607</v>
      </c>
      <c r="C2899" s="66" t="s">
        <v>180</v>
      </c>
      <c r="D2899" s="66" t="s">
        <v>447</v>
      </c>
      <c r="E2899" t="s">
        <v>17</v>
      </c>
      <c r="F2899" s="50" t="s">
        <v>558</v>
      </c>
      <c r="G2899" s="50" t="s">
        <v>559</v>
      </c>
      <c r="H2899" s="50">
        <v>2</v>
      </c>
      <c r="I2899" s="100">
        <v>6.7391919697301583</v>
      </c>
      <c r="J2899" s="52">
        <v>3834.68</v>
      </c>
      <c r="K2899" s="67">
        <f t="shared" si="184"/>
        <v>41529.12997261314</v>
      </c>
      <c r="L2899" s="95">
        <f>+VLOOKUP(E2899,MARGEN!A:B,2,FALSE)</f>
        <v>0.1</v>
      </c>
      <c r="M2899" s="112">
        <f t="shared" si="181"/>
        <v>4152.9129972613146</v>
      </c>
      <c r="N2899" s="113">
        <f t="shared" si="182"/>
        <v>166.11651989045257</v>
      </c>
      <c r="O2899" s="113">
        <f t="shared" si="183"/>
        <v>37210.100455461376</v>
      </c>
    </row>
    <row r="2900" spans="1:15" x14ac:dyDescent="0.25">
      <c r="A2900" s="13">
        <v>44457</v>
      </c>
      <c r="B2900" s="97">
        <v>1559</v>
      </c>
      <c r="C2900" t="s">
        <v>552</v>
      </c>
      <c r="D2900" s="94" t="s">
        <v>563</v>
      </c>
      <c r="E2900" t="s">
        <v>17</v>
      </c>
      <c r="F2900" t="s">
        <v>566</v>
      </c>
      <c r="G2900" s="50" t="s">
        <v>559</v>
      </c>
      <c r="H2900" s="50">
        <v>2</v>
      </c>
      <c r="I2900" s="100">
        <v>6.7391919697301583</v>
      </c>
      <c r="J2900" s="52">
        <v>3834.68</v>
      </c>
      <c r="K2900" s="67">
        <f t="shared" si="184"/>
        <v>40288.683028813866</v>
      </c>
      <c r="L2900" s="95">
        <f>+VLOOKUP(E2900,MARGEN!A:B,2,FALSE)</f>
        <v>0.1</v>
      </c>
      <c r="M2900" s="112">
        <f t="shared" si="181"/>
        <v>4028.8683028813866</v>
      </c>
      <c r="N2900" s="113">
        <f t="shared" si="182"/>
        <v>161.15473211525546</v>
      </c>
      <c r="O2900" s="113">
        <f t="shared" si="183"/>
        <v>36098.659993817222</v>
      </c>
    </row>
    <row r="2901" spans="1:15" x14ac:dyDescent="0.25">
      <c r="A2901" s="13">
        <v>44457</v>
      </c>
      <c r="B2901" s="97">
        <v>1535</v>
      </c>
      <c r="C2901" t="s">
        <v>137</v>
      </c>
      <c r="D2901" s="94" t="s">
        <v>418</v>
      </c>
      <c r="E2901" t="s">
        <v>17</v>
      </c>
      <c r="F2901" t="s">
        <v>558</v>
      </c>
      <c r="G2901" s="50" t="s">
        <v>559</v>
      </c>
      <c r="H2901" s="50">
        <v>2</v>
      </c>
      <c r="I2901" s="100">
        <v>6.7391919697301583</v>
      </c>
      <c r="J2901" s="52">
        <v>3834.68</v>
      </c>
      <c r="K2901" s="67">
        <f t="shared" si="184"/>
        <v>39668.459556914233</v>
      </c>
      <c r="L2901" s="95">
        <f>+VLOOKUP(E2901,MARGEN!A:B,2,FALSE)</f>
        <v>0.1</v>
      </c>
      <c r="M2901" s="112">
        <f t="shared" si="181"/>
        <v>3966.8459556914236</v>
      </c>
      <c r="N2901" s="113">
        <f t="shared" si="182"/>
        <v>158.67383822765694</v>
      </c>
      <c r="O2901" s="113">
        <f t="shared" si="183"/>
        <v>35542.939762995149</v>
      </c>
    </row>
    <row r="2902" spans="1:15" x14ac:dyDescent="0.25">
      <c r="A2902" s="13">
        <v>44457</v>
      </c>
      <c r="B2902" s="97">
        <v>1487</v>
      </c>
      <c r="C2902" t="s">
        <v>202</v>
      </c>
      <c r="D2902" s="94" t="s">
        <v>436</v>
      </c>
      <c r="E2902" t="s">
        <v>17</v>
      </c>
      <c r="F2902" t="s">
        <v>566</v>
      </c>
      <c r="G2902" s="50" t="s">
        <v>559</v>
      </c>
      <c r="H2902" s="50">
        <v>2</v>
      </c>
      <c r="I2902" s="100">
        <v>6.7391919697301583</v>
      </c>
      <c r="J2902" s="52">
        <v>3834.68</v>
      </c>
      <c r="K2902" s="67">
        <f t="shared" si="184"/>
        <v>38428.012613114959</v>
      </c>
      <c r="L2902" s="95">
        <f>+VLOOKUP(E2902,MARGEN!A:B,2,FALSE)</f>
        <v>0.1</v>
      </c>
      <c r="M2902" s="112">
        <f t="shared" si="181"/>
        <v>3842.8012613114961</v>
      </c>
      <c r="N2902" s="113">
        <f t="shared" si="182"/>
        <v>153.71205045245983</v>
      </c>
      <c r="O2902" s="113">
        <f t="shared" si="183"/>
        <v>34431.499301351003</v>
      </c>
    </row>
    <row r="2903" spans="1:15" x14ac:dyDescent="0.25">
      <c r="A2903" s="13">
        <v>44457</v>
      </c>
      <c r="B2903" s="97">
        <v>1439</v>
      </c>
      <c r="C2903" t="s">
        <v>200</v>
      </c>
      <c r="D2903" s="94" t="s">
        <v>428</v>
      </c>
      <c r="E2903" t="s">
        <v>17</v>
      </c>
      <c r="F2903" t="s">
        <v>562</v>
      </c>
      <c r="G2903" s="50" t="s">
        <v>559</v>
      </c>
      <c r="H2903" s="50">
        <v>2</v>
      </c>
      <c r="I2903" s="100">
        <v>6.7391919697301583</v>
      </c>
      <c r="J2903" s="52">
        <v>3834.68</v>
      </c>
      <c r="K2903" s="67">
        <f t="shared" si="184"/>
        <v>37187.565669315685</v>
      </c>
      <c r="L2903" s="95">
        <f>+VLOOKUP(E2903,MARGEN!A:B,2,FALSE)</f>
        <v>0.1</v>
      </c>
      <c r="M2903" s="112">
        <f t="shared" si="181"/>
        <v>3718.7565669315686</v>
      </c>
      <c r="N2903" s="113">
        <f t="shared" si="182"/>
        <v>148.75026267726275</v>
      </c>
      <c r="O2903" s="113">
        <f t="shared" si="183"/>
        <v>33320.058839706857</v>
      </c>
    </row>
    <row r="2904" spans="1:15" x14ac:dyDescent="0.25">
      <c r="A2904" s="13">
        <v>44457</v>
      </c>
      <c r="B2904" s="97">
        <v>1319</v>
      </c>
      <c r="C2904" t="s">
        <v>141</v>
      </c>
      <c r="D2904" s="94" t="s">
        <v>450</v>
      </c>
      <c r="E2904" t="s">
        <v>17</v>
      </c>
      <c r="F2904" t="s">
        <v>566</v>
      </c>
      <c r="G2904" s="50" t="s">
        <v>559</v>
      </c>
      <c r="H2904" s="50">
        <v>2</v>
      </c>
      <c r="I2904" s="100">
        <v>6.7391919697301583</v>
      </c>
      <c r="J2904" s="52">
        <v>3834.68</v>
      </c>
      <c r="K2904" s="67">
        <f t="shared" si="184"/>
        <v>34086.448309817511</v>
      </c>
      <c r="L2904" s="95">
        <f>+VLOOKUP(E2904,MARGEN!A:B,2,FALSE)</f>
        <v>0.1</v>
      </c>
      <c r="M2904" s="112">
        <f t="shared" si="181"/>
        <v>3408.6448309817515</v>
      </c>
      <c r="N2904" s="113">
        <f t="shared" si="182"/>
        <v>136.34579323927005</v>
      </c>
      <c r="O2904" s="113">
        <f t="shared" si="183"/>
        <v>30541.457685596492</v>
      </c>
    </row>
    <row r="2905" spans="1:15" x14ac:dyDescent="0.25">
      <c r="A2905" s="13">
        <v>44457</v>
      </c>
      <c r="B2905" s="97">
        <v>1295</v>
      </c>
      <c r="C2905" t="s">
        <v>211</v>
      </c>
      <c r="D2905" s="94" t="s">
        <v>382</v>
      </c>
      <c r="E2905" t="s">
        <v>17</v>
      </c>
      <c r="F2905" t="s">
        <v>566</v>
      </c>
      <c r="G2905" s="50" t="s">
        <v>559</v>
      </c>
      <c r="H2905" s="50">
        <v>2</v>
      </c>
      <c r="I2905" s="100">
        <v>6.7391919697301583</v>
      </c>
      <c r="J2905" s="52">
        <v>3834.68</v>
      </c>
      <c r="K2905" s="67">
        <f t="shared" si="184"/>
        <v>33466.224837917871</v>
      </c>
      <c r="L2905" s="95">
        <f>+VLOOKUP(E2905,MARGEN!A:B,2,FALSE)</f>
        <v>0.1</v>
      </c>
      <c r="M2905" s="112">
        <f t="shared" si="181"/>
        <v>3346.6224837917871</v>
      </c>
      <c r="N2905" s="113">
        <f t="shared" si="182"/>
        <v>133.86489935167148</v>
      </c>
      <c r="O2905" s="113">
        <f t="shared" si="183"/>
        <v>29985.737454774411</v>
      </c>
    </row>
    <row r="2906" spans="1:15" x14ac:dyDescent="0.25">
      <c r="A2906" s="13">
        <v>44457</v>
      </c>
      <c r="B2906" s="97">
        <v>1247</v>
      </c>
      <c r="C2906" t="s">
        <v>308</v>
      </c>
      <c r="D2906" s="94" t="s">
        <v>500</v>
      </c>
      <c r="E2906" t="s">
        <v>17</v>
      </c>
      <c r="F2906" t="s">
        <v>566</v>
      </c>
      <c r="G2906" s="50" t="s">
        <v>559</v>
      </c>
      <c r="H2906" s="50">
        <v>2</v>
      </c>
      <c r="I2906" s="100">
        <v>6.7391919697301583</v>
      </c>
      <c r="J2906" s="52">
        <v>3834.68</v>
      </c>
      <c r="K2906" s="67">
        <f t="shared" si="184"/>
        <v>32225.777894118601</v>
      </c>
      <c r="L2906" s="95">
        <f>+VLOOKUP(E2906,MARGEN!A:B,2,FALSE)</f>
        <v>0.1</v>
      </c>
      <c r="M2906" s="112">
        <f t="shared" si="181"/>
        <v>3222.5777894118601</v>
      </c>
      <c r="N2906" s="113">
        <f t="shared" si="182"/>
        <v>128.9031115764744</v>
      </c>
      <c r="O2906" s="113">
        <f t="shared" si="183"/>
        <v>28874.296993130265</v>
      </c>
    </row>
    <row r="2907" spans="1:15" x14ac:dyDescent="0.25">
      <c r="A2907" s="13">
        <v>44457</v>
      </c>
      <c r="B2907" s="97">
        <v>1199</v>
      </c>
      <c r="C2907" t="s">
        <v>299</v>
      </c>
      <c r="D2907" s="94" t="s">
        <v>537</v>
      </c>
      <c r="E2907" t="s">
        <v>17</v>
      </c>
      <c r="F2907" t="s">
        <v>566</v>
      </c>
      <c r="G2907" s="50" t="s">
        <v>559</v>
      </c>
      <c r="H2907" s="50">
        <v>2</v>
      </c>
      <c r="I2907" s="100">
        <v>6.7391919697301583</v>
      </c>
      <c r="J2907" s="52">
        <v>3834.68</v>
      </c>
      <c r="K2907" s="67">
        <f t="shared" si="184"/>
        <v>30985.330950319327</v>
      </c>
      <c r="L2907" s="95">
        <f>+VLOOKUP(E2907,MARGEN!A:B,2,FALSE)</f>
        <v>0.1</v>
      </c>
      <c r="M2907" s="112">
        <f t="shared" si="181"/>
        <v>3098.533095031933</v>
      </c>
      <c r="N2907" s="113">
        <f t="shared" si="182"/>
        <v>123.94132380127731</v>
      </c>
      <c r="O2907" s="113">
        <f t="shared" si="183"/>
        <v>27762.856531486115</v>
      </c>
    </row>
    <row r="2908" spans="1:15" x14ac:dyDescent="0.25">
      <c r="A2908" s="13">
        <v>44457</v>
      </c>
      <c r="B2908" s="97">
        <v>911</v>
      </c>
      <c r="C2908" t="s">
        <v>182</v>
      </c>
      <c r="D2908" s="94" t="s">
        <v>455</v>
      </c>
      <c r="E2908" t="s">
        <v>17</v>
      </c>
      <c r="F2908" t="s">
        <v>566</v>
      </c>
      <c r="G2908" s="50" t="s">
        <v>559</v>
      </c>
      <c r="H2908" s="50">
        <v>2</v>
      </c>
      <c r="I2908" s="100">
        <v>6.7391919697301583</v>
      </c>
      <c r="J2908" s="52">
        <v>3834.68</v>
      </c>
      <c r="K2908" s="67">
        <f t="shared" si="184"/>
        <v>23542.649287523691</v>
      </c>
      <c r="L2908" s="95">
        <f>+VLOOKUP(E2908,MARGEN!A:B,2,FALSE)</f>
        <v>0.1</v>
      </c>
      <c r="M2908" s="112">
        <f t="shared" si="181"/>
        <v>2354.2649287523691</v>
      </c>
      <c r="N2908" s="113">
        <f t="shared" si="182"/>
        <v>94.170597150094764</v>
      </c>
      <c r="O2908" s="113">
        <f t="shared" si="183"/>
        <v>21094.213761621224</v>
      </c>
    </row>
    <row r="2909" spans="1:15" x14ac:dyDescent="0.25">
      <c r="A2909" s="13">
        <v>44457</v>
      </c>
      <c r="B2909" s="97">
        <v>791</v>
      </c>
      <c r="C2909" t="s">
        <v>307</v>
      </c>
      <c r="D2909" s="94" t="s">
        <v>497</v>
      </c>
      <c r="E2909" t="s">
        <v>17</v>
      </c>
      <c r="F2909" t="s">
        <v>566</v>
      </c>
      <c r="G2909" s="50" t="s">
        <v>559</v>
      </c>
      <c r="H2909" s="50">
        <v>2</v>
      </c>
      <c r="I2909" s="100">
        <v>6.7391919697301583</v>
      </c>
      <c r="J2909" s="52">
        <v>3834.68</v>
      </c>
      <c r="K2909" s="67">
        <f t="shared" si="184"/>
        <v>20441.53192802551</v>
      </c>
      <c r="L2909" s="95">
        <f>+VLOOKUP(E2909,MARGEN!A:B,2,FALSE)</f>
        <v>0.1</v>
      </c>
      <c r="M2909" s="112">
        <f t="shared" si="181"/>
        <v>2044.1531928025511</v>
      </c>
      <c r="N2909" s="113">
        <f t="shared" si="182"/>
        <v>81.766127712102033</v>
      </c>
      <c r="O2909" s="113">
        <f t="shared" si="183"/>
        <v>18315.612607510859</v>
      </c>
    </row>
    <row r="2910" spans="1:15" x14ac:dyDescent="0.25">
      <c r="A2910" s="13">
        <v>44457</v>
      </c>
      <c r="B2910" s="97">
        <v>767</v>
      </c>
      <c r="C2910" t="s">
        <v>181</v>
      </c>
      <c r="D2910" s="94" t="s">
        <v>415</v>
      </c>
      <c r="E2910" t="s">
        <v>17</v>
      </c>
      <c r="F2910" t="s">
        <v>558</v>
      </c>
      <c r="G2910" s="50" t="s">
        <v>559</v>
      </c>
      <c r="H2910" s="50">
        <v>2</v>
      </c>
      <c r="I2910" s="100">
        <v>6.7391919697301583</v>
      </c>
      <c r="J2910" s="52">
        <v>3834.68</v>
      </c>
      <c r="K2910" s="67">
        <f t="shared" si="184"/>
        <v>19821.308456125873</v>
      </c>
      <c r="L2910" s="95">
        <f>+VLOOKUP(E2910,MARGEN!A:B,2,FALSE)</f>
        <v>0.1</v>
      </c>
      <c r="M2910" s="112">
        <f t="shared" si="181"/>
        <v>1982.1308456125873</v>
      </c>
      <c r="N2910" s="113">
        <f t="shared" si="182"/>
        <v>79.285233824503493</v>
      </c>
      <c r="O2910" s="113">
        <f t="shared" si="183"/>
        <v>17759.892376688782</v>
      </c>
    </row>
    <row r="2911" spans="1:15" x14ac:dyDescent="0.25">
      <c r="A2911" s="13">
        <v>44458</v>
      </c>
      <c r="B2911" s="97">
        <v>8471</v>
      </c>
      <c r="C2911" t="s">
        <v>164</v>
      </c>
      <c r="D2911" t="s">
        <v>445</v>
      </c>
      <c r="E2911" t="s">
        <v>17</v>
      </c>
      <c r="F2911" t="s">
        <v>573</v>
      </c>
      <c r="G2911" s="50" t="s">
        <v>574</v>
      </c>
      <c r="H2911" s="50">
        <v>2</v>
      </c>
      <c r="I2911" s="100">
        <v>6.7391919697301583</v>
      </c>
      <c r="J2911" s="52">
        <v>3834.68</v>
      </c>
      <c r="K2911" s="67">
        <f t="shared" si="184"/>
        <v>218913.04293590909</v>
      </c>
      <c r="L2911" s="95">
        <f>+VLOOKUP(E2911,MARGEN!A:B,2,FALSE)</f>
        <v>0.1</v>
      </c>
      <c r="M2911" s="112">
        <f t="shared" si="181"/>
        <v>21891.304293590911</v>
      </c>
      <c r="N2911" s="113">
        <f t="shared" si="182"/>
        <v>875.65217174363636</v>
      </c>
      <c r="O2911" s="113">
        <f t="shared" si="183"/>
        <v>196146.08647057455</v>
      </c>
    </row>
    <row r="2912" spans="1:15" x14ac:dyDescent="0.25">
      <c r="A2912" s="13">
        <v>44458</v>
      </c>
      <c r="B2912" s="97">
        <v>8471</v>
      </c>
      <c r="C2912" t="s">
        <v>164</v>
      </c>
      <c r="D2912" t="s">
        <v>445</v>
      </c>
      <c r="E2912" t="s">
        <v>17</v>
      </c>
      <c r="F2912" t="s">
        <v>573</v>
      </c>
      <c r="G2912" s="50" t="s">
        <v>574</v>
      </c>
      <c r="H2912" s="50">
        <v>2</v>
      </c>
      <c r="I2912" s="100">
        <v>6.7391919697301583</v>
      </c>
      <c r="J2912" s="52">
        <v>3834.68</v>
      </c>
      <c r="K2912" s="67">
        <f t="shared" si="184"/>
        <v>218913.04293590909</v>
      </c>
      <c r="L2912" s="95">
        <f>+VLOOKUP(E2912,MARGEN!A:B,2,FALSE)</f>
        <v>0.1</v>
      </c>
      <c r="M2912" s="112">
        <f t="shared" si="181"/>
        <v>21891.304293590911</v>
      </c>
      <c r="N2912" s="113">
        <f t="shared" si="182"/>
        <v>875.65217174363636</v>
      </c>
      <c r="O2912" s="113">
        <f t="shared" si="183"/>
        <v>196146.08647057455</v>
      </c>
    </row>
    <row r="2913" spans="1:15" x14ac:dyDescent="0.25">
      <c r="A2913" s="13">
        <v>44458</v>
      </c>
      <c r="B2913" s="97">
        <v>6767</v>
      </c>
      <c r="C2913" t="s">
        <v>150</v>
      </c>
      <c r="D2913" t="s">
        <v>357</v>
      </c>
      <c r="E2913" t="s">
        <v>17</v>
      </c>
      <c r="F2913" t="s">
        <v>573</v>
      </c>
      <c r="G2913" s="50" t="s">
        <v>574</v>
      </c>
      <c r="H2913" s="50">
        <v>2</v>
      </c>
      <c r="I2913" s="100">
        <v>6.7391919697301583</v>
      </c>
      <c r="J2913" s="52">
        <v>3834.68</v>
      </c>
      <c r="K2913" s="67">
        <f t="shared" si="184"/>
        <v>174877.17643103495</v>
      </c>
      <c r="L2913" s="95">
        <f>+VLOOKUP(E2913,MARGEN!A:B,2,FALSE)</f>
        <v>0.1</v>
      </c>
      <c r="M2913" s="112">
        <f t="shared" si="181"/>
        <v>17487.717643103497</v>
      </c>
      <c r="N2913" s="113">
        <f t="shared" si="182"/>
        <v>699.50870572413976</v>
      </c>
      <c r="O2913" s="113">
        <f t="shared" si="183"/>
        <v>156689.9500822073</v>
      </c>
    </row>
    <row r="2914" spans="1:15" x14ac:dyDescent="0.25">
      <c r="A2914" s="13">
        <v>44458</v>
      </c>
      <c r="B2914" s="97">
        <v>6767</v>
      </c>
      <c r="C2914" t="s">
        <v>150</v>
      </c>
      <c r="D2914" t="s">
        <v>357</v>
      </c>
      <c r="E2914" t="s">
        <v>17</v>
      </c>
      <c r="F2914" t="s">
        <v>573</v>
      </c>
      <c r="G2914" s="50" t="s">
        <v>574</v>
      </c>
      <c r="H2914" s="50">
        <v>2</v>
      </c>
      <c r="I2914" s="100">
        <v>6.7391919697301583</v>
      </c>
      <c r="J2914" s="52">
        <v>3834.68</v>
      </c>
      <c r="K2914" s="67">
        <f t="shared" si="184"/>
        <v>174877.17643103495</v>
      </c>
      <c r="L2914" s="95">
        <f>+VLOOKUP(E2914,MARGEN!A:B,2,FALSE)</f>
        <v>0.1</v>
      </c>
      <c r="M2914" s="112">
        <f t="shared" si="181"/>
        <v>17487.717643103497</v>
      </c>
      <c r="N2914" s="113">
        <f t="shared" si="182"/>
        <v>699.50870572413976</v>
      </c>
      <c r="O2914" s="113">
        <f t="shared" si="183"/>
        <v>156689.9500822073</v>
      </c>
    </row>
    <row r="2915" spans="1:15" x14ac:dyDescent="0.25">
      <c r="A2915" s="13">
        <v>44458</v>
      </c>
      <c r="B2915" s="97">
        <v>5975</v>
      </c>
      <c r="C2915" t="s">
        <v>279</v>
      </c>
      <c r="D2915" t="s">
        <v>493</v>
      </c>
      <c r="E2915" t="s">
        <v>17</v>
      </c>
      <c r="F2915" t="s">
        <v>573</v>
      </c>
      <c r="G2915" s="50" t="s">
        <v>574</v>
      </c>
      <c r="H2915" s="50">
        <v>2</v>
      </c>
      <c r="I2915" s="100">
        <v>6.7391919697301583</v>
      </c>
      <c r="J2915" s="52">
        <v>3834.68</v>
      </c>
      <c r="K2915" s="67">
        <f t="shared" si="184"/>
        <v>154409.80185834694</v>
      </c>
      <c r="L2915" s="95">
        <f>+VLOOKUP(E2915,MARGEN!A:B,2,FALSE)</f>
        <v>0.1</v>
      </c>
      <c r="M2915" s="112">
        <f t="shared" si="181"/>
        <v>15440.980185834695</v>
      </c>
      <c r="N2915" s="113">
        <f t="shared" si="182"/>
        <v>617.63920743338781</v>
      </c>
      <c r="O2915" s="113">
        <f t="shared" si="183"/>
        <v>138351.18246507886</v>
      </c>
    </row>
    <row r="2916" spans="1:15" x14ac:dyDescent="0.25">
      <c r="A2916" s="13">
        <v>44458</v>
      </c>
      <c r="B2916" s="97">
        <v>5975</v>
      </c>
      <c r="C2916" t="s">
        <v>279</v>
      </c>
      <c r="D2916" t="s">
        <v>493</v>
      </c>
      <c r="E2916" t="s">
        <v>17</v>
      </c>
      <c r="F2916" t="s">
        <v>573</v>
      </c>
      <c r="G2916" s="50" t="s">
        <v>574</v>
      </c>
      <c r="H2916" s="50">
        <v>2</v>
      </c>
      <c r="I2916" s="100">
        <v>6.7391919697301583</v>
      </c>
      <c r="J2916" s="52">
        <v>3834.68</v>
      </c>
      <c r="K2916" s="67">
        <f t="shared" si="184"/>
        <v>154409.80185834694</v>
      </c>
      <c r="L2916" s="95">
        <f>+VLOOKUP(E2916,MARGEN!A:B,2,FALSE)</f>
        <v>0.1</v>
      </c>
      <c r="M2916" s="112">
        <f t="shared" si="181"/>
        <v>15440.980185834695</v>
      </c>
      <c r="N2916" s="113">
        <f t="shared" si="182"/>
        <v>617.63920743338781</v>
      </c>
      <c r="O2916" s="113">
        <f t="shared" si="183"/>
        <v>138351.18246507886</v>
      </c>
    </row>
    <row r="2917" spans="1:15" x14ac:dyDescent="0.25">
      <c r="A2917" s="13">
        <v>44458</v>
      </c>
      <c r="B2917" s="97">
        <v>5327</v>
      </c>
      <c r="C2917" t="s">
        <v>278</v>
      </c>
      <c r="D2917" t="s">
        <v>453</v>
      </c>
      <c r="E2917" t="s">
        <v>17</v>
      </c>
      <c r="F2917" t="s">
        <v>573</v>
      </c>
      <c r="G2917" s="50" t="s">
        <v>574</v>
      </c>
      <c r="H2917" s="50">
        <v>2</v>
      </c>
      <c r="I2917" s="100">
        <v>6.7391919697301583</v>
      </c>
      <c r="J2917" s="52">
        <v>3834.68</v>
      </c>
      <c r="K2917" s="67">
        <f t="shared" si="184"/>
        <v>137663.76811705675</v>
      </c>
      <c r="L2917" s="95">
        <f>+VLOOKUP(E2917,MARGEN!A:B,2,FALSE)</f>
        <v>0.1</v>
      </c>
      <c r="M2917" s="112">
        <f t="shared" si="181"/>
        <v>13766.376811705675</v>
      </c>
      <c r="N2917" s="113">
        <f t="shared" si="182"/>
        <v>550.65507246822699</v>
      </c>
      <c r="O2917" s="113">
        <f t="shared" si="183"/>
        <v>123346.73623288285</v>
      </c>
    </row>
    <row r="2918" spans="1:15" x14ac:dyDescent="0.25">
      <c r="A2918" s="13">
        <v>44458</v>
      </c>
      <c r="B2918" s="97">
        <v>4631</v>
      </c>
      <c r="C2918" t="s">
        <v>136</v>
      </c>
      <c r="D2918" t="s">
        <v>359</v>
      </c>
      <c r="E2918" t="s">
        <v>17</v>
      </c>
      <c r="F2918" t="s">
        <v>573</v>
      </c>
      <c r="G2918" s="50" t="s">
        <v>574</v>
      </c>
      <c r="H2918" s="50">
        <v>2</v>
      </c>
      <c r="I2918" s="100">
        <v>6.7391919697301583</v>
      </c>
      <c r="J2918" s="52">
        <v>3834.68</v>
      </c>
      <c r="K2918" s="67">
        <f t="shared" si="184"/>
        <v>119677.28743196731</v>
      </c>
      <c r="L2918" s="95">
        <f>+VLOOKUP(E2918,MARGEN!A:B,2,FALSE)</f>
        <v>0.1</v>
      </c>
      <c r="M2918" s="112">
        <f t="shared" si="181"/>
        <v>11967.728743196732</v>
      </c>
      <c r="N2918" s="113">
        <f t="shared" si="182"/>
        <v>478.70914972786926</v>
      </c>
      <c r="O2918" s="113">
        <f t="shared" si="183"/>
        <v>107230.84953904271</v>
      </c>
    </row>
    <row r="2919" spans="1:15" x14ac:dyDescent="0.25">
      <c r="A2919" s="13">
        <v>44458</v>
      </c>
      <c r="B2919" s="97">
        <v>4295</v>
      </c>
      <c r="C2919" t="s">
        <v>136</v>
      </c>
      <c r="D2919" s="94" t="s">
        <v>359</v>
      </c>
      <c r="E2919" t="s">
        <v>17</v>
      </c>
      <c r="F2919" t="s">
        <v>566</v>
      </c>
      <c r="G2919" s="50" t="s">
        <v>559</v>
      </c>
      <c r="H2919" s="50">
        <v>2</v>
      </c>
      <c r="I2919" s="100">
        <v>6.7391919697301583</v>
      </c>
      <c r="J2919" s="52">
        <v>3834.68</v>
      </c>
      <c r="K2919" s="67">
        <f t="shared" si="184"/>
        <v>110994.1588253724</v>
      </c>
      <c r="L2919" s="95">
        <f>+VLOOKUP(E2919,MARGEN!A:B,2,FALSE)</f>
        <v>0.1</v>
      </c>
      <c r="M2919" s="112">
        <f t="shared" si="181"/>
        <v>11099.415882537241</v>
      </c>
      <c r="N2919" s="113">
        <f t="shared" si="182"/>
        <v>443.97663530148964</v>
      </c>
      <c r="O2919" s="113">
        <f t="shared" si="183"/>
        <v>99450.766307533675</v>
      </c>
    </row>
    <row r="2920" spans="1:15" x14ac:dyDescent="0.25">
      <c r="A2920" s="13">
        <v>44458</v>
      </c>
      <c r="B2920" s="97">
        <v>4271</v>
      </c>
      <c r="C2920" t="s">
        <v>193</v>
      </c>
      <c r="D2920" t="s">
        <v>380</v>
      </c>
      <c r="E2920" t="s">
        <v>17</v>
      </c>
      <c r="F2920" t="s">
        <v>573</v>
      </c>
      <c r="G2920" s="50" t="s">
        <v>574</v>
      </c>
      <c r="H2920" s="50">
        <v>2</v>
      </c>
      <c r="I2920" s="100">
        <v>6.7391919697301583</v>
      </c>
      <c r="J2920" s="52">
        <v>3834.68</v>
      </c>
      <c r="K2920" s="67">
        <f t="shared" si="184"/>
        <v>110373.93535347277</v>
      </c>
      <c r="L2920" s="95">
        <f>+VLOOKUP(E2920,MARGEN!A:B,2,FALSE)</f>
        <v>0.1</v>
      </c>
      <c r="M2920" s="112">
        <f t="shared" si="181"/>
        <v>11037.393535347277</v>
      </c>
      <c r="N2920" s="113">
        <f t="shared" si="182"/>
        <v>441.4957414138911</v>
      </c>
      <c r="O2920" s="113">
        <f t="shared" si="183"/>
        <v>98895.046076711602</v>
      </c>
    </row>
    <row r="2921" spans="1:15" x14ac:dyDescent="0.25">
      <c r="A2921" s="13">
        <v>44458</v>
      </c>
      <c r="B2921" s="97">
        <v>4079</v>
      </c>
      <c r="C2921" t="s">
        <v>148</v>
      </c>
      <c r="D2921" t="s">
        <v>323</v>
      </c>
      <c r="E2921" t="s">
        <v>17</v>
      </c>
      <c r="F2921" t="s">
        <v>558</v>
      </c>
      <c r="G2921" s="50" t="s">
        <v>574</v>
      </c>
      <c r="H2921" s="50">
        <v>2</v>
      </c>
      <c r="I2921" s="100">
        <v>6.7391919697301583</v>
      </c>
      <c r="J2921" s="52">
        <v>3834.68</v>
      </c>
      <c r="K2921" s="67">
        <f t="shared" si="184"/>
        <v>105412.14757827566</v>
      </c>
      <c r="L2921" s="95">
        <f>+VLOOKUP(E2921,MARGEN!A:B,2,FALSE)</f>
        <v>0.1</v>
      </c>
      <c r="M2921" s="112">
        <f t="shared" si="181"/>
        <v>10541.214757827567</v>
      </c>
      <c r="N2921" s="113">
        <f t="shared" si="182"/>
        <v>421.64859031310266</v>
      </c>
      <c r="O2921" s="113">
        <f t="shared" si="183"/>
        <v>94449.284230135003</v>
      </c>
    </row>
    <row r="2922" spans="1:15" x14ac:dyDescent="0.25">
      <c r="A2922" s="13">
        <v>44458</v>
      </c>
      <c r="B2922" s="97">
        <v>3863</v>
      </c>
      <c r="C2922" t="s">
        <v>148</v>
      </c>
      <c r="D2922" s="94" t="s">
        <v>323</v>
      </c>
      <c r="E2922" t="s">
        <v>17</v>
      </c>
      <c r="F2922" t="s">
        <v>566</v>
      </c>
      <c r="G2922" s="50" t="s">
        <v>559</v>
      </c>
      <c r="H2922" s="50">
        <v>2</v>
      </c>
      <c r="I2922" s="100">
        <v>6.7391919697301583</v>
      </c>
      <c r="J2922" s="52">
        <v>3834.68</v>
      </c>
      <c r="K2922" s="67">
        <f t="shared" si="184"/>
        <v>99830.136331178932</v>
      </c>
      <c r="L2922" s="95">
        <f>+VLOOKUP(E2922,MARGEN!A:B,2,FALSE)</f>
        <v>0.1</v>
      </c>
      <c r="M2922" s="112">
        <f t="shared" si="181"/>
        <v>9983.0136331178946</v>
      </c>
      <c r="N2922" s="113">
        <f t="shared" si="182"/>
        <v>399.32054532471574</v>
      </c>
      <c r="O2922" s="113">
        <f t="shared" si="183"/>
        <v>89447.802152736316</v>
      </c>
    </row>
    <row r="2923" spans="1:15" x14ac:dyDescent="0.25">
      <c r="A2923" s="13">
        <v>44458</v>
      </c>
      <c r="B2923" s="97">
        <v>3503</v>
      </c>
      <c r="C2923" t="s">
        <v>144</v>
      </c>
      <c r="D2923" s="94" t="s">
        <v>343</v>
      </c>
      <c r="E2923" t="s">
        <v>17</v>
      </c>
      <c r="F2923" t="s">
        <v>566</v>
      </c>
      <c r="G2923" s="50" t="s">
        <v>559</v>
      </c>
      <c r="H2923" s="50">
        <v>2</v>
      </c>
      <c r="I2923" s="100">
        <v>6.7391919697301583</v>
      </c>
      <c r="J2923" s="52">
        <v>3834.68</v>
      </c>
      <c r="K2923" s="67">
        <f t="shared" si="184"/>
        <v>90526.784252684418</v>
      </c>
      <c r="L2923" s="95">
        <f>+VLOOKUP(E2923,MARGEN!A:B,2,FALSE)</f>
        <v>0.1</v>
      </c>
      <c r="M2923" s="112">
        <f t="shared" si="181"/>
        <v>9052.6784252684429</v>
      </c>
      <c r="N2923" s="113">
        <f t="shared" si="182"/>
        <v>362.10713701073769</v>
      </c>
      <c r="O2923" s="113">
        <f t="shared" si="183"/>
        <v>81111.998690405235</v>
      </c>
    </row>
    <row r="2924" spans="1:15" x14ac:dyDescent="0.25">
      <c r="A2924" s="13">
        <v>44458</v>
      </c>
      <c r="B2924" s="97">
        <v>2303</v>
      </c>
      <c r="C2924" s="88" t="s">
        <v>128</v>
      </c>
      <c r="D2924" t="s">
        <v>416</v>
      </c>
      <c r="E2924" t="s">
        <v>17</v>
      </c>
      <c r="F2924" t="s">
        <v>566</v>
      </c>
      <c r="G2924" s="50" t="s">
        <v>559</v>
      </c>
      <c r="H2924" s="50">
        <v>2</v>
      </c>
      <c r="I2924" s="100">
        <v>6.7391919697301583</v>
      </c>
      <c r="J2924" s="52">
        <v>3834.68</v>
      </c>
      <c r="K2924" s="67">
        <f t="shared" si="184"/>
        <v>59515.610657702593</v>
      </c>
      <c r="L2924" s="95">
        <f>+VLOOKUP(E2924,MARGEN!A:B,2,FALSE)</f>
        <v>0.1</v>
      </c>
      <c r="M2924" s="112">
        <f t="shared" si="181"/>
        <v>5951.56106577026</v>
      </c>
      <c r="N2924" s="113">
        <f t="shared" si="182"/>
        <v>238.06244263081038</v>
      </c>
      <c r="O2924" s="113">
        <f t="shared" si="183"/>
        <v>53325.987149301516</v>
      </c>
    </row>
    <row r="2925" spans="1:15" x14ac:dyDescent="0.25">
      <c r="A2925" s="13">
        <v>44458</v>
      </c>
      <c r="B2925" s="97">
        <v>2303</v>
      </c>
      <c r="C2925" s="88" t="s">
        <v>130</v>
      </c>
      <c r="D2925" t="s">
        <v>367</v>
      </c>
      <c r="E2925" t="s">
        <v>17</v>
      </c>
      <c r="F2925" t="s">
        <v>566</v>
      </c>
      <c r="G2925" s="50" t="s">
        <v>559</v>
      </c>
      <c r="H2925" s="50">
        <v>2</v>
      </c>
      <c r="I2925" s="100">
        <v>6.7391919697301583</v>
      </c>
      <c r="J2925" s="52">
        <v>3834.68</v>
      </c>
      <c r="K2925" s="67">
        <f t="shared" si="184"/>
        <v>59515.610657702593</v>
      </c>
      <c r="L2925" s="95">
        <f>+VLOOKUP(E2925,MARGEN!A:B,2,FALSE)</f>
        <v>0.1</v>
      </c>
      <c r="M2925" s="112">
        <f t="shared" si="181"/>
        <v>5951.56106577026</v>
      </c>
      <c r="N2925" s="113">
        <f t="shared" si="182"/>
        <v>238.06244263081038</v>
      </c>
      <c r="O2925" s="113">
        <f t="shared" si="183"/>
        <v>53325.987149301516</v>
      </c>
    </row>
    <row r="2926" spans="1:15" x14ac:dyDescent="0.25">
      <c r="A2926" s="13">
        <v>44458</v>
      </c>
      <c r="B2926" s="97">
        <v>2159</v>
      </c>
      <c r="C2926" t="s">
        <v>281</v>
      </c>
      <c r="D2926" s="94" t="s">
        <v>495</v>
      </c>
      <c r="E2926" t="s">
        <v>17</v>
      </c>
      <c r="F2926" t="s">
        <v>566</v>
      </c>
      <c r="G2926" s="50" t="s">
        <v>559</v>
      </c>
      <c r="H2926" s="50">
        <v>2</v>
      </c>
      <c r="I2926" s="100">
        <v>6.7391919697301583</v>
      </c>
      <c r="J2926" s="52">
        <v>3834.68</v>
      </c>
      <c r="K2926" s="67">
        <f t="shared" si="184"/>
        <v>55794.269826304779</v>
      </c>
      <c r="L2926" s="95">
        <f>+VLOOKUP(E2926,MARGEN!A:B,2,FALSE)</f>
        <v>0.1</v>
      </c>
      <c r="M2926" s="112">
        <f t="shared" si="181"/>
        <v>5579.4269826304781</v>
      </c>
      <c r="N2926" s="113">
        <f t="shared" si="182"/>
        <v>223.17707930521911</v>
      </c>
      <c r="O2926" s="113">
        <f t="shared" si="183"/>
        <v>49991.665764369078</v>
      </c>
    </row>
    <row r="2927" spans="1:15" x14ac:dyDescent="0.25">
      <c r="A2927" s="13">
        <v>44458</v>
      </c>
      <c r="B2927" s="97">
        <v>1991</v>
      </c>
      <c r="C2927" t="s">
        <v>282</v>
      </c>
      <c r="D2927" s="94" t="s">
        <v>494</v>
      </c>
      <c r="E2927" t="s">
        <v>17</v>
      </c>
      <c r="F2927" t="s">
        <v>566</v>
      </c>
      <c r="G2927" s="50" t="s">
        <v>559</v>
      </c>
      <c r="H2927" s="50">
        <v>2</v>
      </c>
      <c r="I2927" s="100">
        <v>6.7391919697301583</v>
      </c>
      <c r="J2927" s="52">
        <v>3834.68</v>
      </c>
      <c r="K2927" s="67">
        <f t="shared" si="184"/>
        <v>51452.705523007324</v>
      </c>
      <c r="L2927" s="95">
        <f>+VLOOKUP(E2927,MARGEN!A:B,2,FALSE)</f>
        <v>0.1</v>
      </c>
      <c r="M2927" s="112">
        <f t="shared" si="181"/>
        <v>5145.2705523007326</v>
      </c>
      <c r="N2927" s="113">
        <f t="shared" si="182"/>
        <v>205.8108220920293</v>
      </c>
      <c r="O2927" s="113">
        <f t="shared" si="183"/>
        <v>46101.624148614566</v>
      </c>
    </row>
    <row r="2928" spans="1:15" x14ac:dyDescent="0.25">
      <c r="A2928" s="13">
        <v>44458</v>
      </c>
      <c r="B2928" s="97">
        <v>1727</v>
      </c>
      <c r="C2928" t="s">
        <v>188</v>
      </c>
      <c r="D2928" s="94" t="s">
        <v>397</v>
      </c>
      <c r="E2928" t="s">
        <v>17</v>
      </c>
      <c r="F2928" t="s">
        <v>566</v>
      </c>
      <c r="G2928" s="50" t="s">
        <v>559</v>
      </c>
      <c r="H2928" s="50">
        <v>2</v>
      </c>
      <c r="I2928" s="100">
        <v>6.7391919697301583</v>
      </c>
      <c r="J2928" s="52">
        <v>3834.68</v>
      </c>
      <c r="K2928" s="67">
        <f t="shared" si="184"/>
        <v>44630.247332111321</v>
      </c>
      <c r="L2928" s="95">
        <f>+VLOOKUP(E2928,MARGEN!A:B,2,FALSE)</f>
        <v>0.1</v>
      </c>
      <c r="M2928" s="112">
        <f t="shared" si="181"/>
        <v>4463.0247332111321</v>
      </c>
      <c r="N2928" s="113">
        <f t="shared" si="182"/>
        <v>178.5209893284453</v>
      </c>
      <c r="O2928" s="113">
        <f t="shared" si="183"/>
        <v>39988.701609571741</v>
      </c>
    </row>
    <row r="2929" spans="1:15" x14ac:dyDescent="0.25">
      <c r="A2929" s="13">
        <v>44458</v>
      </c>
      <c r="B2929" s="97">
        <v>1655</v>
      </c>
      <c r="C2929" t="s">
        <v>304</v>
      </c>
      <c r="D2929" s="94" t="s">
        <v>522</v>
      </c>
      <c r="E2929" t="s">
        <v>17</v>
      </c>
      <c r="F2929" t="s">
        <v>566</v>
      </c>
      <c r="G2929" s="50" t="s">
        <v>559</v>
      </c>
      <c r="H2929" s="50">
        <v>2</v>
      </c>
      <c r="I2929" s="100">
        <v>6.7391919697301583</v>
      </c>
      <c r="J2929" s="52">
        <v>3834.68</v>
      </c>
      <c r="K2929" s="67">
        <f t="shared" si="184"/>
        <v>42769.576916412421</v>
      </c>
      <c r="L2929" s="95">
        <f>+VLOOKUP(E2929,MARGEN!A:B,2,FALSE)</f>
        <v>0.1</v>
      </c>
      <c r="M2929" s="112">
        <f t="shared" si="181"/>
        <v>4276.9576916412425</v>
      </c>
      <c r="N2929" s="113">
        <f t="shared" si="182"/>
        <v>171.07830766564967</v>
      </c>
      <c r="O2929" s="113">
        <f t="shared" si="183"/>
        <v>38321.540917105529</v>
      </c>
    </row>
    <row r="2930" spans="1:15" x14ac:dyDescent="0.25">
      <c r="A2930" s="13">
        <v>44458</v>
      </c>
      <c r="B2930" s="51">
        <v>1655</v>
      </c>
      <c r="C2930" s="66" t="s">
        <v>285</v>
      </c>
      <c r="D2930" s="66" t="s">
        <v>534</v>
      </c>
      <c r="E2930" t="s">
        <v>17</v>
      </c>
      <c r="F2930" s="50" t="s">
        <v>566</v>
      </c>
      <c r="G2930" s="50" t="s">
        <v>559</v>
      </c>
      <c r="H2930" s="50">
        <v>2</v>
      </c>
      <c r="I2930" s="100">
        <v>6.7391919697301583</v>
      </c>
      <c r="J2930" s="52">
        <v>3834.68</v>
      </c>
      <c r="K2930" s="67">
        <f t="shared" si="184"/>
        <v>42769.576916412421</v>
      </c>
      <c r="L2930" s="95">
        <f>+VLOOKUP(E2930,MARGEN!A:B,2,FALSE)</f>
        <v>0.1</v>
      </c>
      <c r="M2930" s="112">
        <f t="shared" si="181"/>
        <v>4276.9576916412425</v>
      </c>
      <c r="N2930" s="113">
        <f t="shared" si="182"/>
        <v>171.07830766564967</v>
      </c>
      <c r="O2930" s="113">
        <f t="shared" si="183"/>
        <v>38321.540917105529</v>
      </c>
    </row>
    <row r="2931" spans="1:15" x14ac:dyDescent="0.25">
      <c r="A2931" s="13">
        <v>44458</v>
      </c>
      <c r="B2931" s="51">
        <v>1631</v>
      </c>
      <c r="C2931" s="66" t="s">
        <v>287</v>
      </c>
      <c r="D2931" s="66" t="s">
        <v>496</v>
      </c>
      <c r="E2931" t="s">
        <v>17</v>
      </c>
      <c r="F2931" s="50" t="s">
        <v>566</v>
      </c>
      <c r="G2931" s="50" t="s">
        <v>559</v>
      </c>
      <c r="H2931" s="50">
        <v>2</v>
      </c>
      <c r="I2931" s="100">
        <v>6.7391919697301583</v>
      </c>
      <c r="J2931" s="52">
        <v>3834.68</v>
      </c>
      <c r="K2931" s="67">
        <f t="shared" si="184"/>
        <v>42149.353444512773</v>
      </c>
      <c r="L2931" s="95">
        <f>+VLOOKUP(E2931,MARGEN!A:B,2,FALSE)</f>
        <v>0.1</v>
      </c>
      <c r="M2931" s="112">
        <f t="shared" si="181"/>
        <v>4214.9353444512772</v>
      </c>
      <c r="N2931" s="113">
        <f t="shared" si="182"/>
        <v>168.59741377805111</v>
      </c>
      <c r="O2931" s="113">
        <f t="shared" si="183"/>
        <v>37765.820686283449</v>
      </c>
    </row>
    <row r="2932" spans="1:15" x14ac:dyDescent="0.25">
      <c r="A2932" s="13">
        <v>44458</v>
      </c>
      <c r="B2932" s="97">
        <v>1631</v>
      </c>
      <c r="C2932" t="s">
        <v>120</v>
      </c>
      <c r="D2932" s="94" t="s">
        <v>452</v>
      </c>
      <c r="E2932" t="s">
        <v>17</v>
      </c>
      <c r="F2932" t="s">
        <v>566</v>
      </c>
      <c r="G2932" s="50" t="s">
        <v>559</v>
      </c>
      <c r="H2932" s="50">
        <v>2</v>
      </c>
      <c r="I2932" s="100">
        <v>6.7391919697301583</v>
      </c>
      <c r="J2932" s="52">
        <v>3834.68</v>
      </c>
      <c r="K2932" s="67">
        <f t="shared" si="184"/>
        <v>42149.353444512773</v>
      </c>
      <c r="L2932" s="95">
        <f>+VLOOKUP(E2932,MARGEN!A:B,2,FALSE)</f>
        <v>0.1</v>
      </c>
      <c r="M2932" s="112">
        <f t="shared" si="181"/>
        <v>4214.9353444512772</v>
      </c>
      <c r="N2932" s="113">
        <f t="shared" si="182"/>
        <v>168.59741377805111</v>
      </c>
      <c r="O2932" s="113">
        <f t="shared" si="183"/>
        <v>37765.820686283449</v>
      </c>
    </row>
    <row r="2933" spans="1:15" x14ac:dyDescent="0.25">
      <c r="A2933" s="13">
        <v>44458</v>
      </c>
      <c r="B2933" s="97">
        <v>1559</v>
      </c>
      <c r="C2933" t="s">
        <v>171</v>
      </c>
      <c r="D2933" s="94" t="s">
        <v>387</v>
      </c>
      <c r="E2933" t="s">
        <v>17</v>
      </c>
      <c r="F2933" t="s">
        <v>566</v>
      </c>
      <c r="G2933" s="50" t="s">
        <v>559</v>
      </c>
      <c r="H2933" s="50">
        <v>2</v>
      </c>
      <c r="I2933" s="100">
        <v>6.7391919697301583</v>
      </c>
      <c r="J2933" s="52">
        <v>3834.68</v>
      </c>
      <c r="K2933" s="67">
        <f t="shared" si="184"/>
        <v>40288.683028813866</v>
      </c>
      <c r="L2933" s="95">
        <f>+VLOOKUP(E2933,MARGEN!A:B,2,FALSE)</f>
        <v>0.1</v>
      </c>
      <c r="M2933" s="112">
        <f t="shared" si="181"/>
        <v>4028.8683028813866</v>
      </c>
      <c r="N2933" s="113">
        <f t="shared" si="182"/>
        <v>161.15473211525546</v>
      </c>
      <c r="O2933" s="113">
        <f t="shared" si="183"/>
        <v>36098.659993817222</v>
      </c>
    </row>
    <row r="2934" spans="1:15" x14ac:dyDescent="0.25">
      <c r="A2934" s="13">
        <v>44458</v>
      </c>
      <c r="B2934" s="97">
        <v>1511</v>
      </c>
      <c r="C2934" t="s">
        <v>552</v>
      </c>
      <c r="D2934" s="94" t="s">
        <v>563</v>
      </c>
      <c r="E2934" t="s">
        <v>17</v>
      </c>
      <c r="F2934" t="s">
        <v>566</v>
      </c>
      <c r="G2934" s="50" t="s">
        <v>559</v>
      </c>
      <c r="H2934" s="50">
        <v>2</v>
      </c>
      <c r="I2934" s="100">
        <v>6.7391919697301583</v>
      </c>
      <c r="J2934" s="52">
        <v>3834.68</v>
      </c>
      <c r="K2934" s="67">
        <f t="shared" si="184"/>
        <v>39048.2360850146</v>
      </c>
      <c r="L2934" s="95">
        <f>+VLOOKUP(E2934,MARGEN!A:B,2,FALSE)</f>
        <v>0.1</v>
      </c>
      <c r="M2934" s="112">
        <f t="shared" si="181"/>
        <v>3904.8236085014601</v>
      </c>
      <c r="N2934" s="113">
        <f t="shared" si="182"/>
        <v>156.1929443400584</v>
      </c>
      <c r="O2934" s="113">
        <f t="shared" si="183"/>
        <v>34987.219532173083</v>
      </c>
    </row>
    <row r="2935" spans="1:15" x14ac:dyDescent="0.25">
      <c r="A2935" s="13">
        <v>44458</v>
      </c>
      <c r="B2935" s="97">
        <v>1367</v>
      </c>
      <c r="C2935" t="s">
        <v>200</v>
      </c>
      <c r="D2935" s="94" t="s">
        <v>428</v>
      </c>
      <c r="E2935" t="s">
        <v>17</v>
      </c>
      <c r="F2935" t="s">
        <v>562</v>
      </c>
      <c r="G2935" s="50" t="s">
        <v>559</v>
      </c>
      <c r="H2935" s="50">
        <v>2</v>
      </c>
      <c r="I2935" s="100">
        <v>6.7391919697301583</v>
      </c>
      <c r="J2935" s="52">
        <v>3834.68</v>
      </c>
      <c r="K2935" s="67">
        <f t="shared" si="184"/>
        <v>35326.895253616778</v>
      </c>
      <c r="L2935" s="95">
        <f>+VLOOKUP(E2935,MARGEN!A:B,2,FALSE)</f>
        <v>0.1</v>
      </c>
      <c r="M2935" s="112">
        <f t="shared" si="181"/>
        <v>3532.6895253616781</v>
      </c>
      <c r="N2935" s="113">
        <f t="shared" si="182"/>
        <v>141.3075810144671</v>
      </c>
      <c r="O2935" s="113">
        <f t="shared" si="183"/>
        <v>31652.898147240634</v>
      </c>
    </row>
    <row r="2936" spans="1:15" x14ac:dyDescent="0.25">
      <c r="A2936" s="13">
        <v>44458</v>
      </c>
      <c r="B2936" s="97">
        <v>1319</v>
      </c>
      <c r="C2936" s="88" t="s">
        <v>141</v>
      </c>
      <c r="D2936" t="s">
        <v>450</v>
      </c>
      <c r="E2936" t="s">
        <v>17</v>
      </c>
      <c r="F2936" t="s">
        <v>566</v>
      </c>
      <c r="G2936" s="50" t="s">
        <v>559</v>
      </c>
      <c r="H2936" s="50">
        <v>2</v>
      </c>
      <c r="I2936" s="100">
        <v>6.7391919697301583</v>
      </c>
      <c r="J2936" s="52">
        <v>3834.68</v>
      </c>
      <c r="K2936" s="67">
        <f t="shared" si="184"/>
        <v>34086.448309817511</v>
      </c>
      <c r="L2936" s="95">
        <f>+VLOOKUP(E2936,MARGEN!A:B,2,FALSE)</f>
        <v>0.1</v>
      </c>
      <c r="M2936" s="112">
        <f t="shared" si="181"/>
        <v>3408.6448309817515</v>
      </c>
      <c r="N2936" s="113">
        <f t="shared" si="182"/>
        <v>136.34579323927005</v>
      </c>
      <c r="O2936" s="113">
        <f t="shared" si="183"/>
        <v>30541.457685596492</v>
      </c>
    </row>
    <row r="2937" spans="1:15" x14ac:dyDescent="0.25">
      <c r="A2937" s="13">
        <v>44458</v>
      </c>
      <c r="B2937" s="97">
        <v>1223</v>
      </c>
      <c r="C2937" t="s">
        <v>202</v>
      </c>
      <c r="D2937" s="94" t="s">
        <v>436</v>
      </c>
      <c r="E2937" t="s">
        <v>17</v>
      </c>
      <c r="F2937" t="s">
        <v>566</v>
      </c>
      <c r="G2937" s="50" t="s">
        <v>559</v>
      </c>
      <c r="H2937" s="50">
        <v>2</v>
      </c>
      <c r="I2937" s="100">
        <v>6.7391919697301583</v>
      </c>
      <c r="J2937" s="52">
        <v>3834.68</v>
      </c>
      <c r="K2937" s="67">
        <f t="shared" si="184"/>
        <v>31605.55442221896</v>
      </c>
      <c r="L2937" s="95">
        <f>+VLOOKUP(E2937,MARGEN!A:B,2,FALSE)</f>
        <v>0.1</v>
      </c>
      <c r="M2937" s="112">
        <f t="shared" si="181"/>
        <v>3160.5554422218961</v>
      </c>
      <c r="N2937" s="113">
        <f t="shared" si="182"/>
        <v>126.42221768887585</v>
      </c>
      <c r="O2937" s="113">
        <f t="shared" si="183"/>
        <v>28318.576762308188</v>
      </c>
    </row>
    <row r="2938" spans="1:15" x14ac:dyDescent="0.25">
      <c r="A2938" s="13">
        <v>44458</v>
      </c>
      <c r="B2938" s="97">
        <v>1175</v>
      </c>
      <c r="C2938" t="s">
        <v>308</v>
      </c>
      <c r="D2938" s="94" t="s">
        <v>500</v>
      </c>
      <c r="E2938" t="s">
        <v>17</v>
      </c>
      <c r="F2938" t="s">
        <v>566</v>
      </c>
      <c r="G2938" s="50" t="s">
        <v>559</v>
      </c>
      <c r="H2938" s="50">
        <v>2</v>
      </c>
      <c r="I2938" s="100">
        <v>6.7391919697301583</v>
      </c>
      <c r="J2938" s="52">
        <v>3834.68</v>
      </c>
      <c r="K2938" s="67">
        <f t="shared" si="184"/>
        <v>30365.10747841969</v>
      </c>
      <c r="L2938" s="95">
        <f>+VLOOKUP(E2938,MARGEN!A:B,2,FALSE)</f>
        <v>0.1</v>
      </c>
      <c r="M2938" s="112">
        <f t="shared" si="181"/>
        <v>3036.5107478419691</v>
      </c>
      <c r="N2938" s="113">
        <f t="shared" si="182"/>
        <v>121.46042991367877</v>
      </c>
      <c r="O2938" s="113">
        <f t="shared" si="183"/>
        <v>27207.136300664042</v>
      </c>
    </row>
    <row r="2939" spans="1:15" x14ac:dyDescent="0.25">
      <c r="A2939" s="13">
        <v>44458</v>
      </c>
      <c r="B2939" s="97">
        <v>1127</v>
      </c>
      <c r="C2939" t="s">
        <v>211</v>
      </c>
      <c r="D2939" s="94" t="s">
        <v>382</v>
      </c>
      <c r="E2939" t="s">
        <v>17</v>
      </c>
      <c r="F2939" t="s">
        <v>566</v>
      </c>
      <c r="G2939" s="50" t="s">
        <v>559</v>
      </c>
      <c r="H2939" s="50">
        <v>2</v>
      </c>
      <c r="I2939" s="100">
        <v>6.7391919697301583</v>
      </c>
      <c r="J2939" s="52">
        <v>3834.68</v>
      </c>
      <c r="K2939" s="67">
        <f t="shared" si="184"/>
        <v>29124.660534620416</v>
      </c>
      <c r="L2939" s="95">
        <f>+VLOOKUP(E2939,MARGEN!A:B,2,FALSE)</f>
        <v>0.1</v>
      </c>
      <c r="M2939" s="112">
        <f t="shared" si="181"/>
        <v>2912.4660534620416</v>
      </c>
      <c r="N2939" s="113">
        <f t="shared" si="182"/>
        <v>116.49864213848167</v>
      </c>
      <c r="O2939" s="113">
        <f t="shared" si="183"/>
        <v>26095.695839019892</v>
      </c>
    </row>
    <row r="2940" spans="1:15" x14ac:dyDescent="0.25">
      <c r="A2940" s="13">
        <v>44458</v>
      </c>
      <c r="B2940" s="97">
        <v>1127</v>
      </c>
      <c r="C2940" t="s">
        <v>299</v>
      </c>
      <c r="D2940" s="94" t="s">
        <v>537</v>
      </c>
      <c r="E2940" t="s">
        <v>17</v>
      </c>
      <c r="F2940" t="s">
        <v>566</v>
      </c>
      <c r="G2940" s="50" t="s">
        <v>559</v>
      </c>
      <c r="H2940" s="50">
        <v>2</v>
      </c>
      <c r="I2940" s="100">
        <v>6.7391919697301583</v>
      </c>
      <c r="J2940" s="52">
        <v>3834.68</v>
      </c>
      <c r="K2940" s="67">
        <f t="shared" si="184"/>
        <v>29124.660534620416</v>
      </c>
      <c r="L2940" s="95">
        <f>+VLOOKUP(E2940,MARGEN!A:B,2,FALSE)</f>
        <v>0.1</v>
      </c>
      <c r="M2940" s="112">
        <f t="shared" si="181"/>
        <v>2912.4660534620416</v>
      </c>
      <c r="N2940" s="113">
        <f t="shared" si="182"/>
        <v>116.49864213848167</v>
      </c>
      <c r="O2940" s="113">
        <f t="shared" si="183"/>
        <v>26095.695839019892</v>
      </c>
    </row>
    <row r="2941" spans="1:15" x14ac:dyDescent="0.25">
      <c r="A2941" s="13">
        <v>44458</v>
      </c>
      <c r="B2941" s="97">
        <v>791</v>
      </c>
      <c r="C2941" t="s">
        <v>307</v>
      </c>
      <c r="D2941" s="94" t="s">
        <v>497</v>
      </c>
      <c r="E2941" t="s">
        <v>17</v>
      </c>
      <c r="F2941" t="s">
        <v>566</v>
      </c>
      <c r="G2941" s="50" t="s">
        <v>559</v>
      </c>
      <c r="H2941" s="50">
        <v>2</v>
      </c>
      <c r="I2941" s="100">
        <v>6.7391919697301583</v>
      </c>
      <c r="J2941" s="52">
        <v>3834.68</v>
      </c>
      <c r="K2941" s="67">
        <f t="shared" si="184"/>
        <v>20441.53192802551</v>
      </c>
      <c r="L2941" s="95">
        <f>+VLOOKUP(E2941,MARGEN!A:B,2,FALSE)</f>
        <v>0.1</v>
      </c>
      <c r="M2941" s="112">
        <f t="shared" si="181"/>
        <v>2044.1531928025511</v>
      </c>
      <c r="N2941" s="113">
        <f t="shared" si="182"/>
        <v>81.766127712102033</v>
      </c>
      <c r="O2941" s="113">
        <f t="shared" si="183"/>
        <v>18315.612607510859</v>
      </c>
    </row>
    <row r="2942" spans="1:15" x14ac:dyDescent="0.25">
      <c r="A2942" s="13">
        <v>44459</v>
      </c>
      <c r="B2942" s="97">
        <v>8255</v>
      </c>
      <c r="C2942" t="s">
        <v>164</v>
      </c>
      <c r="D2942" s="94" t="s">
        <v>445</v>
      </c>
      <c r="E2942" t="s">
        <v>17</v>
      </c>
      <c r="F2942" t="s">
        <v>573</v>
      </c>
      <c r="G2942" s="50" t="s">
        <v>574</v>
      </c>
      <c r="H2942" s="50">
        <v>2</v>
      </c>
      <c r="I2942" s="100">
        <v>6.7391919697301583</v>
      </c>
      <c r="J2942" s="52">
        <v>3834.68</v>
      </c>
      <c r="K2942" s="67">
        <f t="shared" si="184"/>
        <v>213331.03168881236</v>
      </c>
      <c r="L2942" s="95">
        <f>+VLOOKUP(E2942,MARGEN!A:B,2,FALSE)</f>
        <v>0.1</v>
      </c>
      <c r="M2942" s="112">
        <f t="shared" si="181"/>
        <v>21333.103168881236</v>
      </c>
      <c r="N2942" s="113">
        <f t="shared" si="182"/>
        <v>853.32412675524949</v>
      </c>
      <c r="O2942" s="113">
        <f t="shared" si="183"/>
        <v>191144.60439317589</v>
      </c>
    </row>
    <row r="2943" spans="1:15" x14ac:dyDescent="0.25">
      <c r="A2943" s="13">
        <v>44459</v>
      </c>
      <c r="B2943" s="97">
        <v>6767</v>
      </c>
      <c r="C2943" t="s">
        <v>150</v>
      </c>
      <c r="D2943" s="94" t="s">
        <v>357</v>
      </c>
      <c r="E2943" t="s">
        <v>17</v>
      </c>
      <c r="F2943" t="s">
        <v>573</v>
      </c>
      <c r="G2943" s="50" t="s">
        <v>574</v>
      </c>
      <c r="H2943" s="50">
        <v>2</v>
      </c>
      <c r="I2943" s="100">
        <v>6.7391919697301583</v>
      </c>
      <c r="J2943" s="52">
        <v>3834.68</v>
      </c>
      <c r="K2943" s="67">
        <f t="shared" si="184"/>
        <v>174877.17643103495</v>
      </c>
      <c r="L2943" s="95">
        <f>+VLOOKUP(E2943,MARGEN!A:B,2,FALSE)</f>
        <v>0.1</v>
      </c>
      <c r="M2943" s="112">
        <f t="shared" si="181"/>
        <v>17487.717643103497</v>
      </c>
      <c r="N2943" s="113">
        <f t="shared" si="182"/>
        <v>699.50870572413976</v>
      </c>
      <c r="O2943" s="113">
        <f t="shared" si="183"/>
        <v>156689.9500822073</v>
      </c>
    </row>
    <row r="2944" spans="1:15" x14ac:dyDescent="0.25">
      <c r="A2944" s="13">
        <v>44459</v>
      </c>
      <c r="B2944" s="97">
        <v>5951</v>
      </c>
      <c r="C2944" t="s">
        <v>279</v>
      </c>
      <c r="D2944" s="94" t="s">
        <v>493</v>
      </c>
      <c r="E2944" t="s">
        <v>17</v>
      </c>
      <c r="F2944" t="s">
        <v>573</v>
      </c>
      <c r="G2944" s="50" t="s">
        <v>574</v>
      </c>
      <c r="H2944" s="50">
        <v>2</v>
      </c>
      <c r="I2944" s="100">
        <v>6.7391919697301583</v>
      </c>
      <c r="J2944" s="52">
        <v>3834.68</v>
      </c>
      <c r="K2944" s="67">
        <f t="shared" si="184"/>
        <v>153789.57838644728</v>
      </c>
      <c r="L2944" s="95">
        <f>+VLOOKUP(E2944,MARGEN!A:B,2,FALSE)</f>
        <v>0.1</v>
      </c>
      <c r="M2944" s="112">
        <f t="shared" si="181"/>
        <v>15378.957838644728</v>
      </c>
      <c r="N2944" s="113">
        <f t="shared" si="182"/>
        <v>615.15831354578916</v>
      </c>
      <c r="O2944" s="113">
        <f t="shared" si="183"/>
        <v>137795.46223425676</v>
      </c>
    </row>
    <row r="2945" spans="1:15" x14ac:dyDescent="0.25">
      <c r="A2945" s="43">
        <v>44459</v>
      </c>
      <c r="B2945" s="97">
        <v>5279</v>
      </c>
      <c r="C2945" s="88" t="s">
        <v>278</v>
      </c>
      <c r="D2945" s="94" t="s">
        <v>453</v>
      </c>
      <c r="E2945" t="s">
        <v>17</v>
      </c>
      <c r="F2945" s="88" t="s">
        <v>573</v>
      </c>
      <c r="G2945" s="50" t="s">
        <v>574</v>
      </c>
      <c r="H2945" s="50">
        <v>2</v>
      </c>
      <c r="I2945" s="100">
        <v>6.7391919697301583</v>
      </c>
      <c r="J2945" s="52">
        <v>3834.68</v>
      </c>
      <c r="K2945" s="67">
        <f t="shared" si="184"/>
        <v>136423.32117325746</v>
      </c>
      <c r="L2945" s="95">
        <f>+VLOOKUP(E2945,MARGEN!A:B,2,FALSE)</f>
        <v>0.1</v>
      </c>
      <c r="M2945" s="112">
        <f t="shared" si="181"/>
        <v>13642.332117325746</v>
      </c>
      <c r="N2945" s="113">
        <f t="shared" si="182"/>
        <v>545.6932846930298</v>
      </c>
      <c r="O2945" s="113">
        <f t="shared" si="183"/>
        <v>122235.29577123869</v>
      </c>
    </row>
    <row r="2946" spans="1:15" x14ac:dyDescent="0.25">
      <c r="A2946" s="13">
        <v>44459</v>
      </c>
      <c r="B2946" s="97">
        <v>4631</v>
      </c>
      <c r="C2946" t="s">
        <v>136</v>
      </c>
      <c r="D2946" s="94" t="s">
        <v>359</v>
      </c>
      <c r="E2946" t="s">
        <v>17</v>
      </c>
      <c r="F2946" t="s">
        <v>573</v>
      </c>
      <c r="G2946" s="50" t="s">
        <v>574</v>
      </c>
      <c r="H2946" s="50">
        <v>2</v>
      </c>
      <c r="I2946" s="100">
        <v>6.7391919697301583</v>
      </c>
      <c r="J2946" s="52">
        <v>3834.68</v>
      </c>
      <c r="K2946" s="67">
        <f t="shared" si="184"/>
        <v>119677.28743196731</v>
      </c>
      <c r="L2946" s="95">
        <f>+VLOOKUP(E2946,MARGEN!A:B,2,FALSE)</f>
        <v>0.1</v>
      </c>
      <c r="M2946" s="112">
        <f t="shared" si="181"/>
        <v>11967.728743196732</v>
      </c>
      <c r="N2946" s="113">
        <f t="shared" si="182"/>
        <v>478.70914972786926</v>
      </c>
      <c r="O2946" s="113">
        <f t="shared" si="183"/>
        <v>107230.84953904271</v>
      </c>
    </row>
    <row r="2947" spans="1:15" x14ac:dyDescent="0.25">
      <c r="A2947" s="13">
        <v>44459</v>
      </c>
      <c r="B2947" s="97">
        <v>4271</v>
      </c>
      <c r="C2947" t="s">
        <v>193</v>
      </c>
      <c r="D2947" s="94" t="s">
        <v>380</v>
      </c>
      <c r="E2947" t="s">
        <v>17</v>
      </c>
      <c r="F2947" t="s">
        <v>573</v>
      </c>
      <c r="G2947" s="50" t="s">
        <v>574</v>
      </c>
      <c r="H2947" s="50">
        <v>2</v>
      </c>
      <c r="I2947" s="100">
        <v>6.7391919697301583</v>
      </c>
      <c r="J2947" s="52">
        <v>3834.68</v>
      </c>
      <c r="K2947" s="67">
        <f t="shared" si="184"/>
        <v>110373.93535347277</v>
      </c>
      <c r="L2947" s="95">
        <f>+VLOOKUP(E2947,MARGEN!A:B,2,FALSE)</f>
        <v>0.1</v>
      </c>
      <c r="M2947" s="112">
        <f t="shared" ref="M2947:M3010" si="185">+K2947*L2947</f>
        <v>11037.393535347277</v>
      </c>
      <c r="N2947" s="113">
        <f t="shared" ref="N2947:N3010" si="186">+K2947*4/1000</f>
        <v>441.4957414138911</v>
      </c>
      <c r="O2947" s="113">
        <f t="shared" ref="O2947:O3010" si="187">+K2947-M2947-N2947</f>
        <v>98895.046076711602</v>
      </c>
    </row>
    <row r="2948" spans="1:15" x14ac:dyDescent="0.25">
      <c r="A2948" s="13">
        <v>44459</v>
      </c>
      <c r="B2948" s="97">
        <v>3887</v>
      </c>
      <c r="C2948" t="s">
        <v>293</v>
      </c>
      <c r="D2948" s="94" t="s">
        <v>499</v>
      </c>
      <c r="E2948" t="s">
        <v>17</v>
      </c>
      <c r="F2948" t="s">
        <v>573</v>
      </c>
      <c r="G2948" s="50" t="s">
        <v>574</v>
      </c>
      <c r="H2948" s="50">
        <v>2</v>
      </c>
      <c r="I2948" s="100">
        <v>6.7391919697301583</v>
      </c>
      <c r="J2948" s="52">
        <v>3834.68</v>
      </c>
      <c r="K2948" s="67">
        <f t="shared" si="184"/>
        <v>100450.35980307858</v>
      </c>
      <c r="L2948" s="95">
        <f>+VLOOKUP(E2948,MARGEN!A:B,2,FALSE)</f>
        <v>0.1</v>
      </c>
      <c r="M2948" s="112">
        <f t="shared" si="185"/>
        <v>10045.035980307859</v>
      </c>
      <c r="N2948" s="113">
        <f t="shared" si="186"/>
        <v>401.80143921231434</v>
      </c>
      <c r="O2948" s="113">
        <f t="shared" si="187"/>
        <v>90003.522383558404</v>
      </c>
    </row>
    <row r="2949" spans="1:15" x14ac:dyDescent="0.25">
      <c r="A2949" s="13">
        <v>44459</v>
      </c>
      <c r="B2949" s="97">
        <v>3695</v>
      </c>
      <c r="C2949" t="s">
        <v>144</v>
      </c>
      <c r="D2949" s="94" t="s">
        <v>343</v>
      </c>
      <c r="E2949" t="s">
        <v>17</v>
      </c>
      <c r="F2949" t="s">
        <v>573</v>
      </c>
      <c r="G2949" s="50" t="s">
        <v>574</v>
      </c>
      <c r="H2949" s="50">
        <v>2</v>
      </c>
      <c r="I2949" s="100">
        <v>6.7391919697301583</v>
      </c>
      <c r="J2949" s="52">
        <v>3834.68</v>
      </c>
      <c r="K2949" s="67">
        <f t="shared" si="184"/>
        <v>95488.572027881484</v>
      </c>
      <c r="L2949" s="95">
        <f>+VLOOKUP(E2949,MARGEN!A:B,2,FALSE)</f>
        <v>0.1</v>
      </c>
      <c r="M2949" s="112">
        <f t="shared" si="185"/>
        <v>9548.8572027881492</v>
      </c>
      <c r="N2949" s="113">
        <f t="shared" si="186"/>
        <v>381.95428811152595</v>
      </c>
      <c r="O2949" s="113">
        <f t="shared" si="187"/>
        <v>85557.760536981819</v>
      </c>
    </row>
    <row r="2950" spans="1:15" x14ac:dyDescent="0.25">
      <c r="A2950" s="13">
        <v>44459</v>
      </c>
      <c r="B2950" s="97">
        <v>3623</v>
      </c>
      <c r="C2950" t="s">
        <v>149</v>
      </c>
      <c r="D2950" s="94" t="s">
        <v>325</v>
      </c>
      <c r="E2950" t="s">
        <v>17</v>
      </c>
      <c r="F2950" t="s">
        <v>573</v>
      </c>
      <c r="G2950" s="50" t="s">
        <v>574</v>
      </c>
      <c r="H2950" s="50">
        <v>2</v>
      </c>
      <c r="I2950" s="100">
        <v>6.7391919697301583</v>
      </c>
      <c r="J2950" s="52">
        <v>3834.68</v>
      </c>
      <c r="K2950" s="67">
        <f t="shared" si="184"/>
        <v>93627.901612182584</v>
      </c>
      <c r="L2950" s="95">
        <f>+VLOOKUP(E2950,MARGEN!A:B,2,FALSE)</f>
        <v>0.1</v>
      </c>
      <c r="M2950" s="112">
        <f t="shared" si="185"/>
        <v>9362.7901612182595</v>
      </c>
      <c r="N2950" s="113">
        <f t="shared" si="186"/>
        <v>374.51160644873033</v>
      </c>
      <c r="O2950" s="113">
        <f t="shared" si="187"/>
        <v>83890.599844515586</v>
      </c>
    </row>
    <row r="2951" spans="1:15" x14ac:dyDescent="0.25">
      <c r="A2951" s="13">
        <v>44459</v>
      </c>
      <c r="B2951" s="97">
        <v>3599</v>
      </c>
      <c r="C2951" t="s">
        <v>192</v>
      </c>
      <c r="D2951" s="94" t="s">
        <v>347</v>
      </c>
      <c r="E2951" t="s">
        <v>17</v>
      </c>
      <c r="F2951" t="s">
        <v>573</v>
      </c>
      <c r="G2951" s="50" t="s">
        <v>574</v>
      </c>
      <c r="H2951" s="50">
        <v>2</v>
      </c>
      <c r="I2951" s="100">
        <v>6.7391919697301583</v>
      </c>
      <c r="J2951" s="52">
        <v>3834.68</v>
      </c>
      <c r="K2951" s="67">
        <f t="shared" si="184"/>
        <v>93007.678140282951</v>
      </c>
      <c r="L2951" s="95">
        <f>+VLOOKUP(E2951,MARGEN!A:B,2,FALSE)</f>
        <v>0.1</v>
      </c>
      <c r="M2951" s="112">
        <f t="shared" si="185"/>
        <v>9300.7678140282951</v>
      </c>
      <c r="N2951" s="113">
        <f t="shared" si="186"/>
        <v>372.03071256113179</v>
      </c>
      <c r="O2951" s="113">
        <f t="shared" si="187"/>
        <v>83334.879613693527</v>
      </c>
    </row>
    <row r="2952" spans="1:15" x14ac:dyDescent="0.25">
      <c r="A2952" s="13">
        <v>44459</v>
      </c>
      <c r="B2952" s="97">
        <v>3479</v>
      </c>
      <c r="C2952" t="s">
        <v>165</v>
      </c>
      <c r="D2952" s="94" t="s">
        <v>375</v>
      </c>
      <c r="E2952" t="s">
        <v>17</v>
      </c>
      <c r="F2952" t="s">
        <v>573</v>
      </c>
      <c r="G2952" s="50" t="s">
        <v>574</v>
      </c>
      <c r="H2952" s="50">
        <v>2</v>
      </c>
      <c r="I2952" s="100">
        <v>6.7391919697301583</v>
      </c>
      <c r="J2952" s="52">
        <v>3834.68</v>
      </c>
      <c r="K2952" s="67">
        <f t="shared" si="184"/>
        <v>89906.56078078477</v>
      </c>
      <c r="L2952" s="95">
        <f>+VLOOKUP(E2952,MARGEN!A:B,2,FALSE)</f>
        <v>0.1</v>
      </c>
      <c r="M2952" s="112">
        <f t="shared" si="185"/>
        <v>8990.6560780784766</v>
      </c>
      <c r="N2952" s="113">
        <f t="shared" si="186"/>
        <v>359.62624312313909</v>
      </c>
      <c r="O2952" s="113">
        <f t="shared" si="187"/>
        <v>80556.278459583147</v>
      </c>
    </row>
    <row r="2953" spans="1:15" x14ac:dyDescent="0.25">
      <c r="A2953" s="13">
        <v>44459</v>
      </c>
      <c r="B2953" s="97">
        <v>3383</v>
      </c>
      <c r="C2953" t="s">
        <v>135</v>
      </c>
      <c r="D2953" s="94" t="s">
        <v>533</v>
      </c>
      <c r="E2953" t="s">
        <v>17</v>
      </c>
      <c r="F2953" t="s">
        <v>558</v>
      </c>
      <c r="G2953" s="50" t="s">
        <v>574</v>
      </c>
      <c r="H2953" s="50">
        <v>2</v>
      </c>
      <c r="I2953" s="100">
        <v>6.7391919697301583</v>
      </c>
      <c r="J2953" s="52">
        <v>3834.68</v>
      </c>
      <c r="K2953" s="67">
        <f t="shared" ref="K2953:K3016" si="188">+B2953*I2953*J2953/1000</f>
        <v>87425.666893186222</v>
      </c>
      <c r="L2953" s="95">
        <f>+VLOOKUP(E2953,MARGEN!A:B,2,FALSE)</f>
        <v>0.1</v>
      </c>
      <c r="M2953" s="112">
        <f t="shared" si="185"/>
        <v>8742.5666893186226</v>
      </c>
      <c r="N2953" s="113">
        <f t="shared" si="186"/>
        <v>349.70266757274487</v>
      </c>
      <c r="O2953" s="113">
        <f t="shared" si="187"/>
        <v>78333.397536294855</v>
      </c>
    </row>
    <row r="2954" spans="1:15" x14ac:dyDescent="0.25">
      <c r="A2954" s="13">
        <v>44459</v>
      </c>
      <c r="B2954" s="97">
        <v>3359</v>
      </c>
      <c r="C2954" t="s">
        <v>309</v>
      </c>
      <c r="D2954" s="94" t="s">
        <v>544</v>
      </c>
      <c r="E2954" t="s">
        <v>17</v>
      </c>
      <c r="F2954" t="s">
        <v>573</v>
      </c>
      <c r="G2954" s="50" t="s">
        <v>574</v>
      </c>
      <c r="H2954" s="50">
        <v>2</v>
      </c>
      <c r="I2954" s="100">
        <v>6.7391919697301583</v>
      </c>
      <c r="J2954" s="52">
        <v>3834.68</v>
      </c>
      <c r="K2954" s="67">
        <f t="shared" si="188"/>
        <v>86805.443421286589</v>
      </c>
      <c r="L2954" s="95">
        <f>+VLOOKUP(E2954,MARGEN!A:B,2,FALSE)</f>
        <v>0.1</v>
      </c>
      <c r="M2954" s="112">
        <f t="shared" si="185"/>
        <v>8680.54434212866</v>
      </c>
      <c r="N2954" s="113">
        <f t="shared" si="186"/>
        <v>347.22177368514633</v>
      </c>
      <c r="O2954" s="113">
        <f t="shared" si="187"/>
        <v>77777.677305472782</v>
      </c>
    </row>
    <row r="2955" spans="1:15" x14ac:dyDescent="0.25">
      <c r="A2955" s="13">
        <v>44459</v>
      </c>
      <c r="B2955" s="97">
        <v>2903</v>
      </c>
      <c r="C2955" t="s">
        <v>134</v>
      </c>
      <c r="D2955" s="94" t="s">
        <v>362</v>
      </c>
      <c r="E2955" t="s">
        <v>17</v>
      </c>
      <c r="F2955" t="s">
        <v>573</v>
      </c>
      <c r="G2955" s="50" t="s">
        <v>574</v>
      </c>
      <c r="H2955" s="50">
        <v>2</v>
      </c>
      <c r="I2955" s="100">
        <v>6.7391919697301583</v>
      </c>
      <c r="J2955" s="52">
        <v>3834.68</v>
      </c>
      <c r="K2955" s="67">
        <f t="shared" si="188"/>
        <v>75021.197455193484</v>
      </c>
      <c r="L2955" s="95">
        <f>+VLOOKUP(E2955,MARGEN!A:B,2,FALSE)</f>
        <v>0.1</v>
      </c>
      <c r="M2955" s="112">
        <f t="shared" si="185"/>
        <v>7502.1197455193487</v>
      </c>
      <c r="N2955" s="113">
        <f t="shared" si="186"/>
        <v>300.08478982077395</v>
      </c>
      <c r="O2955" s="113">
        <f t="shared" si="187"/>
        <v>67218.992919853365</v>
      </c>
    </row>
    <row r="2956" spans="1:15" x14ac:dyDescent="0.25">
      <c r="A2956" s="13">
        <v>44459</v>
      </c>
      <c r="B2956" s="97">
        <v>2783</v>
      </c>
      <c r="C2956" t="s">
        <v>131</v>
      </c>
      <c r="D2956" s="94" t="s">
        <v>344</v>
      </c>
      <c r="E2956" t="s">
        <v>17</v>
      </c>
      <c r="F2956" t="s">
        <v>573</v>
      </c>
      <c r="G2956" s="50" t="s">
        <v>574</v>
      </c>
      <c r="H2956" s="50">
        <v>2</v>
      </c>
      <c r="I2956" s="100">
        <v>6.7391919697301583</v>
      </c>
      <c r="J2956" s="52">
        <v>3834.68</v>
      </c>
      <c r="K2956" s="67">
        <f t="shared" si="188"/>
        <v>71920.080095695317</v>
      </c>
      <c r="L2956" s="95">
        <f>+VLOOKUP(E2956,MARGEN!A:B,2,FALSE)</f>
        <v>0.1</v>
      </c>
      <c r="M2956" s="112">
        <f t="shared" si="185"/>
        <v>7192.0080095695321</v>
      </c>
      <c r="N2956" s="113">
        <f t="shared" si="186"/>
        <v>287.68032038278125</v>
      </c>
      <c r="O2956" s="113">
        <f t="shared" si="187"/>
        <v>64440.391765743007</v>
      </c>
    </row>
    <row r="2957" spans="1:15" x14ac:dyDescent="0.25">
      <c r="A2957" s="13">
        <v>44459</v>
      </c>
      <c r="B2957" s="97">
        <v>2711</v>
      </c>
      <c r="C2957" t="s">
        <v>132</v>
      </c>
      <c r="D2957" s="94" t="s">
        <v>376</v>
      </c>
      <c r="E2957" t="s">
        <v>17</v>
      </c>
      <c r="F2957" t="s">
        <v>573</v>
      </c>
      <c r="G2957" s="50" t="s">
        <v>574</v>
      </c>
      <c r="H2957" s="50">
        <v>2</v>
      </c>
      <c r="I2957" s="100">
        <v>6.7391919697301583</v>
      </c>
      <c r="J2957" s="52">
        <v>3834.68</v>
      </c>
      <c r="K2957" s="67">
        <f t="shared" si="188"/>
        <v>70059.409679996417</v>
      </c>
      <c r="L2957" s="95">
        <f>+VLOOKUP(E2957,MARGEN!A:B,2,FALSE)</f>
        <v>0.1</v>
      </c>
      <c r="M2957" s="112">
        <f t="shared" si="185"/>
        <v>7005.9409679996425</v>
      </c>
      <c r="N2957" s="113">
        <f t="shared" si="186"/>
        <v>280.23763871998568</v>
      </c>
      <c r="O2957" s="113">
        <f t="shared" si="187"/>
        <v>62773.231073276787</v>
      </c>
    </row>
    <row r="2958" spans="1:15" x14ac:dyDescent="0.25">
      <c r="A2958" s="13">
        <v>44459</v>
      </c>
      <c r="B2958" s="97">
        <v>2639</v>
      </c>
      <c r="C2958" t="s">
        <v>189</v>
      </c>
      <c r="D2958" t="s">
        <v>431</v>
      </c>
      <c r="E2958" t="s">
        <v>17</v>
      </c>
      <c r="F2958" t="s">
        <v>558</v>
      </c>
      <c r="G2958" s="50" t="s">
        <v>574</v>
      </c>
      <c r="H2958" s="50">
        <v>2</v>
      </c>
      <c r="I2958" s="100">
        <v>6.7391919697301583</v>
      </c>
      <c r="J2958" s="52">
        <v>3834.68</v>
      </c>
      <c r="K2958" s="67">
        <f t="shared" si="188"/>
        <v>68198.739264297488</v>
      </c>
      <c r="L2958" s="95">
        <f>+VLOOKUP(E2958,MARGEN!A:B,2,FALSE)</f>
        <v>0.1</v>
      </c>
      <c r="M2958" s="112">
        <f t="shared" si="185"/>
        <v>6819.8739264297492</v>
      </c>
      <c r="N2958" s="113">
        <f t="shared" si="186"/>
        <v>272.79495705718995</v>
      </c>
      <c r="O2958" s="113">
        <f t="shared" si="187"/>
        <v>61106.070380810554</v>
      </c>
    </row>
    <row r="2959" spans="1:15" x14ac:dyDescent="0.25">
      <c r="A2959" s="13">
        <v>44459</v>
      </c>
      <c r="B2959" s="97">
        <v>2591</v>
      </c>
      <c r="C2959" t="s">
        <v>186</v>
      </c>
      <c r="D2959" s="94" t="s">
        <v>440</v>
      </c>
      <c r="E2959" t="s">
        <v>17</v>
      </c>
      <c r="F2959" t="s">
        <v>573</v>
      </c>
      <c r="G2959" s="50" t="s">
        <v>574</v>
      </c>
      <c r="H2959" s="50">
        <v>2</v>
      </c>
      <c r="I2959" s="100">
        <v>6.7391919697301583</v>
      </c>
      <c r="J2959" s="52">
        <v>3834.68</v>
      </c>
      <c r="K2959" s="67">
        <f t="shared" si="188"/>
        <v>66958.292320498222</v>
      </c>
      <c r="L2959" s="95">
        <f>+VLOOKUP(E2959,MARGEN!A:B,2,FALSE)</f>
        <v>0.1</v>
      </c>
      <c r="M2959" s="112">
        <f t="shared" si="185"/>
        <v>6695.8292320498222</v>
      </c>
      <c r="N2959" s="113">
        <f t="shared" si="186"/>
        <v>267.83316928199287</v>
      </c>
      <c r="O2959" s="113">
        <f t="shared" si="187"/>
        <v>59994.629919166407</v>
      </c>
    </row>
    <row r="2960" spans="1:15" x14ac:dyDescent="0.25">
      <c r="A2960" s="13">
        <v>44459</v>
      </c>
      <c r="B2960" s="97">
        <v>2567</v>
      </c>
      <c r="C2960" t="s">
        <v>310</v>
      </c>
      <c r="D2960" s="94" t="s">
        <v>540</v>
      </c>
      <c r="E2960" t="s">
        <v>17</v>
      </c>
      <c r="F2960" t="s">
        <v>573</v>
      </c>
      <c r="G2960" s="50" t="s">
        <v>574</v>
      </c>
      <c r="H2960" s="50">
        <v>2</v>
      </c>
      <c r="I2960" s="100">
        <v>6.7391919697301583</v>
      </c>
      <c r="J2960" s="52">
        <v>3834.68</v>
      </c>
      <c r="K2960" s="67">
        <f t="shared" si="188"/>
        <v>66338.068848598588</v>
      </c>
      <c r="L2960" s="95">
        <f>+VLOOKUP(E2960,MARGEN!A:B,2,FALSE)</f>
        <v>0.1</v>
      </c>
      <c r="M2960" s="112">
        <f t="shared" si="185"/>
        <v>6633.8068848598596</v>
      </c>
      <c r="N2960" s="113">
        <f t="shared" si="186"/>
        <v>265.35227539439433</v>
      </c>
      <c r="O2960" s="113">
        <f t="shared" si="187"/>
        <v>59438.909688344334</v>
      </c>
    </row>
    <row r="2961" spans="1:15" x14ac:dyDescent="0.25">
      <c r="A2961" s="13">
        <v>44459</v>
      </c>
      <c r="B2961" s="97">
        <v>2543</v>
      </c>
      <c r="C2961" t="s">
        <v>146</v>
      </c>
      <c r="D2961" s="94" t="s">
        <v>348</v>
      </c>
      <c r="E2961" t="s">
        <v>17</v>
      </c>
      <c r="F2961" t="s">
        <v>573</v>
      </c>
      <c r="G2961" s="50" t="s">
        <v>574</v>
      </c>
      <c r="H2961" s="50">
        <v>2</v>
      </c>
      <c r="I2961" s="100">
        <v>6.7391919697301583</v>
      </c>
      <c r="J2961" s="52">
        <v>3834.68</v>
      </c>
      <c r="K2961" s="67">
        <f t="shared" si="188"/>
        <v>65717.84537669897</v>
      </c>
      <c r="L2961" s="95">
        <f>+VLOOKUP(E2961,MARGEN!A:B,2,FALSE)</f>
        <v>0.1</v>
      </c>
      <c r="M2961" s="112">
        <f t="shared" si="185"/>
        <v>6571.784537669897</v>
      </c>
      <c r="N2961" s="113">
        <f t="shared" si="186"/>
        <v>262.8713815067959</v>
      </c>
      <c r="O2961" s="113">
        <f t="shared" si="187"/>
        <v>58883.189457522276</v>
      </c>
    </row>
    <row r="2962" spans="1:15" x14ac:dyDescent="0.25">
      <c r="A2962" s="13">
        <v>44459</v>
      </c>
      <c r="B2962" s="97">
        <v>2519</v>
      </c>
      <c r="C2962" t="s">
        <v>127</v>
      </c>
      <c r="D2962" s="94" t="s">
        <v>411</v>
      </c>
      <c r="E2962" t="s">
        <v>17</v>
      </c>
      <c r="F2962" t="s">
        <v>573</v>
      </c>
      <c r="G2962" s="50" t="s">
        <v>574</v>
      </c>
      <c r="H2962" s="50">
        <v>2</v>
      </c>
      <c r="I2962" s="100">
        <v>6.7391919697301583</v>
      </c>
      <c r="J2962" s="52">
        <v>3834.68</v>
      </c>
      <c r="K2962" s="67">
        <f t="shared" si="188"/>
        <v>65097.621904799322</v>
      </c>
      <c r="L2962" s="95">
        <f>+VLOOKUP(E2962,MARGEN!A:B,2,FALSE)</f>
        <v>0.1</v>
      </c>
      <c r="M2962" s="112">
        <f t="shared" si="185"/>
        <v>6509.7621904799325</v>
      </c>
      <c r="N2962" s="113">
        <f t="shared" si="186"/>
        <v>260.3904876191973</v>
      </c>
      <c r="O2962" s="113">
        <f t="shared" si="187"/>
        <v>58327.469226700196</v>
      </c>
    </row>
    <row r="2963" spans="1:15" x14ac:dyDescent="0.25">
      <c r="A2963" s="13">
        <v>44459</v>
      </c>
      <c r="B2963" s="97">
        <v>2399</v>
      </c>
      <c r="C2963" t="s">
        <v>281</v>
      </c>
      <c r="D2963" s="94" t="s">
        <v>495</v>
      </c>
      <c r="E2963" t="s">
        <v>17</v>
      </c>
      <c r="F2963" t="s">
        <v>573</v>
      </c>
      <c r="G2963" s="50" t="s">
        <v>574</v>
      </c>
      <c r="H2963" s="50">
        <v>2</v>
      </c>
      <c r="I2963" s="100">
        <v>6.7391919697301583</v>
      </c>
      <c r="J2963" s="52">
        <v>3834.68</v>
      </c>
      <c r="K2963" s="67">
        <f t="shared" si="188"/>
        <v>61996.504545301133</v>
      </c>
      <c r="L2963" s="95">
        <f>+VLOOKUP(E2963,MARGEN!A:B,2,FALSE)</f>
        <v>0.1</v>
      </c>
      <c r="M2963" s="112">
        <f t="shared" si="185"/>
        <v>6199.6504545301141</v>
      </c>
      <c r="N2963" s="113">
        <f t="shared" si="186"/>
        <v>247.98601818120454</v>
      </c>
      <c r="O2963" s="113">
        <f t="shared" si="187"/>
        <v>55548.868072589816</v>
      </c>
    </row>
    <row r="2964" spans="1:15" x14ac:dyDescent="0.25">
      <c r="A2964" s="13">
        <v>44459</v>
      </c>
      <c r="B2964" s="97">
        <v>2303</v>
      </c>
      <c r="C2964" t="s">
        <v>128</v>
      </c>
      <c r="D2964" s="94" t="s">
        <v>416</v>
      </c>
      <c r="E2964" t="s">
        <v>17</v>
      </c>
      <c r="F2964" t="s">
        <v>573</v>
      </c>
      <c r="G2964" s="50" t="s">
        <v>574</v>
      </c>
      <c r="H2964" s="50">
        <v>2</v>
      </c>
      <c r="I2964" s="100">
        <v>6.7391919697301583</v>
      </c>
      <c r="J2964" s="52">
        <v>3834.68</v>
      </c>
      <c r="K2964" s="67">
        <f t="shared" si="188"/>
        <v>59515.610657702593</v>
      </c>
      <c r="L2964" s="95">
        <f>+VLOOKUP(E2964,MARGEN!A:B,2,FALSE)</f>
        <v>0.1</v>
      </c>
      <c r="M2964" s="112">
        <f t="shared" si="185"/>
        <v>5951.56106577026</v>
      </c>
      <c r="N2964" s="113">
        <f t="shared" si="186"/>
        <v>238.06244263081038</v>
      </c>
      <c r="O2964" s="113">
        <f t="shared" si="187"/>
        <v>53325.987149301516</v>
      </c>
    </row>
    <row r="2965" spans="1:15" x14ac:dyDescent="0.25">
      <c r="A2965" s="13">
        <v>44459</v>
      </c>
      <c r="B2965" s="97">
        <v>2279</v>
      </c>
      <c r="C2965" t="s">
        <v>156</v>
      </c>
      <c r="D2965" s="94" t="s">
        <v>429</v>
      </c>
      <c r="E2965" t="s">
        <v>17</v>
      </c>
      <c r="F2965" t="s">
        <v>573</v>
      </c>
      <c r="G2965" s="50" t="s">
        <v>574</v>
      </c>
      <c r="H2965" s="50">
        <v>2</v>
      </c>
      <c r="I2965" s="100">
        <v>6.7391919697301583</v>
      </c>
      <c r="J2965" s="52">
        <v>3834.68</v>
      </c>
      <c r="K2965" s="67">
        <f t="shared" si="188"/>
        <v>58895.387185802952</v>
      </c>
      <c r="L2965" s="95">
        <f>+VLOOKUP(E2965,MARGEN!A:B,2,FALSE)</f>
        <v>0.1</v>
      </c>
      <c r="M2965" s="112">
        <f t="shared" si="185"/>
        <v>5889.5387185802956</v>
      </c>
      <c r="N2965" s="113">
        <f t="shared" si="186"/>
        <v>235.58154874321181</v>
      </c>
      <c r="O2965" s="113">
        <f t="shared" si="187"/>
        <v>52770.266918479443</v>
      </c>
    </row>
    <row r="2966" spans="1:15" x14ac:dyDescent="0.25">
      <c r="A2966" s="13">
        <v>44459</v>
      </c>
      <c r="B2966" s="97">
        <v>2279</v>
      </c>
      <c r="C2966" t="s">
        <v>283</v>
      </c>
      <c r="D2966" t="s">
        <v>543</v>
      </c>
      <c r="E2966" t="s">
        <v>17</v>
      </c>
      <c r="F2966" t="s">
        <v>558</v>
      </c>
      <c r="G2966" s="50" t="s">
        <v>574</v>
      </c>
      <c r="H2966" s="50">
        <v>2</v>
      </c>
      <c r="I2966" s="100">
        <v>6.7391919697301583</v>
      </c>
      <c r="J2966" s="52">
        <v>3834.68</v>
      </c>
      <c r="K2966" s="67">
        <f t="shared" si="188"/>
        <v>58895.387185802952</v>
      </c>
      <c r="L2966" s="95">
        <f>+VLOOKUP(E2966,MARGEN!A:B,2,FALSE)</f>
        <v>0.1</v>
      </c>
      <c r="M2966" s="112">
        <f t="shared" si="185"/>
        <v>5889.5387185802956</v>
      </c>
      <c r="N2966" s="113">
        <f t="shared" si="186"/>
        <v>235.58154874321181</v>
      </c>
      <c r="O2966" s="113">
        <f t="shared" si="187"/>
        <v>52770.266918479443</v>
      </c>
    </row>
    <row r="2967" spans="1:15" x14ac:dyDescent="0.25">
      <c r="A2967" s="13">
        <v>44459</v>
      </c>
      <c r="B2967" s="97">
        <v>2279</v>
      </c>
      <c r="C2967" t="s">
        <v>122</v>
      </c>
      <c r="D2967" s="94" t="s">
        <v>446</v>
      </c>
      <c r="E2967" t="s">
        <v>17</v>
      </c>
      <c r="F2967" t="s">
        <v>573</v>
      </c>
      <c r="G2967" s="50" t="s">
        <v>574</v>
      </c>
      <c r="H2967" s="50">
        <v>2</v>
      </c>
      <c r="I2967" s="100">
        <v>6.7391919697301583</v>
      </c>
      <c r="J2967" s="52">
        <v>3834.68</v>
      </c>
      <c r="K2967" s="67">
        <f t="shared" si="188"/>
        <v>58895.387185802952</v>
      </c>
      <c r="L2967" s="95">
        <f>+VLOOKUP(E2967,MARGEN!A:B,2,FALSE)</f>
        <v>0.1</v>
      </c>
      <c r="M2967" s="112">
        <f t="shared" si="185"/>
        <v>5889.5387185802956</v>
      </c>
      <c r="N2967" s="113">
        <f t="shared" si="186"/>
        <v>235.58154874321181</v>
      </c>
      <c r="O2967" s="113">
        <f t="shared" si="187"/>
        <v>52770.266918479443</v>
      </c>
    </row>
    <row r="2968" spans="1:15" x14ac:dyDescent="0.25">
      <c r="A2968" s="13">
        <v>44459</v>
      </c>
      <c r="B2968" s="97">
        <v>2255</v>
      </c>
      <c r="C2968" t="s">
        <v>163</v>
      </c>
      <c r="D2968" s="94" t="s">
        <v>398</v>
      </c>
      <c r="E2968" t="s">
        <v>17</v>
      </c>
      <c r="F2968" t="s">
        <v>573</v>
      </c>
      <c r="G2968" s="50" t="s">
        <v>574</v>
      </c>
      <c r="H2968" s="50">
        <v>2</v>
      </c>
      <c r="I2968" s="100">
        <v>6.7391919697301583</v>
      </c>
      <c r="J2968" s="52">
        <v>3834.68</v>
      </c>
      <c r="K2968" s="67">
        <f t="shared" si="188"/>
        <v>58275.163713903326</v>
      </c>
      <c r="L2968" s="95">
        <f>+VLOOKUP(E2968,MARGEN!A:B,2,FALSE)</f>
        <v>0.1</v>
      </c>
      <c r="M2968" s="112">
        <f t="shared" si="185"/>
        <v>5827.516371390333</v>
      </c>
      <c r="N2968" s="113">
        <f t="shared" si="186"/>
        <v>233.1006548556133</v>
      </c>
      <c r="O2968" s="113">
        <f t="shared" si="187"/>
        <v>52214.546687657385</v>
      </c>
    </row>
    <row r="2969" spans="1:15" x14ac:dyDescent="0.25">
      <c r="A2969" s="13">
        <v>44459</v>
      </c>
      <c r="B2969" s="97">
        <v>2255</v>
      </c>
      <c r="C2969" t="s">
        <v>284</v>
      </c>
      <c r="D2969" s="94" t="s">
        <v>525</v>
      </c>
      <c r="E2969" t="s">
        <v>17</v>
      </c>
      <c r="F2969" t="s">
        <v>558</v>
      </c>
      <c r="G2969" s="50" t="s">
        <v>574</v>
      </c>
      <c r="H2969" s="50">
        <v>2</v>
      </c>
      <c r="I2969" s="100">
        <v>6.7391919697301583</v>
      </c>
      <c r="J2969" s="52">
        <v>3834.68</v>
      </c>
      <c r="K2969" s="67">
        <f t="shared" si="188"/>
        <v>58275.163713903326</v>
      </c>
      <c r="L2969" s="95">
        <f>+VLOOKUP(E2969,MARGEN!A:B,2,FALSE)</f>
        <v>0.1</v>
      </c>
      <c r="M2969" s="112">
        <f t="shared" si="185"/>
        <v>5827.516371390333</v>
      </c>
      <c r="N2969" s="113">
        <f t="shared" si="186"/>
        <v>233.1006548556133</v>
      </c>
      <c r="O2969" s="113">
        <f t="shared" si="187"/>
        <v>52214.546687657385</v>
      </c>
    </row>
    <row r="2970" spans="1:15" x14ac:dyDescent="0.25">
      <c r="A2970" s="13">
        <v>44459</v>
      </c>
      <c r="B2970" s="51">
        <v>2231</v>
      </c>
      <c r="C2970" s="66" t="s">
        <v>126</v>
      </c>
      <c r="D2970" s="66" t="s">
        <v>438</v>
      </c>
      <c r="E2970" t="s">
        <v>17</v>
      </c>
      <c r="F2970" s="50" t="s">
        <v>573</v>
      </c>
      <c r="G2970" s="50" t="s">
        <v>574</v>
      </c>
      <c r="H2970" s="50">
        <v>2</v>
      </c>
      <c r="I2970" s="100">
        <v>6.7391919697301583</v>
      </c>
      <c r="J2970" s="52">
        <v>3834.68</v>
      </c>
      <c r="K2970" s="67">
        <f t="shared" si="188"/>
        <v>57654.940242003679</v>
      </c>
      <c r="L2970" s="95">
        <f>+VLOOKUP(E2970,MARGEN!A:B,2,FALSE)</f>
        <v>0.1</v>
      </c>
      <c r="M2970" s="112">
        <f t="shared" si="185"/>
        <v>5765.4940242003686</v>
      </c>
      <c r="N2970" s="113">
        <f t="shared" si="186"/>
        <v>230.6197609680147</v>
      </c>
      <c r="O2970" s="113">
        <f t="shared" si="187"/>
        <v>51658.826456835297</v>
      </c>
    </row>
    <row r="2971" spans="1:15" x14ac:dyDescent="0.25">
      <c r="A2971" s="13">
        <v>44459</v>
      </c>
      <c r="B2971" s="97">
        <v>2183</v>
      </c>
      <c r="C2971" t="s">
        <v>157</v>
      </c>
      <c r="D2971" s="94" t="s">
        <v>435</v>
      </c>
      <c r="E2971" t="s">
        <v>17</v>
      </c>
      <c r="F2971" t="s">
        <v>573</v>
      </c>
      <c r="G2971" s="50" t="s">
        <v>574</v>
      </c>
      <c r="H2971" s="50">
        <v>2</v>
      </c>
      <c r="I2971" s="100">
        <v>6.7391919697301583</v>
      </c>
      <c r="J2971" s="52">
        <v>3834.68</v>
      </c>
      <c r="K2971" s="67">
        <f t="shared" si="188"/>
        <v>56414.493298204405</v>
      </c>
      <c r="L2971" s="95">
        <f>+VLOOKUP(E2971,MARGEN!A:B,2,FALSE)</f>
        <v>0.1</v>
      </c>
      <c r="M2971" s="112">
        <f t="shared" si="185"/>
        <v>5641.4493298204407</v>
      </c>
      <c r="N2971" s="113">
        <f t="shared" si="186"/>
        <v>225.65797319281762</v>
      </c>
      <c r="O2971" s="113">
        <f t="shared" si="187"/>
        <v>50547.385995191151</v>
      </c>
    </row>
    <row r="2972" spans="1:15" x14ac:dyDescent="0.25">
      <c r="A2972" s="13">
        <v>44459</v>
      </c>
      <c r="B2972" s="97">
        <v>2135</v>
      </c>
      <c r="C2972" t="s">
        <v>282</v>
      </c>
      <c r="D2972" s="94" t="s">
        <v>494</v>
      </c>
      <c r="E2972" t="s">
        <v>17</v>
      </c>
      <c r="F2972" t="s">
        <v>573</v>
      </c>
      <c r="G2972" s="50" t="s">
        <v>574</v>
      </c>
      <c r="H2972" s="50">
        <v>2</v>
      </c>
      <c r="I2972" s="100">
        <v>6.7391919697301583</v>
      </c>
      <c r="J2972" s="52">
        <v>3834.68</v>
      </c>
      <c r="K2972" s="67">
        <f t="shared" si="188"/>
        <v>55174.046354405145</v>
      </c>
      <c r="L2972" s="95">
        <f>+VLOOKUP(E2972,MARGEN!A:B,2,FALSE)</f>
        <v>0.1</v>
      </c>
      <c r="M2972" s="112">
        <f t="shared" si="185"/>
        <v>5517.4046354405145</v>
      </c>
      <c r="N2972" s="113">
        <f t="shared" si="186"/>
        <v>220.69618541762057</v>
      </c>
      <c r="O2972" s="113">
        <f t="shared" si="187"/>
        <v>49435.945533547012</v>
      </c>
    </row>
    <row r="2973" spans="1:15" x14ac:dyDescent="0.25">
      <c r="A2973" s="13">
        <v>44459</v>
      </c>
      <c r="B2973" s="97">
        <v>2135</v>
      </c>
      <c r="C2973" t="s">
        <v>312</v>
      </c>
      <c r="D2973" t="s">
        <v>542</v>
      </c>
      <c r="E2973" t="s">
        <v>17</v>
      </c>
      <c r="F2973" t="s">
        <v>573</v>
      </c>
      <c r="G2973" s="50" t="s">
        <v>574</v>
      </c>
      <c r="H2973" s="50">
        <v>2</v>
      </c>
      <c r="I2973" s="100">
        <v>6.7391919697301583</v>
      </c>
      <c r="J2973" s="52">
        <v>3834.68</v>
      </c>
      <c r="K2973" s="67">
        <f t="shared" si="188"/>
        <v>55174.046354405145</v>
      </c>
      <c r="L2973" s="95">
        <f>+VLOOKUP(E2973,MARGEN!A:B,2,FALSE)</f>
        <v>0.1</v>
      </c>
      <c r="M2973" s="112">
        <f t="shared" si="185"/>
        <v>5517.4046354405145</v>
      </c>
      <c r="N2973" s="113">
        <f t="shared" si="186"/>
        <v>220.69618541762057</v>
      </c>
      <c r="O2973" s="113">
        <f t="shared" si="187"/>
        <v>49435.945533547012</v>
      </c>
    </row>
    <row r="2974" spans="1:15" x14ac:dyDescent="0.25">
      <c r="A2974" s="13">
        <v>44459</v>
      </c>
      <c r="B2974" s="97">
        <v>2015</v>
      </c>
      <c r="C2974" t="s">
        <v>123</v>
      </c>
      <c r="D2974" s="94" t="s">
        <v>396</v>
      </c>
      <c r="E2974" t="s">
        <v>17</v>
      </c>
      <c r="F2974" t="s">
        <v>573</v>
      </c>
      <c r="G2974" s="50" t="s">
        <v>574</v>
      </c>
      <c r="H2974" s="50">
        <v>2</v>
      </c>
      <c r="I2974" s="100">
        <v>6.7391919697301583</v>
      </c>
      <c r="J2974" s="52">
        <v>3834.68</v>
      </c>
      <c r="K2974" s="67">
        <f t="shared" si="188"/>
        <v>52072.928994906957</v>
      </c>
      <c r="L2974" s="95">
        <f>+VLOOKUP(E2974,MARGEN!A:B,2,FALSE)</f>
        <v>0.1</v>
      </c>
      <c r="M2974" s="112">
        <f t="shared" si="185"/>
        <v>5207.2928994906961</v>
      </c>
      <c r="N2974" s="113">
        <f t="shared" si="186"/>
        <v>208.29171597962784</v>
      </c>
      <c r="O2974" s="113">
        <f t="shared" si="187"/>
        <v>46657.344379436632</v>
      </c>
    </row>
    <row r="2975" spans="1:15" x14ac:dyDescent="0.25">
      <c r="A2975" s="13">
        <v>44459</v>
      </c>
      <c r="B2975" s="97">
        <v>1991</v>
      </c>
      <c r="C2975" t="s">
        <v>295</v>
      </c>
      <c r="D2975" s="94" t="s">
        <v>532</v>
      </c>
      <c r="E2975" t="s">
        <v>17</v>
      </c>
      <c r="F2975" t="s">
        <v>573</v>
      </c>
      <c r="G2975" s="50" t="s">
        <v>574</v>
      </c>
      <c r="H2975" s="50">
        <v>2</v>
      </c>
      <c r="I2975" s="100">
        <v>6.7391919697301583</v>
      </c>
      <c r="J2975" s="52">
        <v>3834.68</v>
      </c>
      <c r="K2975" s="67">
        <f t="shared" si="188"/>
        <v>51452.705523007324</v>
      </c>
      <c r="L2975" s="95">
        <f>+VLOOKUP(E2975,MARGEN!A:B,2,FALSE)</f>
        <v>0.1</v>
      </c>
      <c r="M2975" s="112">
        <f t="shared" si="185"/>
        <v>5145.2705523007326</v>
      </c>
      <c r="N2975" s="113">
        <f t="shared" si="186"/>
        <v>205.8108220920293</v>
      </c>
      <c r="O2975" s="113">
        <f t="shared" si="187"/>
        <v>46101.624148614566</v>
      </c>
    </row>
    <row r="2976" spans="1:15" x14ac:dyDescent="0.25">
      <c r="A2976" s="13">
        <v>44459</v>
      </c>
      <c r="B2976" s="97">
        <v>1943</v>
      </c>
      <c r="C2976" t="s">
        <v>155</v>
      </c>
      <c r="D2976" t="s">
        <v>399</v>
      </c>
      <c r="E2976" t="s">
        <v>17</v>
      </c>
      <c r="F2976" t="s">
        <v>573</v>
      </c>
      <c r="G2976" s="50" t="s">
        <v>574</v>
      </c>
      <c r="H2976" s="50">
        <v>2</v>
      </c>
      <c r="I2976" s="100">
        <v>6.7391919697301583</v>
      </c>
      <c r="J2976" s="52">
        <v>3834.68</v>
      </c>
      <c r="K2976" s="67">
        <f t="shared" si="188"/>
        <v>50212.258579208043</v>
      </c>
      <c r="L2976" s="95">
        <f>+VLOOKUP(E2976,MARGEN!A:B,2,FALSE)</f>
        <v>0.1</v>
      </c>
      <c r="M2976" s="112">
        <f t="shared" si="185"/>
        <v>5021.2258579208046</v>
      </c>
      <c r="N2976" s="113">
        <f t="shared" si="186"/>
        <v>200.84903431683216</v>
      </c>
      <c r="O2976" s="113">
        <f t="shared" si="187"/>
        <v>44990.183686970406</v>
      </c>
    </row>
    <row r="2977" spans="1:15" x14ac:dyDescent="0.25">
      <c r="A2977" s="13">
        <v>44459</v>
      </c>
      <c r="B2977" s="97">
        <v>1895</v>
      </c>
      <c r="C2977" t="s">
        <v>125</v>
      </c>
      <c r="D2977" s="94" t="s">
        <v>341</v>
      </c>
      <c r="E2977" t="s">
        <v>17</v>
      </c>
      <c r="F2977" t="s">
        <v>573</v>
      </c>
      <c r="G2977" s="50" t="s">
        <v>574</v>
      </c>
      <c r="H2977" s="50">
        <v>2</v>
      </c>
      <c r="I2977" s="100">
        <v>6.7391919697301583</v>
      </c>
      <c r="J2977" s="52">
        <v>3834.68</v>
      </c>
      <c r="K2977" s="67">
        <f t="shared" si="188"/>
        <v>48971.811635408776</v>
      </c>
      <c r="L2977" s="95">
        <f>+VLOOKUP(E2977,MARGEN!A:B,2,FALSE)</f>
        <v>0.1</v>
      </c>
      <c r="M2977" s="112">
        <f t="shared" si="185"/>
        <v>4897.1811635408776</v>
      </c>
      <c r="N2977" s="113">
        <f t="shared" si="186"/>
        <v>195.88724654163511</v>
      </c>
      <c r="O2977" s="113">
        <f t="shared" si="187"/>
        <v>43878.743225326267</v>
      </c>
    </row>
    <row r="2978" spans="1:15" x14ac:dyDescent="0.25">
      <c r="A2978" s="13">
        <v>44459</v>
      </c>
      <c r="B2978" s="97">
        <v>1847</v>
      </c>
      <c r="C2978" t="s">
        <v>304</v>
      </c>
      <c r="D2978" s="94" t="s">
        <v>522</v>
      </c>
      <c r="E2978" t="s">
        <v>17</v>
      </c>
      <c r="F2978" t="s">
        <v>573</v>
      </c>
      <c r="G2978" s="50" t="s">
        <v>574</v>
      </c>
      <c r="H2978" s="50">
        <v>2</v>
      </c>
      <c r="I2978" s="100">
        <v>6.7391919697301583</v>
      </c>
      <c r="J2978" s="52">
        <v>3834.68</v>
      </c>
      <c r="K2978" s="67">
        <f t="shared" si="188"/>
        <v>47731.364691609502</v>
      </c>
      <c r="L2978" s="95">
        <f>+VLOOKUP(E2978,MARGEN!A:B,2,FALSE)</f>
        <v>0.1</v>
      </c>
      <c r="M2978" s="112">
        <f t="shared" si="185"/>
        <v>4773.1364691609506</v>
      </c>
      <c r="N2978" s="113">
        <f t="shared" si="186"/>
        <v>190.925458766438</v>
      </c>
      <c r="O2978" s="113">
        <f t="shared" si="187"/>
        <v>42767.302763682113</v>
      </c>
    </row>
    <row r="2979" spans="1:15" x14ac:dyDescent="0.25">
      <c r="A2979" s="13">
        <v>44459</v>
      </c>
      <c r="B2979" s="97">
        <v>1799</v>
      </c>
      <c r="C2979" t="s">
        <v>172</v>
      </c>
      <c r="D2979" s="94" t="s">
        <v>371</v>
      </c>
      <c r="E2979" t="s">
        <v>17</v>
      </c>
      <c r="F2979" t="s">
        <v>573</v>
      </c>
      <c r="G2979" s="50" t="s">
        <v>574</v>
      </c>
      <c r="H2979" s="50">
        <v>2</v>
      </c>
      <c r="I2979" s="100">
        <v>6.7391919697301583</v>
      </c>
      <c r="J2979" s="52">
        <v>3834.68</v>
      </c>
      <c r="K2979" s="67">
        <f t="shared" si="188"/>
        <v>46490.917747810228</v>
      </c>
      <c r="L2979" s="95">
        <f>+VLOOKUP(E2979,MARGEN!A:B,2,FALSE)</f>
        <v>0.1</v>
      </c>
      <c r="M2979" s="112">
        <f t="shared" si="185"/>
        <v>4649.0917747810227</v>
      </c>
      <c r="N2979" s="113">
        <f t="shared" si="186"/>
        <v>185.96367099124092</v>
      </c>
      <c r="O2979" s="113">
        <f t="shared" si="187"/>
        <v>41655.862302037967</v>
      </c>
    </row>
    <row r="2980" spans="1:15" x14ac:dyDescent="0.25">
      <c r="A2980" s="13">
        <v>44459</v>
      </c>
      <c r="B2980" s="97">
        <v>1799</v>
      </c>
      <c r="C2980" t="s">
        <v>223</v>
      </c>
      <c r="D2980" s="94" t="s">
        <v>389</v>
      </c>
      <c r="E2980" t="s">
        <v>17</v>
      </c>
      <c r="F2980" t="s">
        <v>558</v>
      </c>
      <c r="G2980" s="50" t="s">
        <v>574</v>
      </c>
      <c r="H2980" s="50">
        <v>2</v>
      </c>
      <c r="I2980" s="100">
        <v>6.7391919697301583</v>
      </c>
      <c r="J2980" s="52">
        <v>3834.68</v>
      </c>
      <c r="K2980" s="67">
        <f t="shared" si="188"/>
        <v>46490.917747810228</v>
      </c>
      <c r="L2980" s="95">
        <f>+VLOOKUP(E2980,MARGEN!A:B,2,FALSE)</f>
        <v>0.1</v>
      </c>
      <c r="M2980" s="112">
        <f t="shared" si="185"/>
        <v>4649.0917747810227</v>
      </c>
      <c r="N2980" s="113">
        <f t="shared" si="186"/>
        <v>185.96367099124092</v>
      </c>
      <c r="O2980" s="113">
        <f t="shared" si="187"/>
        <v>41655.862302037967</v>
      </c>
    </row>
    <row r="2981" spans="1:15" x14ac:dyDescent="0.25">
      <c r="A2981" s="13">
        <v>44459</v>
      </c>
      <c r="B2981" s="97">
        <v>1751</v>
      </c>
      <c r="C2981" t="s">
        <v>154</v>
      </c>
      <c r="D2981" t="s">
        <v>419</v>
      </c>
      <c r="E2981" t="s">
        <v>17</v>
      </c>
      <c r="F2981" t="s">
        <v>573</v>
      </c>
      <c r="G2981" s="50" t="s">
        <v>574</v>
      </c>
      <c r="H2981" s="50">
        <v>2</v>
      </c>
      <c r="I2981" s="100">
        <v>6.7391919697301583</v>
      </c>
      <c r="J2981" s="52">
        <v>3834.68</v>
      </c>
      <c r="K2981" s="67">
        <f t="shared" si="188"/>
        <v>45250.470804010954</v>
      </c>
      <c r="L2981" s="95">
        <f>+VLOOKUP(E2981,MARGEN!A:B,2,FALSE)</f>
        <v>0.1</v>
      </c>
      <c r="M2981" s="112">
        <f t="shared" si="185"/>
        <v>4525.0470804010956</v>
      </c>
      <c r="N2981" s="113">
        <f t="shared" si="186"/>
        <v>181.00188321604381</v>
      </c>
      <c r="O2981" s="113">
        <f t="shared" si="187"/>
        <v>40544.421840393814</v>
      </c>
    </row>
    <row r="2982" spans="1:15" x14ac:dyDescent="0.25">
      <c r="A2982" s="13">
        <v>44459</v>
      </c>
      <c r="B2982" s="97">
        <v>1727</v>
      </c>
      <c r="C2982" t="s">
        <v>170</v>
      </c>
      <c r="D2982" s="94" t="s">
        <v>437</v>
      </c>
      <c r="E2982" t="s">
        <v>17</v>
      </c>
      <c r="F2982" t="s">
        <v>573</v>
      </c>
      <c r="G2982" s="50" t="s">
        <v>574</v>
      </c>
      <c r="H2982" s="50">
        <v>2</v>
      </c>
      <c r="I2982" s="100">
        <v>6.7391919697301583</v>
      </c>
      <c r="J2982" s="52">
        <v>3834.68</v>
      </c>
      <c r="K2982" s="67">
        <f t="shared" si="188"/>
        <v>44630.247332111321</v>
      </c>
      <c r="L2982" s="95">
        <f>+VLOOKUP(E2982,MARGEN!A:B,2,FALSE)</f>
        <v>0.1</v>
      </c>
      <c r="M2982" s="112">
        <f t="shared" si="185"/>
        <v>4463.0247332111321</v>
      </c>
      <c r="N2982" s="113">
        <f t="shared" si="186"/>
        <v>178.5209893284453</v>
      </c>
      <c r="O2982" s="113">
        <f t="shared" si="187"/>
        <v>39988.701609571741</v>
      </c>
    </row>
    <row r="2983" spans="1:15" x14ac:dyDescent="0.25">
      <c r="A2983" s="13">
        <v>44459</v>
      </c>
      <c r="B2983" s="97">
        <v>1727</v>
      </c>
      <c r="C2983" t="s">
        <v>174</v>
      </c>
      <c r="D2983" s="94" t="s">
        <v>395</v>
      </c>
      <c r="E2983" t="s">
        <v>17</v>
      </c>
      <c r="F2983" t="s">
        <v>573</v>
      </c>
      <c r="G2983" s="50" t="s">
        <v>574</v>
      </c>
      <c r="H2983" s="50">
        <v>2</v>
      </c>
      <c r="I2983" s="100">
        <v>6.7391919697301583</v>
      </c>
      <c r="J2983" s="52">
        <v>3834.68</v>
      </c>
      <c r="K2983" s="67">
        <f t="shared" si="188"/>
        <v>44630.247332111321</v>
      </c>
      <c r="L2983" s="95">
        <f>+VLOOKUP(E2983,MARGEN!A:B,2,FALSE)</f>
        <v>0.1</v>
      </c>
      <c r="M2983" s="112">
        <f t="shared" si="185"/>
        <v>4463.0247332111321</v>
      </c>
      <c r="N2983" s="113">
        <f t="shared" si="186"/>
        <v>178.5209893284453</v>
      </c>
      <c r="O2983" s="113">
        <f t="shared" si="187"/>
        <v>39988.701609571741</v>
      </c>
    </row>
    <row r="2984" spans="1:15" x14ac:dyDescent="0.25">
      <c r="A2984" s="13">
        <v>44459</v>
      </c>
      <c r="B2984" s="97">
        <v>1703</v>
      </c>
      <c r="C2984" t="s">
        <v>286</v>
      </c>
      <c r="D2984" s="94" t="s">
        <v>531</v>
      </c>
      <c r="E2984" t="s">
        <v>17</v>
      </c>
      <c r="F2984" t="s">
        <v>558</v>
      </c>
      <c r="G2984" s="50" t="s">
        <v>574</v>
      </c>
      <c r="H2984" s="50">
        <v>2</v>
      </c>
      <c r="I2984" s="100">
        <v>6.7391919697301583</v>
      </c>
      <c r="J2984" s="52">
        <v>3834.68</v>
      </c>
      <c r="K2984" s="67">
        <f t="shared" si="188"/>
        <v>44010.023860211688</v>
      </c>
      <c r="L2984" s="95">
        <f>+VLOOKUP(E2984,MARGEN!A:B,2,FALSE)</f>
        <v>0.1</v>
      </c>
      <c r="M2984" s="112">
        <f t="shared" si="185"/>
        <v>4401.0023860211686</v>
      </c>
      <c r="N2984" s="113">
        <f t="shared" si="186"/>
        <v>176.04009544084676</v>
      </c>
      <c r="O2984" s="113">
        <f t="shared" si="187"/>
        <v>39432.981378749675</v>
      </c>
    </row>
    <row r="2985" spans="1:15" x14ac:dyDescent="0.25">
      <c r="A2985" s="13">
        <v>44459</v>
      </c>
      <c r="B2985" s="97">
        <v>1703</v>
      </c>
      <c r="C2985" t="s">
        <v>296</v>
      </c>
      <c r="D2985" s="94" t="s">
        <v>498</v>
      </c>
      <c r="E2985" t="s">
        <v>17</v>
      </c>
      <c r="F2985" t="s">
        <v>573</v>
      </c>
      <c r="G2985" s="50" t="s">
        <v>574</v>
      </c>
      <c r="H2985" s="50">
        <v>2</v>
      </c>
      <c r="I2985" s="100">
        <v>6.7391919697301583</v>
      </c>
      <c r="J2985" s="52">
        <v>3834.68</v>
      </c>
      <c r="K2985" s="67">
        <f t="shared" si="188"/>
        <v>44010.023860211688</v>
      </c>
      <c r="L2985" s="95">
        <f>+VLOOKUP(E2985,MARGEN!A:B,2,FALSE)</f>
        <v>0.1</v>
      </c>
      <c r="M2985" s="112">
        <f t="shared" si="185"/>
        <v>4401.0023860211686</v>
      </c>
      <c r="N2985" s="113">
        <f t="shared" si="186"/>
        <v>176.04009544084676</v>
      </c>
      <c r="O2985" s="113">
        <f t="shared" si="187"/>
        <v>39432.981378749675</v>
      </c>
    </row>
    <row r="2986" spans="1:15" x14ac:dyDescent="0.25">
      <c r="A2986" s="13">
        <v>44459</v>
      </c>
      <c r="B2986" s="97">
        <v>1679</v>
      </c>
      <c r="C2986" s="88" t="s">
        <v>120</v>
      </c>
      <c r="D2986" t="s">
        <v>452</v>
      </c>
      <c r="E2986" t="s">
        <v>17</v>
      </c>
      <c r="F2986" t="s">
        <v>573</v>
      </c>
      <c r="G2986" s="50" t="s">
        <v>574</v>
      </c>
      <c r="H2986" s="50">
        <v>2</v>
      </c>
      <c r="I2986" s="100">
        <v>6.7391919697301583</v>
      </c>
      <c r="J2986" s="52">
        <v>3834.68</v>
      </c>
      <c r="K2986" s="67">
        <f t="shared" si="188"/>
        <v>43389.800388312047</v>
      </c>
      <c r="L2986" s="95">
        <f>+VLOOKUP(E2986,MARGEN!A:B,2,FALSE)</f>
        <v>0.1</v>
      </c>
      <c r="M2986" s="112">
        <f t="shared" si="185"/>
        <v>4338.9800388312051</v>
      </c>
      <c r="N2986" s="113">
        <f t="shared" si="186"/>
        <v>173.55920155324819</v>
      </c>
      <c r="O2986" s="113">
        <f t="shared" si="187"/>
        <v>38877.261147927595</v>
      </c>
    </row>
    <row r="2987" spans="1:15" x14ac:dyDescent="0.25">
      <c r="A2987" s="13">
        <v>44459</v>
      </c>
      <c r="B2987" s="51">
        <v>1679</v>
      </c>
      <c r="C2987" s="66" t="s">
        <v>121</v>
      </c>
      <c r="D2987" s="66" t="s">
        <v>381</v>
      </c>
      <c r="E2987" t="s">
        <v>17</v>
      </c>
      <c r="F2987" s="50" t="s">
        <v>573</v>
      </c>
      <c r="G2987" s="50" t="s">
        <v>574</v>
      </c>
      <c r="H2987" s="50">
        <v>2</v>
      </c>
      <c r="I2987" s="100">
        <v>6.7391919697301583</v>
      </c>
      <c r="J2987" s="52">
        <v>3834.68</v>
      </c>
      <c r="K2987" s="67">
        <f t="shared" si="188"/>
        <v>43389.800388312047</v>
      </c>
      <c r="L2987" s="95">
        <f>+VLOOKUP(E2987,MARGEN!A:B,2,FALSE)</f>
        <v>0.1</v>
      </c>
      <c r="M2987" s="112">
        <f t="shared" si="185"/>
        <v>4338.9800388312051</v>
      </c>
      <c r="N2987" s="113">
        <f t="shared" si="186"/>
        <v>173.55920155324819</v>
      </c>
      <c r="O2987" s="113">
        <f t="shared" si="187"/>
        <v>38877.261147927595</v>
      </c>
    </row>
    <row r="2988" spans="1:15" x14ac:dyDescent="0.25">
      <c r="A2988" s="13">
        <v>44459</v>
      </c>
      <c r="B2988" s="97">
        <v>1679</v>
      </c>
      <c r="C2988" t="s">
        <v>287</v>
      </c>
      <c r="D2988" s="94" t="s">
        <v>496</v>
      </c>
      <c r="E2988" t="s">
        <v>17</v>
      </c>
      <c r="F2988" t="s">
        <v>573</v>
      </c>
      <c r="G2988" s="50" t="s">
        <v>574</v>
      </c>
      <c r="H2988" s="50">
        <v>2</v>
      </c>
      <c r="I2988" s="100">
        <v>6.7391919697301583</v>
      </c>
      <c r="J2988" s="52">
        <v>3834.68</v>
      </c>
      <c r="K2988" s="67">
        <f t="shared" si="188"/>
        <v>43389.800388312047</v>
      </c>
      <c r="L2988" s="95">
        <f>+VLOOKUP(E2988,MARGEN!A:B,2,FALSE)</f>
        <v>0.1</v>
      </c>
      <c r="M2988" s="112">
        <f t="shared" si="185"/>
        <v>4338.9800388312051</v>
      </c>
      <c r="N2988" s="113">
        <f t="shared" si="186"/>
        <v>173.55920155324819</v>
      </c>
      <c r="O2988" s="113">
        <f t="shared" si="187"/>
        <v>38877.261147927595</v>
      </c>
    </row>
    <row r="2989" spans="1:15" x14ac:dyDescent="0.25">
      <c r="A2989" s="13">
        <v>44459</v>
      </c>
      <c r="B2989" s="97">
        <v>1679</v>
      </c>
      <c r="C2989" t="s">
        <v>194</v>
      </c>
      <c r="D2989" s="94" t="s">
        <v>417</v>
      </c>
      <c r="E2989" t="s">
        <v>17</v>
      </c>
      <c r="F2989" t="s">
        <v>573</v>
      </c>
      <c r="G2989" s="50" t="s">
        <v>574</v>
      </c>
      <c r="H2989" s="50">
        <v>2</v>
      </c>
      <c r="I2989" s="100">
        <v>6.7391919697301583</v>
      </c>
      <c r="J2989" s="52">
        <v>3834.68</v>
      </c>
      <c r="K2989" s="67">
        <f t="shared" si="188"/>
        <v>43389.800388312047</v>
      </c>
      <c r="L2989" s="95">
        <f>+VLOOKUP(E2989,MARGEN!A:B,2,FALSE)</f>
        <v>0.1</v>
      </c>
      <c r="M2989" s="112">
        <f t="shared" si="185"/>
        <v>4338.9800388312051</v>
      </c>
      <c r="N2989" s="113">
        <f t="shared" si="186"/>
        <v>173.55920155324819</v>
      </c>
      <c r="O2989" s="113">
        <f t="shared" si="187"/>
        <v>38877.261147927595</v>
      </c>
    </row>
    <row r="2990" spans="1:15" x14ac:dyDescent="0.25">
      <c r="A2990" s="13">
        <v>44459</v>
      </c>
      <c r="B2990" s="97">
        <v>1679</v>
      </c>
      <c r="C2990" t="s">
        <v>288</v>
      </c>
      <c r="D2990" s="94" t="s">
        <v>530</v>
      </c>
      <c r="E2990" t="s">
        <v>17</v>
      </c>
      <c r="F2990" t="s">
        <v>573</v>
      </c>
      <c r="G2990" s="50" t="s">
        <v>574</v>
      </c>
      <c r="H2990" s="50">
        <v>2</v>
      </c>
      <c r="I2990" s="100">
        <v>6.7391919697301583</v>
      </c>
      <c r="J2990" s="52">
        <v>3834.68</v>
      </c>
      <c r="K2990" s="67">
        <f t="shared" si="188"/>
        <v>43389.800388312047</v>
      </c>
      <c r="L2990" s="95">
        <f>+VLOOKUP(E2990,MARGEN!A:B,2,FALSE)</f>
        <v>0.1</v>
      </c>
      <c r="M2990" s="112">
        <f t="shared" si="185"/>
        <v>4338.9800388312051</v>
      </c>
      <c r="N2990" s="113">
        <f t="shared" si="186"/>
        <v>173.55920155324819</v>
      </c>
      <c r="O2990" s="113">
        <f t="shared" si="187"/>
        <v>38877.261147927595</v>
      </c>
    </row>
    <row r="2991" spans="1:15" x14ac:dyDescent="0.25">
      <c r="A2991" s="13">
        <v>44459</v>
      </c>
      <c r="B2991" s="97">
        <v>1631</v>
      </c>
      <c r="C2991" t="s">
        <v>196</v>
      </c>
      <c r="D2991" s="94" t="s">
        <v>413</v>
      </c>
      <c r="E2991" t="s">
        <v>17</v>
      </c>
      <c r="F2991" t="s">
        <v>573</v>
      </c>
      <c r="G2991" s="50" t="s">
        <v>574</v>
      </c>
      <c r="H2991" s="50">
        <v>2</v>
      </c>
      <c r="I2991" s="100">
        <v>6.7391919697301583</v>
      </c>
      <c r="J2991" s="52">
        <v>3834.68</v>
      </c>
      <c r="K2991" s="67">
        <f t="shared" si="188"/>
        <v>42149.353444512773</v>
      </c>
      <c r="L2991" s="95">
        <f>+VLOOKUP(E2991,MARGEN!A:B,2,FALSE)</f>
        <v>0.1</v>
      </c>
      <c r="M2991" s="112">
        <f t="shared" si="185"/>
        <v>4214.9353444512772</v>
      </c>
      <c r="N2991" s="113">
        <f t="shared" si="186"/>
        <v>168.59741377805111</v>
      </c>
      <c r="O2991" s="113">
        <f t="shared" si="187"/>
        <v>37765.820686283449</v>
      </c>
    </row>
    <row r="2992" spans="1:15" x14ac:dyDescent="0.25">
      <c r="A2992" s="13">
        <v>44459</v>
      </c>
      <c r="B2992" s="97">
        <v>1631</v>
      </c>
      <c r="C2992" t="s">
        <v>209</v>
      </c>
      <c r="D2992" s="94" t="s">
        <v>441</v>
      </c>
      <c r="E2992" t="s">
        <v>17</v>
      </c>
      <c r="F2992" t="s">
        <v>573</v>
      </c>
      <c r="G2992" s="50" t="s">
        <v>574</v>
      </c>
      <c r="H2992" s="50">
        <v>2</v>
      </c>
      <c r="I2992" s="100">
        <v>6.7391919697301583</v>
      </c>
      <c r="J2992" s="52">
        <v>3834.68</v>
      </c>
      <c r="K2992" s="67">
        <f t="shared" si="188"/>
        <v>42149.353444512773</v>
      </c>
      <c r="L2992" s="95">
        <f>+VLOOKUP(E2992,MARGEN!A:B,2,FALSE)</f>
        <v>0.1</v>
      </c>
      <c r="M2992" s="112">
        <f t="shared" si="185"/>
        <v>4214.9353444512772</v>
      </c>
      <c r="N2992" s="113">
        <f t="shared" si="186"/>
        <v>168.59741377805111</v>
      </c>
      <c r="O2992" s="113">
        <f t="shared" si="187"/>
        <v>37765.820686283449</v>
      </c>
    </row>
    <row r="2993" spans="1:15" x14ac:dyDescent="0.25">
      <c r="A2993" s="13">
        <v>44459</v>
      </c>
      <c r="B2993" s="97">
        <v>1607</v>
      </c>
      <c r="C2993" t="s">
        <v>285</v>
      </c>
      <c r="D2993" s="94" t="s">
        <v>534</v>
      </c>
      <c r="E2993" t="s">
        <v>17</v>
      </c>
      <c r="F2993" t="s">
        <v>558</v>
      </c>
      <c r="G2993" s="50" t="s">
        <v>574</v>
      </c>
      <c r="H2993" s="50">
        <v>2</v>
      </c>
      <c r="I2993" s="100">
        <v>6.7391919697301583</v>
      </c>
      <c r="J2993" s="52">
        <v>3834.68</v>
      </c>
      <c r="K2993" s="67">
        <f t="shared" si="188"/>
        <v>41529.12997261314</v>
      </c>
      <c r="L2993" s="95">
        <f>+VLOOKUP(E2993,MARGEN!A:B,2,FALSE)</f>
        <v>0.1</v>
      </c>
      <c r="M2993" s="112">
        <f t="shared" si="185"/>
        <v>4152.9129972613146</v>
      </c>
      <c r="N2993" s="113">
        <f t="shared" si="186"/>
        <v>166.11651989045257</v>
      </c>
      <c r="O2993" s="113">
        <f t="shared" si="187"/>
        <v>37210.100455461376</v>
      </c>
    </row>
    <row r="2994" spans="1:15" x14ac:dyDescent="0.25">
      <c r="A2994" s="13">
        <v>44459</v>
      </c>
      <c r="B2994" s="97">
        <v>1607</v>
      </c>
      <c r="C2994" t="s">
        <v>171</v>
      </c>
      <c r="D2994" s="94" t="s">
        <v>387</v>
      </c>
      <c r="E2994" t="s">
        <v>17</v>
      </c>
      <c r="F2994" t="s">
        <v>558</v>
      </c>
      <c r="G2994" s="50" t="s">
        <v>574</v>
      </c>
      <c r="H2994" s="50">
        <v>2</v>
      </c>
      <c r="I2994" s="100">
        <v>6.7391919697301583</v>
      </c>
      <c r="J2994" s="52">
        <v>3834.68</v>
      </c>
      <c r="K2994" s="67">
        <f t="shared" si="188"/>
        <v>41529.12997261314</v>
      </c>
      <c r="L2994" s="95">
        <f>+VLOOKUP(E2994,MARGEN!A:B,2,FALSE)</f>
        <v>0.1</v>
      </c>
      <c r="M2994" s="112">
        <f t="shared" si="185"/>
        <v>4152.9129972613146</v>
      </c>
      <c r="N2994" s="113">
        <f t="shared" si="186"/>
        <v>166.11651989045257</v>
      </c>
      <c r="O2994" s="113">
        <f t="shared" si="187"/>
        <v>37210.100455461376</v>
      </c>
    </row>
    <row r="2995" spans="1:15" x14ac:dyDescent="0.25">
      <c r="A2995" s="13">
        <v>44459</v>
      </c>
      <c r="B2995" s="97">
        <v>1607</v>
      </c>
      <c r="C2995" t="s">
        <v>180</v>
      </c>
      <c r="D2995" s="94" t="s">
        <v>447</v>
      </c>
      <c r="E2995" t="s">
        <v>17</v>
      </c>
      <c r="F2995" t="s">
        <v>573</v>
      </c>
      <c r="G2995" s="50" t="s">
        <v>574</v>
      </c>
      <c r="H2995" s="50">
        <v>2</v>
      </c>
      <c r="I2995" s="100">
        <v>6.7391919697301583</v>
      </c>
      <c r="J2995" s="52">
        <v>3834.68</v>
      </c>
      <c r="K2995" s="67">
        <f t="shared" si="188"/>
        <v>41529.12997261314</v>
      </c>
      <c r="L2995" s="95">
        <f>+VLOOKUP(E2995,MARGEN!A:B,2,FALSE)</f>
        <v>0.1</v>
      </c>
      <c r="M2995" s="112">
        <f t="shared" si="185"/>
        <v>4152.9129972613146</v>
      </c>
      <c r="N2995" s="113">
        <f t="shared" si="186"/>
        <v>166.11651989045257</v>
      </c>
      <c r="O2995" s="113">
        <f t="shared" si="187"/>
        <v>37210.100455461376</v>
      </c>
    </row>
    <row r="2996" spans="1:15" x14ac:dyDescent="0.25">
      <c r="A2996" s="13">
        <v>44459</v>
      </c>
      <c r="B2996" s="97">
        <v>1559</v>
      </c>
      <c r="C2996" t="s">
        <v>552</v>
      </c>
      <c r="D2996" s="94" t="s">
        <v>563</v>
      </c>
      <c r="E2996" t="s">
        <v>17</v>
      </c>
      <c r="F2996" t="s">
        <v>558</v>
      </c>
      <c r="G2996" s="50" t="s">
        <v>574</v>
      </c>
      <c r="H2996" s="50">
        <v>2</v>
      </c>
      <c r="I2996" s="100">
        <v>6.7391919697301583</v>
      </c>
      <c r="J2996" s="52">
        <v>3834.68</v>
      </c>
      <c r="K2996" s="67">
        <f t="shared" si="188"/>
        <v>40288.683028813866</v>
      </c>
      <c r="L2996" s="95">
        <f>+VLOOKUP(E2996,MARGEN!A:B,2,FALSE)</f>
        <v>0.1</v>
      </c>
      <c r="M2996" s="112">
        <f t="shared" si="185"/>
        <v>4028.8683028813866</v>
      </c>
      <c r="N2996" s="113">
        <f t="shared" si="186"/>
        <v>161.15473211525546</v>
      </c>
      <c r="O2996" s="113">
        <f t="shared" si="187"/>
        <v>36098.659993817222</v>
      </c>
    </row>
    <row r="2997" spans="1:15" x14ac:dyDescent="0.25">
      <c r="A2997" s="13">
        <v>44459</v>
      </c>
      <c r="B2997" s="97">
        <v>1559</v>
      </c>
      <c r="C2997" t="s">
        <v>176</v>
      </c>
      <c r="D2997" t="s">
        <v>430</v>
      </c>
      <c r="E2997" t="s">
        <v>17</v>
      </c>
      <c r="F2997" t="s">
        <v>573</v>
      </c>
      <c r="G2997" s="50" t="s">
        <v>574</v>
      </c>
      <c r="H2997" s="50">
        <v>2</v>
      </c>
      <c r="I2997" s="100">
        <v>6.7391919697301583</v>
      </c>
      <c r="J2997" s="52">
        <v>3834.68</v>
      </c>
      <c r="K2997" s="67">
        <f t="shared" si="188"/>
        <v>40288.683028813866</v>
      </c>
      <c r="L2997" s="95">
        <f>+VLOOKUP(E2997,MARGEN!A:B,2,FALSE)</f>
        <v>0.1</v>
      </c>
      <c r="M2997" s="112">
        <f t="shared" si="185"/>
        <v>4028.8683028813866</v>
      </c>
      <c r="N2997" s="113">
        <f t="shared" si="186"/>
        <v>161.15473211525546</v>
      </c>
      <c r="O2997" s="113">
        <f t="shared" si="187"/>
        <v>36098.659993817222</v>
      </c>
    </row>
    <row r="2998" spans="1:15" x14ac:dyDescent="0.25">
      <c r="A2998" s="13">
        <v>44459</v>
      </c>
      <c r="B2998" s="97">
        <v>1535</v>
      </c>
      <c r="C2998" t="s">
        <v>137</v>
      </c>
      <c r="D2998" s="94" t="s">
        <v>418</v>
      </c>
      <c r="E2998" t="s">
        <v>17</v>
      </c>
      <c r="F2998" t="s">
        <v>573</v>
      </c>
      <c r="G2998" s="50" t="s">
        <v>574</v>
      </c>
      <c r="H2998" s="50">
        <v>2</v>
      </c>
      <c r="I2998" s="100">
        <v>6.7391919697301583</v>
      </c>
      <c r="J2998" s="52">
        <v>3834.68</v>
      </c>
      <c r="K2998" s="67">
        <f t="shared" si="188"/>
        <v>39668.459556914233</v>
      </c>
      <c r="L2998" s="95">
        <f>+VLOOKUP(E2998,MARGEN!A:B,2,FALSE)</f>
        <v>0.1</v>
      </c>
      <c r="M2998" s="112">
        <f t="shared" si="185"/>
        <v>3966.8459556914236</v>
      </c>
      <c r="N2998" s="113">
        <f t="shared" si="186"/>
        <v>158.67383822765694</v>
      </c>
      <c r="O2998" s="113">
        <f t="shared" si="187"/>
        <v>35542.939762995149</v>
      </c>
    </row>
    <row r="2999" spans="1:15" x14ac:dyDescent="0.25">
      <c r="A2999" s="13">
        <v>44459</v>
      </c>
      <c r="B2999" s="97">
        <v>1511</v>
      </c>
      <c r="C2999" t="s">
        <v>152</v>
      </c>
      <c r="D2999" s="94" t="s">
        <v>425</v>
      </c>
      <c r="E2999" t="s">
        <v>17</v>
      </c>
      <c r="F2999" t="s">
        <v>573</v>
      </c>
      <c r="G2999" s="50" t="s">
        <v>574</v>
      </c>
      <c r="H2999" s="50">
        <v>2</v>
      </c>
      <c r="I2999" s="100">
        <v>6.7391919697301583</v>
      </c>
      <c r="J2999" s="52">
        <v>3834.68</v>
      </c>
      <c r="K2999" s="67">
        <f t="shared" si="188"/>
        <v>39048.2360850146</v>
      </c>
      <c r="L2999" s="95">
        <f>+VLOOKUP(E2999,MARGEN!A:B,2,FALSE)</f>
        <v>0.1</v>
      </c>
      <c r="M2999" s="112">
        <f t="shared" si="185"/>
        <v>3904.8236085014601</v>
      </c>
      <c r="N2999" s="113">
        <f t="shared" si="186"/>
        <v>156.1929443400584</v>
      </c>
      <c r="O2999" s="113">
        <f t="shared" si="187"/>
        <v>34987.219532173083</v>
      </c>
    </row>
    <row r="3000" spans="1:15" x14ac:dyDescent="0.25">
      <c r="A3000" s="13">
        <v>44459</v>
      </c>
      <c r="B3000" s="97">
        <v>1511</v>
      </c>
      <c r="C3000" t="s">
        <v>291</v>
      </c>
      <c r="D3000" s="94" t="s">
        <v>492</v>
      </c>
      <c r="E3000" t="s">
        <v>17</v>
      </c>
      <c r="F3000" t="s">
        <v>573</v>
      </c>
      <c r="G3000" s="50" t="s">
        <v>574</v>
      </c>
      <c r="H3000" s="50">
        <v>2</v>
      </c>
      <c r="I3000" s="100">
        <v>6.7391919697301583</v>
      </c>
      <c r="J3000" s="52">
        <v>3834.68</v>
      </c>
      <c r="K3000" s="67">
        <f t="shared" si="188"/>
        <v>39048.2360850146</v>
      </c>
      <c r="L3000" s="95">
        <f>+VLOOKUP(E3000,MARGEN!A:B,2,FALSE)</f>
        <v>0.1</v>
      </c>
      <c r="M3000" s="112">
        <f t="shared" si="185"/>
        <v>3904.8236085014601</v>
      </c>
      <c r="N3000" s="113">
        <f t="shared" si="186"/>
        <v>156.1929443400584</v>
      </c>
      <c r="O3000" s="113">
        <f t="shared" si="187"/>
        <v>34987.219532173083</v>
      </c>
    </row>
    <row r="3001" spans="1:15" x14ac:dyDescent="0.25">
      <c r="A3001" s="13">
        <v>44459</v>
      </c>
      <c r="B3001" s="97">
        <v>1487</v>
      </c>
      <c r="C3001" t="s">
        <v>294</v>
      </c>
      <c r="D3001" t="s">
        <v>527</v>
      </c>
      <c r="E3001" t="s">
        <v>17</v>
      </c>
      <c r="F3001" t="s">
        <v>573</v>
      </c>
      <c r="G3001" s="50" t="s">
        <v>574</v>
      </c>
      <c r="H3001" s="50">
        <v>2</v>
      </c>
      <c r="I3001" s="100">
        <v>6.7391919697301583</v>
      </c>
      <c r="J3001" s="52">
        <v>3834.68</v>
      </c>
      <c r="K3001" s="67">
        <f t="shared" si="188"/>
        <v>38428.012613114959</v>
      </c>
      <c r="L3001" s="95">
        <f>+VLOOKUP(E3001,MARGEN!A:B,2,FALSE)</f>
        <v>0.1</v>
      </c>
      <c r="M3001" s="112">
        <f t="shared" si="185"/>
        <v>3842.8012613114961</v>
      </c>
      <c r="N3001" s="113">
        <f t="shared" si="186"/>
        <v>153.71205045245983</v>
      </c>
      <c r="O3001" s="113">
        <f t="shared" si="187"/>
        <v>34431.499301351003</v>
      </c>
    </row>
    <row r="3002" spans="1:15" x14ac:dyDescent="0.25">
      <c r="A3002" s="13">
        <v>44459</v>
      </c>
      <c r="B3002" s="97">
        <v>1487</v>
      </c>
      <c r="C3002" t="s">
        <v>169</v>
      </c>
      <c r="D3002" t="s">
        <v>351</v>
      </c>
      <c r="E3002" t="s">
        <v>17</v>
      </c>
      <c r="F3002" t="s">
        <v>573</v>
      </c>
      <c r="G3002" s="50" t="s">
        <v>574</v>
      </c>
      <c r="H3002" s="50">
        <v>2</v>
      </c>
      <c r="I3002" s="100">
        <v>6.7391919697301583</v>
      </c>
      <c r="J3002" s="52">
        <v>3834.68</v>
      </c>
      <c r="K3002" s="67">
        <f t="shared" si="188"/>
        <v>38428.012613114959</v>
      </c>
      <c r="L3002" s="95">
        <f>+VLOOKUP(E3002,MARGEN!A:B,2,FALSE)</f>
        <v>0.1</v>
      </c>
      <c r="M3002" s="112">
        <f t="shared" si="185"/>
        <v>3842.8012613114961</v>
      </c>
      <c r="N3002" s="113">
        <f t="shared" si="186"/>
        <v>153.71205045245983</v>
      </c>
      <c r="O3002" s="113">
        <f t="shared" si="187"/>
        <v>34431.499301351003</v>
      </c>
    </row>
    <row r="3003" spans="1:15" x14ac:dyDescent="0.25">
      <c r="A3003" s="13">
        <v>44459</v>
      </c>
      <c r="B3003" s="97">
        <v>1463</v>
      </c>
      <c r="C3003" t="s">
        <v>119</v>
      </c>
      <c r="D3003" s="94" t="s">
        <v>377</v>
      </c>
      <c r="E3003" t="s">
        <v>17</v>
      </c>
      <c r="F3003" t="s">
        <v>573</v>
      </c>
      <c r="G3003" s="50" t="s">
        <v>574</v>
      </c>
      <c r="H3003" s="50">
        <v>2</v>
      </c>
      <c r="I3003" s="100">
        <v>6.7391919697301583</v>
      </c>
      <c r="J3003" s="52">
        <v>3834.68</v>
      </c>
      <c r="K3003" s="67">
        <f t="shared" si="188"/>
        <v>37807.789141215326</v>
      </c>
      <c r="L3003" s="95">
        <f>+VLOOKUP(E3003,MARGEN!A:B,2,FALSE)</f>
        <v>0.1</v>
      </c>
      <c r="M3003" s="112">
        <f t="shared" si="185"/>
        <v>3780.7789141215326</v>
      </c>
      <c r="N3003" s="113">
        <f t="shared" si="186"/>
        <v>151.23115656486129</v>
      </c>
      <c r="O3003" s="113">
        <f t="shared" si="187"/>
        <v>33875.77907052893</v>
      </c>
    </row>
    <row r="3004" spans="1:15" x14ac:dyDescent="0.25">
      <c r="A3004" s="13">
        <v>44459</v>
      </c>
      <c r="B3004" s="97">
        <v>1463</v>
      </c>
      <c r="C3004" t="s">
        <v>297</v>
      </c>
      <c r="D3004" s="94" t="s">
        <v>526</v>
      </c>
      <c r="E3004" t="s">
        <v>17</v>
      </c>
      <c r="F3004" t="s">
        <v>573</v>
      </c>
      <c r="G3004" s="50" t="s">
        <v>574</v>
      </c>
      <c r="H3004" s="50">
        <v>2</v>
      </c>
      <c r="I3004" s="100">
        <v>6.7391919697301583</v>
      </c>
      <c r="J3004" s="52">
        <v>3834.68</v>
      </c>
      <c r="K3004" s="67">
        <f t="shared" si="188"/>
        <v>37807.789141215326</v>
      </c>
      <c r="L3004" s="95">
        <f>+VLOOKUP(E3004,MARGEN!A:B,2,FALSE)</f>
        <v>0.1</v>
      </c>
      <c r="M3004" s="112">
        <f t="shared" si="185"/>
        <v>3780.7789141215326</v>
      </c>
      <c r="N3004" s="113">
        <f t="shared" si="186"/>
        <v>151.23115656486129</v>
      </c>
      <c r="O3004" s="113">
        <f t="shared" si="187"/>
        <v>33875.77907052893</v>
      </c>
    </row>
    <row r="3005" spans="1:15" x14ac:dyDescent="0.25">
      <c r="A3005" s="13">
        <v>44459</v>
      </c>
      <c r="B3005" s="97">
        <v>1439</v>
      </c>
      <c r="C3005" t="s">
        <v>200</v>
      </c>
      <c r="D3005" s="94" t="s">
        <v>428</v>
      </c>
      <c r="E3005" t="s">
        <v>17</v>
      </c>
      <c r="F3005" t="s">
        <v>573</v>
      </c>
      <c r="G3005" s="50" t="s">
        <v>574</v>
      </c>
      <c r="H3005" s="50">
        <v>2</v>
      </c>
      <c r="I3005" s="100">
        <v>6.7391919697301583</v>
      </c>
      <c r="J3005" s="52">
        <v>3834.68</v>
      </c>
      <c r="K3005" s="67">
        <f t="shared" si="188"/>
        <v>37187.565669315685</v>
      </c>
      <c r="L3005" s="95">
        <f>+VLOOKUP(E3005,MARGEN!A:B,2,FALSE)</f>
        <v>0.1</v>
      </c>
      <c r="M3005" s="112">
        <f t="shared" si="185"/>
        <v>3718.7565669315686</v>
      </c>
      <c r="N3005" s="113">
        <f t="shared" si="186"/>
        <v>148.75026267726275</v>
      </c>
      <c r="O3005" s="113">
        <f t="shared" si="187"/>
        <v>33320.058839706857</v>
      </c>
    </row>
    <row r="3006" spans="1:15" x14ac:dyDescent="0.25">
      <c r="A3006" s="13">
        <v>44459</v>
      </c>
      <c r="B3006" s="97">
        <v>1439</v>
      </c>
      <c r="C3006" t="s">
        <v>168</v>
      </c>
      <c r="D3006" s="94" t="s">
        <v>352</v>
      </c>
      <c r="E3006" t="s">
        <v>17</v>
      </c>
      <c r="F3006" t="s">
        <v>573</v>
      </c>
      <c r="G3006" s="50" t="s">
        <v>574</v>
      </c>
      <c r="H3006" s="50">
        <v>2</v>
      </c>
      <c r="I3006" s="100">
        <v>6.7391919697301583</v>
      </c>
      <c r="J3006" s="52">
        <v>3834.68</v>
      </c>
      <c r="K3006" s="67">
        <f t="shared" si="188"/>
        <v>37187.565669315685</v>
      </c>
      <c r="L3006" s="95">
        <f>+VLOOKUP(E3006,MARGEN!A:B,2,FALSE)</f>
        <v>0.1</v>
      </c>
      <c r="M3006" s="112">
        <f t="shared" si="185"/>
        <v>3718.7565669315686</v>
      </c>
      <c r="N3006" s="113">
        <f t="shared" si="186"/>
        <v>148.75026267726275</v>
      </c>
      <c r="O3006" s="113">
        <f t="shared" si="187"/>
        <v>33320.058839706857</v>
      </c>
    </row>
    <row r="3007" spans="1:15" x14ac:dyDescent="0.25">
      <c r="A3007" s="13">
        <v>44459</v>
      </c>
      <c r="B3007" s="97">
        <v>1391</v>
      </c>
      <c r="C3007" t="s">
        <v>210</v>
      </c>
      <c r="D3007" s="94" t="s">
        <v>402</v>
      </c>
      <c r="E3007" t="s">
        <v>17</v>
      </c>
      <c r="F3007" t="s">
        <v>573</v>
      </c>
      <c r="G3007" s="50" t="s">
        <v>574</v>
      </c>
      <c r="H3007" s="50">
        <v>2</v>
      </c>
      <c r="I3007" s="100">
        <v>6.7391919697301583</v>
      </c>
      <c r="J3007" s="52">
        <v>3834.68</v>
      </c>
      <c r="K3007" s="67">
        <f t="shared" si="188"/>
        <v>35947.118725516419</v>
      </c>
      <c r="L3007" s="95">
        <f>+VLOOKUP(E3007,MARGEN!A:B,2,FALSE)</f>
        <v>0.1</v>
      </c>
      <c r="M3007" s="112">
        <f t="shared" si="185"/>
        <v>3594.711872551642</v>
      </c>
      <c r="N3007" s="113">
        <f t="shared" si="186"/>
        <v>143.78847490206567</v>
      </c>
      <c r="O3007" s="113">
        <f t="shared" si="187"/>
        <v>32208.618378062711</v>
      </c>
    </row>
    <row r="3008" spans="1:15" x14ac:dyDescent="0.25">
      <c r="A3008" s="13">
        <v>44459</v>
      </c>
      <c r="B3008" s="97">
        <v>1367</v>
      </c>
      <c r="C3008" t="s">
        <v>173</v>
      </c>
      <c r="D3008" s="94" t="s">
        <v>451</v>
      </c>
      <c r="E3008" t="s">
        <v>17</v>
      </c>
      <c r="F3008" t="s">
        <v>573</v>
      </c>
      <c r="G3008" s="50" t="s">
        <v>574</v>
      </c>
      <c r="H3008" s="50">
        <v>2</v>
      </c>
      <c r="I3008" s="100">
        <v>6.7391919697301583</v>
      </c>
      <c r="J3008" s="52">
        <v>3834.68</v>
      </c>
      <c r="K3008" s="67">
        <f t="shared" si="188"/>
        <v>35326.895253616778</v>
      </c>
      <c r="L3008" s="95">
        <f>+VLOOKUP(E3008,MARGEN!A:B,2,FALSE)</f>
        <v>0.1</v>
      </c>
      <c r="M3008" s="112">
        <f t="shared" si="185"/>
        <v>3532.6895253616781</v>
      </c>
      <c r="N3008" s="113">
        <f t="shared" si="186"/>
        <v>141.3075810144671</v>
      </c>
      <c r="O3008" s="113">
        <f t="shared" si="187"/>
        <v>31652.898147240634</v>
      </c>
    </row>
    <row r="3009" spans="1:15" x14ac:dyDescent="0.25">
      <c r="A3009" s="13">
        <v>44459</v>
      </c>
      <c r="B3009" s="97">
        <v>1343</v>
      </c>
      <c r="C3009" t="s">
        <v>292</v>
      </c>
      <c r="D3009" s="94" t="s">
        <v>535</v>
      </c>
      <c r="E3009" t="s">
        <v>17</v>
      </c>
      <c r="F3009" t="s">
        <v>573</v>
      </c>
      <c r="G3009" s="50" t="s">
        <v>574</v>
      </c>
      <c r="H3009" s="50">
        <v>2</v>
      </c>
      <c r="I3009" s="100">
        <v>6.7391919697301583</v>
      </c>
      <c r="J3009" s="52">
        <v>3834.68</v>
      </c>
      <c r="K3009" s="67">
        <f t="shared" si="188"/>
        <v>34706.671781717145</v>
      </c>
      <c r="L3009" s="95">
        <f>+VLOOKUP(E3009,MARGEN!A:B,2,FALSE)</f>
        <v>0.1</v>
      </c>
      <c r="M3009" s="112">
        <f t="shared" si="185"/>
        <v>3470.6671781717146</v>
      </c>
      <c r="N3009" s="113">
        <f t="shared" si="186"/>
        <v>138.82668712686859</v>
      </c>
      <c r="O3009" s="113">
        <f t="shared" si="187"/>
        <v>31097.177916418561</v>
      </c>
    </row>
    <row r="3010" spans="1:15" x14ac:dyDescent="0.25">
      <c r="A3010" s="13">
        <v>44459</v>
      </c>
      <c r="B3010" s="97">
        <v>1319</v>
      </c>
      <c r="C3010" t="s">
        <v>141</v>
      </c>
      <c r="D3010" t="s">
        <v>450</v>
      </c>
      <c r="E3010" t="s">
        <v>17</v>
      </c>
      <c r="F3010" t="s">
        <v>573</v>
      </c>
      <c r="G3010" s="50" t="s">
        <v>574</v>
      </c>
      <c r="H3010" s="50">
        <v>2</v>
      </c>
      <c r="I3010" s="100">
        <v>6.7391919697301583</v>
      </c>
      <c r="J3010" s="52">
        <v>3834.68</v>
      </c>
      <c r="K3010" s="67">
        <f t="shared" si="188"/>
        <v>34086.448309817511</v>
      </c>
      <c r="L3010" s="95">
        <f>+VLOOKUP(E3010,MARGEN!A:B,2,FALSE)</f>
        <v>0.1</v>
      </c>
      <c r="M3010" s="112">
        <f t="shared" si="185"/>
        <v>3408.6448309817515</v>
      </c>
      <c r="N3010" s="113">
        <f t="shared" si="186"/>
        <v>136.34579323927005</v>
      </c>
      <c r="O3010" s="113">
        <f t="shared" si="187"/>
        <v>30541.457685596492</v>
      </c>
    </row>
    <row r="3011" spans="1:15" x14ac:dyDescent="0.25">
      <c r="A3011" s="13">
        <v>44459</v>
      </c>
      <c r="B3011" s="97">
        <v>1319</v>
      </c>
      <c r="C3011" t="s">
        <v>118</v>
      </c>
      <c r="D3011" s="94" t="s">
        <v>329</v>
      </c>
      <c r="E3011" t="s">
        <v>17</v>
      </c>
      <c r="F3011" t="s">
        <v>573</v>
      </c>
      <c r="G3011" s="50" t="s">
        <v>574</v>
      </c>
      <c r="H3011" s="50">
        <v>2</v>
      </c>
      <c r="I3011" s="100">
        <v>6.7391919697301583</v>
      </c>
      <c r="J3011" s="52">
        <v>3834.68</v>
      </c>
      <c r="K3011" s="67">
        <f t="shared" si="188"/>
        <v>34086.448309817511</v>
      </c>
      <c r="L3011" s="95">
        <f>+VLOOKUP(E3011,MARGEN!A:B,2,FALSE)</f>
        <v>0.1</v>
      </c>
      <c r="M3011" s="112">
        <f t="shared" ref="M3011:M3074" si="189">+K3011*L3011</f>
        <v>3408.6448309817515</v>
      </c>
      <c r="N3011" s="113">
        <f t="shared" ref="N3011:N3074" si="190">+K3011*4/1000</f>
        <v>136.34579323927005</v>
      </c>
      <c r="O3011" s="113">
        <f t="shared" ref="O3011:O3074" si="191">+K3011-M3011-N3011</f>
        <v>30541.457685596492</v>
      </c>
    </row>
    <row r="3012" spans="1:15" x14ac:dyDescent="0.25">
      <c r="A3012" s="13">
        <v>44459</v>
      </c>
      <c r="B3012" s="97">
        <v>1319</v>
      </c>
      <c r="C3012" t="s">
        <v>298</v>
      </c>
      <c r="D3012" s="94" t="s">
        <v>536</v>
      </c>
      <c r="E3012" t="s">
        <v>17</v>
      </c>
      <c r="F3012" t="s">
        <v>573</v>
      </c>
      <c r="G3012" s="50" t="s">
        <v>574</v>
      </c>
      <c r="H3012" s="50">
        <v>2</v>
      </c>
      <c r="I3012" s="100">
        <v>6.7391919697301583</v>
      </c>
      <c r="J3012" s="52">
        <v>3834.68</v>
      </c>
      <c r="K3012" s="67">
        <f t="shared" si="188"/>
        <v>34086.448309817511</v>
      </c>
      <c r="L3012" s="95">
        <f>+VLOOKUP(E3012,MARGEN!A:B,2,FALSE)</f>
        <v>0.1</v>
      </c>
      <c r="M3012" s="112">
        <f t="shared" si="189"/>
        <v>3408.6448309817515</v>
      </c>
      <c r="N3012" s="113">
        <f t="shared" si="190"/>
        <v>136.34579323927005</v>
      </c>
      <c r="O3012" s="113">
        <f t="shared" si="191"/>
        <v>30541.457685596492</v>
      </c>
    </row>
    <row r="3013" spans="1:15" x14ac:dyDescent="0.25">
      <c r="A3013" s="13">
        <v>44459</v>
      </c>
      <c r="B3013" s="97">
        <v>1295</v>
      </c>
      <c r="C3013" t="s">
        <v>303</v>
      </c>
      <c r="D3013" s="94" t="s">
        <v>539</v>
      </c>
      <c r="E3013" t="s">
        <v>17</v>
      </c>
      <c r="F3013" t="s">
        <v>573</v>
      </c>
      <c r="G3013" s="50" t="s">
        <v>574</v>
      </c>
      <c r="H3013" s="50">
        <v>2</v>
      </c>
      <c r="I3013" s="100">
        <v>6.7391919697301583</v>
      </c>
      <c r="J3013" s="52">
        <v>3834.68</v>
      </c>
      <c r="K3013" s="67">
        <f t="shared" si="188"/>
        <v>33466.224837917871</v>
      </c>
      <c r="L3013" s="95">
        <f>+VLOOKUP(E3013,MARGEN!A:B,2,FALSE)</f>
        <v>0.1</v>
      </c>
      <c r="M3013" s="112">
        <f t="shared" si="189"/>
        <v>3346.6224837917871</v>
      </c>
      <c r="N3013" s="113">
        <f t="shared" si="190"/>
        <v>133.86489935167148</v>
      </c>
      <c r="O3013" s="113">
        <f t="shared" si="191"/>
        <v>29985.737454774411</v>
      </c>
    </row>
    <row r="3014" spans="1:15" x14ac:dyDescent="0.25">
      <c r="A3014" s="13">
        <v>44459</v>
      </c>
      <c r="B3014" s="97">
        <v>1295</v>
      </c>
      <c r="C3014" t="s">
        <v>151</v>
      </c>
      <c r="D3014" s="94" t="s">
        <v>394</v>
      </c>
      <c r="E3014" t="s">
        <v>17</v>
      </c>
      <c r="F3014" t="s">
        <v>573</v>
      </c>
      <c r="G3014" s="50" t="s">
        <v>574</v>
      </c>
      <c r="H3014" s="50">
        <v>2</v>
      </c>
      <c r="I3014" s="100">
        <v>6.7391919697301583</v>
      </c>
      <c r="J3014" s="52">
        <v>3834.68</v>
      </c>
      <c r="K3014" s="67">
        <f t="shared" si="188"/>
        <v>33466.224837917871</v>
      </c>
      <c r="L3014" s="95">
        <f>+VLOOKUP(E3014,MARGEN!A:B,2,FALSE)</f>
        <v>0.1</v>
      </c>
      <c r="M3014" s="112">
        <f t="shared" si="189"/>
        <v>3346.6224837917871</v>
      </c>
      <c r="N3014" s="113">
        <f t="shared" si="190"/>
        <v>133.86489935167148</v>
      </c>
      <c r="O3014" s="113">
        <f t="shared" si="191"/>
        <v>29985.737454774411</v>
      </c>
    </row>
    <row r="3015" spans="1:15" x14ac:dyDescent="0.25">
      <c r="A3015" s="13">
        <v>44459</v>
      </c>
      <c r="B3015" s="97">
        <v>1295</v>
      </c>
      <c r="C3015" t="s">
        <v>211</v>
      </c>
      <c r="D3015" s="94" t="s">
        <v>382</v>
      </c>
      <c r="E3015" t="s">
        <v>17</v>
      </c>
      <c r="F3015" t="s">
        <v>558</v>
      </c>
      <c r="G3015" s="50" t="s">
        <v>574</v>
      </c>
      <c r="H3015" s="50">
        <v>2</v>
      </c>
      <c r="I3015" s="100">
        <v>6.7391919697301583</v>
      </c>
      <c r="J3015" s="52">
        <v>3834.68</v>
      </c>
      <c r="K3015" s="67">
        <f t="shared" si="188"/>
        <v>33466.224837917871</v>
      </c>
      <c r="L3015" s="95">
        <f>+VLOOKUP(E3015,MARGEN!A:B,2,FALSE)</f>
        <v>0.1</v>
      </c>
      <c r="M3015" s="112">
        <f t="shared" si="189"/>
        <v>3346.6224837917871</v>
      </c>
      <c r="N3015" s="113">
        <f t="shared" si="190"/>
        <v>133.86489935167148</v>
      </c>
      <c r="O3015" s="113">
        <f t="shared" si="191"/>
        <v>29985.737454774411</v>
      </c>
    </row>
    <row r="3016" spans="1:15" x14ac:dyDescent="0.25">
      <c r="A3016" s="13">
        <v>44459</v>
      </c>
      <c r="B3016" s="51">
        <v>1295</v>
      </c>
      <c r="C3016" s="66" t="s">
        <v>302</v>
      </c>
      <c r="D3016" s="66" t="s">
        <v>538</v>
      </c>
      <c r="E3016" t="s">
        <v>17</v>
      </c>
      <c r="F3016" s="50" t="s">
        <v>573</v>
      </c>
      <c r="G3016" s="50" t="s">
        <v>574</v>
      </c>
      <c r="H3016" s="50">
        <v>2</v>
      </c>
      <c r="I3016" s="100">
        <v>6.7391919697301583</v>
      </c>
      <c r="J3016" s="52">
        <v>3834.68</v>
      </c>
      <c r="K3016" s="67">
        <f t="shared" si="188"/>
        <v>33466.224837917871</v>
      </c>
      <c r="L3016" s="95">
        <f>+VLOOKUP(E3016,MARGEN!A:B,2,FALSE)</f>
        <v>0.1</v>
      </c>
      <c r="M3016" s="112">
        <f t="shared" si="189"/>
        <v>3346.6224837917871</v>
      </c>
      <c r="N3016" s="113">
        <f t="shared" si="190"/>
        <v>133.86489935167148</v>
      </c>
      <c r="O3016" s="113">
        <f t="shared" si="191"/>
        <v>29985.737454774411</v>
      </c>
    </row>
    <row r="3017" spans="1:15" x14ac:dyDescent="0.25">
      <c r="A3017" s="13">
        <v>44459</v>
      </c>
      <c r="B3017" s="97">
        <v>1271</v>
      </c>
      <c r="C3017" t="s">
        <v>183</v>
      </c>
      <c r="D3017" s="94" t="s">
        <v>390</v>
      </c>
      <c r="E3017" t="s">
        <v>17</v>
      </c>
      <c r="F3017" t="s">
        <v>573</v>
      </c>
      <c r="G3017" s="50" t="s">
        <v>574</v>
      </c>
      <c r="H3017" s="50">
        <v>2</v>
      </c>
      <c r="I3017" s="100">
        <v>6.7391919697301583</v>
      </c>
      <c r="J3017" s="52">
        <v>3834.68</v>
      </c>
      <c r="K3017" s="67">
        <f t="shared" ref="K3017:K3080" si="192">+B3017*I3017*J3017/1000</f>
        <v>32846.00136601823</v>
      </c>
      <c r="L3017" s="95">
        <f>+VLOOKUP(E3017,MARGEN!A:B,2,FALSE)</f>
        <v>0.1</v>
      </c>
      <c r="M3017" s="112">
        <f t="shared" si="189"/>
        <v>3284.6001366018231</v>
      </c>
      <c r="N3017" s="113">
        <f t="shared" si="190"/>
        <v>131.38400546407291</v>
      </c>
      <c r="O3017" s="113">
        <f t="shared" si="191"/>
        <v>29430.017223952334</v>
      </c>
    </row>
    <row r="3018" spans="1:15" x14ac:dyDescent="0.25">
      <c r="A3018" s="13">
        <v>44459</v>
      </c>
      <c r="B3018" s="51">
        <v>1223</v>
      </c>
      <c r="C3018" s="66" t="s">
        <v>299</v>
      </c>
      <c r="D3018" s="66" t="s">
        <v>537</v>
      </c>
      <c r="E3018" t="s">
        <v>17</v>
      </c>
      <c r="F3018" s="50" t="s">
        <v>558</v>
      </c>
      <c r="G3018" s="50" t="s">
        <v>574</v>
      </c>
      <c r="H3018" s="50">
        <v>2</v>
      </c>
      <c r="I3018" s="100">
        <v>6.7391919697301583</v>
      </c>
      <c r="J3018" s="52">
        <v>3834.68</v>
      </c>
      <c r="K3018" s="67">
        <f t="shared" si="192"/>
        <v>31605.55442221896</v>
      </c>
      <c r="L3018" s="95">
        <f>+VLOOKUP(E3018,MARGEN!A:B,2,FALSE)</f>
        <v>0.1</v>
      </c>
      <c r="M3018" s="112">
        <f t="shared" si="189"/>
        <v>3160.5554422218961</v>
      </c>
      <c r="N3018" s="113">
        <f t="shared" si="190"/>
        <v>126.42221768887585</v>
      </c>
      <c r="O3018" s="113">
        <f t="shared" si="191"/>
        <v>28318.576762308188</v>
      </c>
    </row>
    <row r="3019" spans="1:15" x14ac:dyDescent="0.25">
      <c r="A3019" s="13">
        <v>44459</v>
      </c>
      <c r="B3019" s="97">
        <v>1199</v>
      </c>
      <c r="C3019" t="s">
        <v>201</v>
      </c>
      <c r="D3019" s="94" t="s">
        <v>374</v>
      </c>
      <c r="E3019" t="s">
        <v>17</v>
      </c>
      <c r="F3019" t="s">
        <v>573</v>
      </c>
      <c r="G3019" s="50" t="s">
        <v>574</v>
      </c>
      <c r="H3019" s="50">
        <v>2</v>
      </c>
      <c r="I3019" s="100">
        <v>6.7391919697301583</v>
      </c>
      <c r="J3019" s="52">
        <v>3834.68</v>
      </c>
      <c r="K3019" s="67">
        <f t="shared" si="192"/>
        <v>30985.330950319327</v>
      </c>
      <c r="L3019" s="95">
        <f>+VLOOKUP(E3019,MARGEN!A:B,2,FALSE)</f>
        <v>0.1</v>
      </c>
      <c r="M3019" s="112">
        <f t="shared" si="189"/>
        <v>3098.533095031933</v>
      </c>
      <c r="N3019" s="113">
        <f t="shared" si="190"/>
        <v>123.94132380127731</v>
      </c>
      <c r="O3019" s="113">
        <f t="shared" si="191"/>
        <v>27762.856531486115</v>
      </c>
    </row>
    <row r="3020" spans="1:15" x14ac:dyDescent="0.25">
      <c r="A3020" s="13">
        <v>44459</v>
      </c>
      <c r="B3020" s="97">
        <v>1199</v>
      </c>
      <c r="C3020" t="s">
        <v>199</v>
      </c>
      <c r="D3020" s="94" t="s">
        <v>414</v>
      </c>
      <c r="E3020" t="s">
        <v>17</v>
      </c>
      <c r="F3020" t="s">
        <v>573</v>
      </c>
      <c r="G3020" s="50" t="s">
        <v>574</v>
      </c>
      <c r="H3020" s="50">
        <v>2</v>
      </c>
      <c r="I3020" s="100">
        <v>6.7391919697301583</v>
      </c>
      <c r="J3020" s="52">
        <v>3834.68</v>
      </c>
      <c r="K3020" s="67">
        <f t="shared" si="192"/>
        <v>30985.330950319327</v>
      </c>
      <c r="L3020" s="95">
        <f>+VLOOKUP(E3020,MARGEN!A:B,2,FALSE)</f>
        <v>0.1</v>
      </c>
      <c r="M3020" s="112">
        <f t="shared" si="189"/>
        <v>3098.533095031933</v>
      </c>
      <c r="N3020" s="113">
        <f t="shared" si="190"/>
        <v>123.94132380127731</v>
      </c>
      <c r="O3020" s="113">
        <f t="shared" si="191"/>
        <v>27762.856531486115</v>
      </c>
    </row>
    <row r="3021" spans="1:15" x14ac:dyDescent="0.25">
      <c r="A3021" s="13">
        <v>44459</v>
      </c>
      <c r="B3021" s="97">
        <v>1199</v>
      </c>
      <c r="C3021" t="s">
        <v>308</v>
      </c>
      <c r="D3021" s="94" t="s">
        <v>500</v>
      </c>
      <c r="E3021" t="s">
        <v>17</v>
      </c>
      <c r="F3021" t="s">
        <v>558</v>
      </c>
      <c r="G3021" s="50" t="s">
        <v>574</v>
      </c>
      <c r="H3021" s="50">
        <v>2</v>
      </c>
      <c r="I3021" s="100">
        <v>6.7391919697301583</v>
      </c>
      <c r="J3021" s="52">
        <v>3834.68</v>
      </c>
      <c r="K3021" s="67">
        <f t="shared" si="192"/>
        <v>30985.330950319327</v>
      </c>
      <c r="L3021" s="95">
        <f>+VLOOKUP(E3021,MARGEN!A:B,2,FALSE)</f>
        <v>0.1</v>
      </c>
      <c r="M3021" s="112">
        <f t="shared" si="189"/>
        <v>3098.533095031933</v>
      </c>
      <c r="N3021" s="113">
        <f t="shared" si="190"/>
        <v>123.94132380127731</v>
      </c>
      <c r="O3021" s="113">
        <f t="shared" si="191"/>
        <v>27762.856531486115</v>
      </c>
    </row>
    <row r="3022" spans="1:15" x14ac:dyDescent="0.25">
      <c r="A3022" s="13">
        <v>44459</v>
      </c>
      <c r="B3022" s="97">
        <v>1151</v>
      </c>
      <c r="C3022" t="s">
        <v>184</v>
      </c>
      <c r="D3022" s="94" t="s">
        <v>443</v>
      </c>
      <c r="E3022" t="s">
        <v>17</v>
      </c>
      <c r="F3022" t="s">
        <v>573</v>
      </c>
      <c r="G3022" s="50" t="s">
        <v>574</v>
      </c>
      <c r="H3022" s="50">
        <v>2</v>
      </c>
      <c r="I3022" s="100">
        <v>6.7391919697301583</v>
      </c>
      <c r="J3022" s="52">
        <v>3834.68</v>
      </c>
      <c r="K3022" s="67">
        <f t="shared" si="192"/>
        <v>29744.884006520053</v>
      </c>
      <c r="L3022" s="95">
        <f>+VLOOKUP(E3022,MARGEN!A:B,2,FALSE)</f>
        <v>0.1</v>
      </c>
      <c r="M3022" s="112">
        <f t="shared" si="189"/>
        <v>2974.4884006520056</v>
      </c>
      <c r="N3022" s="113">
        <f t="shared" si="190"/>
        <v>118.97953602608021</v>
      </c>
      <c r="O3022" s="113">
        <f t="shared" si="191"/>
        <v>26651.416069841969</v>
      </c>
    </row>
    <row r="3023" spans="1:15" x14ac:dyDescent="0.25">
      <c r="A3023" s="13">
        <v>44459</v>
      </c>
      <c r="B3023" s="97">
        <v>1127</v>
      </c>
      <c r="C3023" t="s">
        <v>153</v>
      </c>
      <c r="D3023" s="94" t="s">
        <v>444</v>
      </c>
      <c r="E3023" t="s">
        <v>17</v>
      </c>
      <c r="F3023" t="s">
        <v>573</v>
      </c>
      <c r="G3023" s="50" t="s">
        <v>574</v>
      </c>
      <c r="H3023" s="50">
        <v>2</v>
      </c>
      <c r="I3023" s="100">
        <v>6.7391919697301583</v>
      </c>
      <c r="J3023" s="52">
        <v>3834.68</v>
      </c>
      <c r="K3023" s="67">
        <f t="shared" si="192"/>
        <v>29124.660534620416</v>
      </c>
      <c r="L3023" s="95">
        <f>+VLOOKUP(E3023,MARGEN!A:B,2,FALSE)</f>
        <v>0.1</v>
      </c>
      <c r="M3023" s="112">
        <f t="shared" si="189"/>
        <v>2912.4660534620416</v>
      </c>
      <c r="N3023" s="113">
        <f t="shared" si="190"/>
        <v>116.49864213848167</v>
      </c>
      <c r="O3023" s="113">
        <f t="shared" si="191"/>
        <v>26095.695839019892</v>
      </c>
    </row>
    <row r="3024" spans="1:15" x14ac:dyDescent="0.25">
      <c r="A3024" s="13">
        <v>44459</v>
      </c>
      <c r="B3024" s="97">
        <v>791</v>
      </c>
      <c r="C3024" t="s">
        <v>307</v>
      </c>
      <c r="D3024" s="94" t="s">
        <v>497</v>
      </c>
      <c r="E3024" t="s">
        <v>17</v>
      </c>
      <c r="F3024" t="s">
        <v>573</v>
      </c>
      <c r="G3024" s="50" t="s">
        <v>574</v>
      </c>
      <c r="H3024" s="50">
        <v>2</v>
      </c>
      <c r="I3024" s="100">
        <v>6.7391919697301583</v>
      </c>
      <c r="J3024" s="52">
        <v>3834.68</v>
      </c>
      <c r="K3024" s="67">
        <f t="shared" si="192"/>
        <v>20441.53192802551</v>
      </c>
      <c r="L3024" s="95">
        <f>+VLOOKUP(E3024,MARGEN!A:B,2,FALSE)</f>
        <v>0.1</v>
      </c>
      <c r="M3024" s="112">
        <f t="shared" si="189"/>
        <v>2044.1531928025511</v>
      </c>
      <c r="N3024" s="113">
        <f t="shared" si="190"/>
        <v>81.766127712102033</v>
      </c>
      <c r="O3024" s="113">
        <f t="shared" si="191"/>
        <v>18315.612607510859</v>
      </c>
    </row>
    <row r="3025" spans="1:15" x14ac:dyDescent="0.25">
      <c r="A3025" s="13">
        <v>44459</v>
      </c>
      <c r="B3025" s="97">
        <v>743</v>
      </c>
      <c r="C3025" t="s">
        <v>181</v>
      </c>
      <c r="D3025" s="94" t="s">
        <v>415</v>
      </c>
      <c r="E3025" t="s">
        <v>17</v>
      </c>
      <c r="F3025" t="s">
        <v>573</v>
      </c>
      <c r="G3025" s="50" t="s">
        <v>574</v>
      </c>
      <c r="H3025" s="50">
        <v>2</v>
      </c>
      <c r="I3025" s="100">
        <v>6.7391919697301583</v>
      </c>
      <c r="J3025" s="52">
        <v>3834.68</v>
      </c>
      <c r="K3025" s="67">
        <f t="shared" si="192"/>
        <v>19201.08498422624</v>
      </c>
      <c r="L3025" s="95">
        <f>+VLOOKUP(E3025,MARGEN!A:B,2,FALSE)</f>
        <v>0.1</v>
      </c>
      <c r="M3025" s="112">
        <f t="shared" si="189"/>
        <v>1920.1084984226241</v>
      </c>
      <c r="N3025" s="113">
        <f t="shared" si="190"/>
        <v>76.804339936904952</v>
      </c>
      <c r="O3025" s="113">
        <f t="shared" si="191"/>
        <v>17204.172145866709</v>
      </c>
    </row>
    <row r="3026" spans="1:15" x14ac:dyDescent="0.25">
      <c r="A3026" s="13">
        <v>44460</v>
      </c>
      <c r="B3026" s="97">
        <v>5255</v>
      </c>
      <c r="C3026" t="s">
        <v>278</v>
      </c>
      <c r="D3026" s="94" t="s">
        <v>453</v>
      </c>
      <c r="E3026" t="s">
        <v>17</v>
      </c>
      <c r="F3026" t="s">
        <v>573</v>
      </c>
      <c r="G3026" s="50" t="s">
        <v>574</v>
      </c>
      <c r="H3026" s="50">
        <v>2</v>
      </c>
      <c r="I3026" s="100">
        <v>6.7391919697301583</v>
      </c>
      <c r="J3026" s="52">
        <v>3834.68</v>
      </c>
      <c r="K3026" s="67">
        <f t="shared" si="192"/>
        <v>135803.09770135785</v>
      </c>
      <c r="L3026" s="95">
        <f>+VLOOKUP(E3026,MARGEN!A:B,2,FALSE)</f>
        <v>0.1</v>
      </c>
      <c r="M3026" s="112">
        <f t="shared" si="189"/>
        <v>13580.309770135786</v>
      </c>
      <c r="N3026" s="113">
        <f t="shared" si="190"/>
        <v>543.21239080543137</v>
      </c>
      <c r="O3026" s="113">
        <f t="shared" si="191"/>
        <v>121679.57554041663</v>
      </c>
    </row>
    <row r="3027" spans="1:15" x14ac:dyDescent="0.25">
      <c r="A3027" s="13">
        <v>44460</v>
      </c>
      <c r="B3027" s="97">
        <v>4631</v>
      </c>
      <c r="C3027" t="s">
        <v>136</v>
      </c>
      <c r="D3027" t="s">
        <v>359</v>
      </c>
      <c r="E3027" t="s">
        <v>17</v>
      </c>
      <c r="F3027" t="s">
        <v>573</v>
      </c>
      <c r="G3027" s="50" t="s">
        <v>574</v>
      </c>
      <c r="H3027" s="50">
        <v>2</v>
      </c>
      <c r="I3027" s="100">
        <v>6.7391919697301583</v>
      </c>
      <c r="J3027" s="52">
        <v>3834.68</v>
      </c>
      <c r="K3027" s="67">
        <f t="shared" si="192"/>
        <v>119677.28743196731</v>
      </c>
      <c r="L3027" s="95">
        <f>+VLOOKUP(E3027,MARGEN!A:B,2,FALSE)</f>
        <v>0.1</v>
      </c>
      <c r="M3027" s="112">
        <f t="shared" si="189"/>
        <v>11967.728743196732</v>
      </c>
      <c r="N3027" s="113">
        <f t="shared" si="190"/>
        <v>478.70914972786926</v>
      </c>
      <c r="O3027" s="113">
        <f t="shared" si="191"/>
        <v>107230.84953904271</v>
      </c>
    </row>
    <row r="3028" spans="1:15" x14ac:dyDescent="0.25">
      <c r="A3028" s="13">
        <v>44460</v>
      </c>
      <c r="B3028" s="51">
        <v>4271</v>
      </c>
      <c r="C3028" s="66" t="s">
        <v>193</v>
      </c>
      <c r="D3028" s="66" t="s">
        <v>380</v>
      </c>
      <c r="E3028" t="s">
        <v>17</v>
      </c>
      <c r="F3028" s="50" t="s">
        <v>573</v>
      </c>
      <c r="G3028" s="50" t="s">
        <v>574</v>
      </c>
      <c r="H3028" s="50">
        <v>2</v>
      </c>
      <c r="I3028" s="100">
        <v>6.7391919697301583</v>
      </c>
      <c r="J3028" s="52">
        <v>3834.68</v>
      </c>
      <c r="K3028" s="67">
        <f t="shared" si="192"/>
        <v>110373.93535347277</v>
      </c>
      <c r="L3028" s="95">
        <f>+VLOOKUP(E3028,MARGEN!A:B,2,FALSE)</f>
        <v>0.1</v>
      </c>
      <c r="M3028" s="112">
        <f t="shared" si="189"/>
        <v>11037.393535347277</v>
      </c>
      <c r="N3028" s="113">
        <f t="shared" si="190"/>
        <v>441.4957414138911</v>
      </c>
      <c r="O3028" s="113">
        <f t="shared" si="191"/>
        <v>98895.046076711602</v>
      </c>
    </row>
    <row r="3029" spans="1:15" x14ac:dyDescent="0.25">
      <c r="A3029" s="13">
        <v>44460</v>
      </c>
      <c r="B3029" s="97">
        <v>4079</v>
      </c>
      <c r="C3029" t="s">
        <v>148</v>
      </c>
      <c r="D3029" t="s">
        <v>323</v>
      </c>
      <c r="E3029" t="s">
        <v>17</v>
      </c>
      <c r="F3029" t="s">
        <v>558</v>
      </c>
      <c r="G3029" s="50" t="s">
        <v>574</v>
      </c>
      <c r="H3029" s="50">
        <v>2</v>
      </c>
      <c r="I3029" s="100">
        <v>6.7391919697301583</v>
      </c>
      <c r="J3029" s="52">
        <v>3834.68</v>
      </c>
      <c r="K3029" s="67">
        <f t="shared" si="192"/>
        <v>105412.14757827566</v>
      </c>
      <c r="L3029" s="95">
        <f>+VLOOKUP(E3029,MARGEN!A:B,2,FALSE)</f>
        <v>0.1</v>
      </c>
      <c r="M3029" s="112">
        <f t="shared" si="189"/>
        <v>10541.214757827567</v>
      </c>
      <c r="N3029" s="113">
        <f t="shared" si="190"/>
        <v>421.64859031310266</v>
      </c>
      <c r="O3029" s="113">
        <f t="shared" si="191"/>
        <v>94449.284230135003</v>
      </c>
    </row>
    <row r="3030" spans="1:15" x14ac:dyDescent="0.25">
      <c r="A3030" s="13">
        <v>44460</v>
      </c>
      <c r="B3030" s="97">
        <v>3959</v>
      </c>
      <c r="C3030" t="s">
        <v>301</v>
      </c>
      <c r="D3030" t="s">
        <v>521</v>
      </c>
      <c r="E3030" t="s">
        <v>17</v>
      </c>
      <c r="F3030" t="s">
        <v>558</v>
      </c>
      <c r="G3030" s="50" t="s">
        <v>574</v>
      </c>
      <c r="H3030" s="50">
        <v>2</v>
      </c>
      <c r="I3030" s="100">
        <v>6.7391919697301583</v>
      </c>
      <c r="J3030" s="52">
        <v>3834.68</v>
      </c>
      <c r="K3030" s="67">
        <f t="shared" si="192"/>
        <v>102311.03021877749</v>
      </c>
      <c r="L3030" s="95">
        <f>+VLOOKUP(E3030,MARGEN!A:B,2,FALSE)</f>
        <v>0.1</v>
      </c>
      <c r="M3030" s="112">
        <f t="shared" si="189"/>
        <v>10231.103021877751</v>
      </c>
      <c r="N3030" s="113">
        <f t="shared" si="190"/>
        <v>409.24412087510996</v>
      </c>
      <c r="O3030" s="113">
        <f t="shared" si="191"/>
        <v>91670.683076024638</v>
      </c>
    </row>
    <row r="3031" spans="1:15" x14ac:dyDescent="0.25">
      <c r="A3031" s="13">
        <v>44460</v>
      </c>
      <c r="B3031" s="97">
        <v>3887</v>
      </c>
      <c r="C3031" t="s">
        <v>293</v>
      </c>
      <c r="D3031" t="s">
        <v>499</v>
      </c>
      <c r="E3031" t="s">
        <v>17</v>
      </c>
      <c r="F3031" t="s">
        <v>573</v>
      </c>
      <c r="G3031" s="50" t="s">
        <v>574</v>
      </c>
      <c r="H3031" s="50">
        <v>2</v>
      </c>
      <c r="I3031" s="100">
        <v>6.7391919697301583</v>
      </c>
      <c r="J3031" s="52">
        <v>3834.68</v>
      </c>
      <c r="K3031" s="67">
        <f t="shared" si="192"/>
        <v>100450.35980307858</v>
      </c>
      <c r="L3031" s="95">
        <f>+VLOOKUP(E3031,MARGEN!A:B,2,FALSE)</f>
        <v>0.1</v>
      </c>
      <c r="M3031" s="112">
        <f t="shared" si="189"/>
        <v>10045.035980307859</v>
      </c>
      <c r="N3031" s="113">
        <f t="shared" si="190"/>
        <v>401.80143921231434</v>
      </c>
      <c r="O3031" s="113">
        <f t="shared" si="191"/>
        <v>90003.522383558404</v>
      </c>
    </row>
    <row r="3032" spans="1:15" x14ac:dyDescent="0.25">
      <c r="A3032" s="13">
        <v>44460</v>
      </c>
      <c r="B3032" s="97">
        <v>3743</v>
      </c>
      <c r="C3032" t="s">
        <v>144</v>
      </c>
      <c r="D3032" s="94" t="s">
        <v>343</v>
      </c>
      <c r="E3032" t="s">
        <v>17</v>
      </c>
      <c r="F3032" t="s">
        <v>573</v>
      </c>
      <c r="G3032" s="50" t="s">
        <v>574</v>
      </c>
      <c r="H3032" s="50">
        <v>2</v>
      </c>
      <c r="I3032" s="100">
        <v>6.7391919697301583</v>
      </c>
      <c r="J3032" s="52">
        <v>3834.68</v>
      </c>
      <c r="K3032" s="67">
        <f t="shared" si="192"/>
        <v>96729.01897168078</v>
      </c>
      <c r="L3032" s="95">
        <f>+VLOOKUP(E3032,MARGEN!A:B,2,FALSE)</f>
        <v>0.1</v>
      </c>
      <c r="M3032" s="112">
        <f t="shared" si="189"/>
        <v>9672.901897168078</v>
      </c>
      <c r="N3032" s="113">
        <f t="shared" si="190"/>
        <v>386.91607588672309</v>
      </c>
      <c r="O3032" s="113">
        <f t="shared" si="191"/>
        <v>86669.20099862598</v>
      </c>
    </row>
    <row r="3033" spans="1:15" x14ac:dyDescent="0.25">
      <c r="A3033" s="13">
        <v>44460</v>
      </c>
      <c r="B3033" s="97">
        <v>3623</v>
      </c>
      <c r="C3033" t="s">
        <v>149</v>
      </c>
      <c r="D3033" s="94" t="s">
        <v>325</v>
      </c>
      <c r="E3033" t="s">
        <v>17</v>
      </c>
      <c r="F3033" t="s">
        <v>573</v>
      </c>
      <c r="G3033" s="50" t="s">
        <v>574</v>
      </c>
      <c r="H3033" s="50">
        <v>2</v>
      </c>
      <c r="I3033" s="100">
        <v>6.7391919697301583</v>
      </c>
      <c r="J3033" s="52">
        <v>3834.68</v>
      </c>
      <c r="K3033" s="67">
        <f t="shared" si="192"/>
        <v>93627.901612182584</v>
      </c>
      <c r="L3033" s="95">
        <f>+VLOOKUP(E3033,MARGEN!A:B,2,FALSE)</f>
        <v>0.1</v>
      </c>
      <c r="M3033" s="112">
        <f t="shared" si="189"/>
        <v>9362.7901612182595</v>
      </c>
      <c r="N3033" s="113">
        <f t="shared" si="190"/>
        <v>374.51160644873033</v>
      </c>
      <c r="O3033" s="113">
        <f t="shared" si="191"/>
        <v>83890.599844515586</v>
      </c>
    </row>
    <row r="3034" spans="1:15" x14ac:dyDescent="0.25">
      <c r="A3034" s="13">
        <v>44460</v>
      </c>
      <c r="B3034" s="97">
        <v>3599</v>
      </c>
      <c r="C3034" t="s">
        <v>192</v>
      </c>
      <c r="D3034" t="s">
        <v>347</v>
      </c>
      <c r="E3034" t="s">
        <v>17</v>
      </c>
      <c r="F3034" t="s">
        <v>573</v>
      </c>
      <c r="G3034" s="50" t="s">
        <v>574</v>
      </c>
      <c r="H3034" s="50">
        <v>2</v>
      </c>
      <c r="I3034" s="100">
        <v>6.7391919697301583</v>
      </c>
      <c r="J3034" s="52">
        <v>3834.68</v>
      </c>
      <c r="K3034" s="67">
        <f t="shared" si="192"/>
        <v>93007.678140282951</v>
      </c>
      <c r="L3034" s="95">
        <f>+VLOOKUP(E3034,MARGEN!A:B,2,FALSE)</f>
        <v>0.1</v>
      </c>
      <c r="M3034" s="112">
        <f t="shared" si="189"/>
        <v>9300.7678140282951</v>
      </c>
      <c r="N3034" s="113">
        <f t="shared" si="190"/>
        <v>372.03071256113179</v>
      </c>
      <c r="O3034" s="113">
        <f t="shared" si="191"/>
        <v>83334.879613693527</v>
      </c>
    </row>
    <row r="3035" spans="1:15" x14ac:dyDescent="0.25">
      <c r="A3035" s="13">
        <v>44460</v>
      </c>
      <c r="B3035" s="97">
        <v>3479</v>
      </c>
      <c r="C3035" t="s">
        <v>165</v>
      </c>
      <c r="D3035" t="s">
        <v>375</v>
      </c>
      <c r="E3035" t="s">
        <v>17</v>
      </c>
      <c r="F3035" t="s">
        <v>573</v>
      </c>
      <c r="G3035" s="50" t="s">
        <v>574</v>
      </c>
      <c r="H3035" s="50">
        <v>2</v>
      </c>
      <c r="I3035" s="100">
        <v>6.7391919697301583</v>
      </c>
      <c r="J3035" s="52">
        <v>3834.68</v>
      </c>
      <c r="K3035" s="67">
        <f t="shared" si="192"/>
        <v>89906.56078078477</v>
      </c>
      <c r="L3035" s="95">
        <f>+VLOOKUP(E3035,MARGEN!A:B,2,FALSE)</f>
        <v>0.1</v>
      </c>
      <c r="M3035" s="112">
        <f t="shared" si="189"/>
        <v>8990.6560780784766</v>
      </c>
      <c r="N3035" s="113">
        <f t="shared" si="190"/>
        <v>359.62624312313909</v>
      </c>
      <c r="O3035" s="113">
        <f t="shared" si="191"/>
        <v>80556.278459583147</v>
      </c>
    </row>
    <row r="3036" spans="1:15" x14ac:dyDescent="0.25">
      <c r="A3036" s="13">
        <v>44460</v>
      </c>
      <c r="B3036" s="97">
        <v>3383</v>
      </c>
      <c r="C3036" t="s">
        <v>135</v>
      </c>
      <c r="D3036" t="s">
        <v>533</v>
      </c>
      <c r="E3036" t="s">
        <v>17</v>
      </c>
      <c r="F3036" t="s">
        <v>558</v>
      </c>
      <c r="G3036" s="50" t="s">
        <v>574</v>
      </c>
      <c r="H3036" s="50">
        <v>2</v>
      </c>
      <c r="I3036" s="100">
        <v>6.7391919697301583</v>
      </c>
      <c r="J3036" s="52">
        <v>3834.68</v>
      </c>
      <c r="K3036" s="67">
        <f t="shared" si="192"/>
        <v>87425.666893186222</v>
      </c>
      <c r="L3036" s="95">
        <f>+VLOOKUP(E3036,MARGEN!A:B,2,FALSE)</f>
        <v>0.1</v>
      </c>
      <c r="M3036" s="112">
        <f t="shared" si="189"/>
        <v>8742.5666893186226</v>
      </c>
      <c r="N3036" s="113">
        <f t="shared" si="190"/>
        <v>349.70266757274487</v>
      </c>
      <c r="O3036" s="113">
        <f t="shared" si="191"/>
        <v>78333.397536294855</v>
      </c>
    </row>
    <row r="3037" spans="1:15" x14ac:dyDescent="0.25">
      <c r="A3037" s="13">
        <v>44460</v>
      </c>
      <c r="B3037" s="97">
        <v>3359</v>
      </c>
      <c r="C3037" t="s">
        <v>309</v>
      </c>
      <c r="D3037" t="s">
        <v>544</v>
      </c>
      <c r="E3037" t="s">
        <v>17</v>
      </c>
      <c r="F3037" t="s">
        <v>573</v>
      </c>
      <c r="G3037" s="50" t="s">
        <v>574</v>
      </c>
      <c r="H3037" s="50">
        <v>2</v>
      </c>
      <c r="I3037" s="100">
        <v>6.7391919697301583</v>
      </c>
      <c r="J3037" s="52">
        <v>3834.68</v>
      </c>
      <c r="K3037" s="67">
        <f t="shared" si="192"/>
        <v>86805.443421286589</v>
      </c>
      <c r="L3037" s="95">
        <f>+VLOOKUP(E3037,MARGEN!A:B,2,FALSE)</f>
        <v>0.1</v>
      </c>
      <c r="M3037" s="112">
        <f t="shared" si="189"/>
        <v>8680.54434212866</v>
      </c>
      <c r="N3037" s="113">
        <f t="shared" si="190"/>
        <v>347.22177368514633</v>
      </c>
      <c r="O3037" s="113">
        <f t="shared" si="191"/>
        <v>77777.677305472782</v>
      </c>
    </row>
    <row r="3038" spans="1:15" x14ac:dyDescent="0.25">
      <c r="A3038" s="13">
        <v>44460</v>
      </c>
      <c r="B3038" s="97">
        <v>2903</v>
      </c>
      <c r="C3038" t="s">
        <v>134</v>
      </c>
      <c r="D3038" t="s">
        <v>362</v>
      </c>
      <c r="E3038" t="s">
        <v>17</v>
      </c>
      <c r="F3038" t="s">
        <v>573</v>
      </c>
      <c r="G3038" s="50" t="s">
        <v>574</v>
      </c>
      <c r="H3038" s="50">
        <v>2</v>
      </c>
      <c r="I3038" s="100">
        <v>6.7391919697301583</v>
      </c>
      <c r="J3038" s="52">
        <v>3834.68</v>
      </c>
      <c r="K3038" s="67">
        <f t="shared" si="192"/>
        <v>75021.197455193484</v>
      </c>
      <c r="L3038" s="95">
        <f>+VLOOKUP(E3038,MARGEN!A:B,2,FALSE)</f>
        <v>0.1</v>
      </c>
      <c r="M3038" s="112">
        <f t="shared" si="189"/>
        <v>7502.1197455193487</v>
      </c>
      <c r="N3038" s="113">
        <f t="shared" si="190"/>
        <v>300.08478982077395</v>
      </c>
      <c r="O3038" s="113">
        <f t="shared" si="191"/>
        <v>67218.992919853365</v>
      </c>
    </row>
    <row r="3039" spans="1:15" x14ac:dyDescent="0.25">
      <c r="A3039" s="13">
        <v>44460</v>
      </c>
      <c r="B3039" s="97">
        <v>2783</v>
      </c>
      <c r="C3039" t="s">
        <v>131</v>
      </c>
      <c r="D3039" t="s">
        <v>344</v>
      </c>
      <c r="E3039" t="s">
        <v>17</v>
      </c>
      <c r="F3039" t="s">
        <v>573</v>
      </c>
      <c r="G3039" s="50" t="s">
        <v>574</v>
      </c>
      <c r="H3039" s="50">
        <v>2</v>
      </c>
      <c r="I3039" s="100">
        <v>6.7391919697301583</v>
      </c>
      <c r="J3039" s="52">
        <v>3834.68</v>
      </c>
      <c r="K3039" s="67">
        <f t="shared" si="192"/>
        <v>71920.080095695317</v>
      </c>
      <c r="L3039" s="95">
        <f>+VLOOKUP(E3039,MARGEN!A:B,2,FALSE)</f>
        <v>0.1</v>
      </c>
      <c r="M3039" s="112">
        <f t="shared" si="189"/>
        <v>7192.0080095695321</v>
      </c>
      <c r="N3039" s="113">
        <f t="shared" si="190"/>
        <v>287.68032038278125</v>
      </c>
      <c r="O3039" s="113">
        <f t="shared" si="191"/>
        <v>64440.391765743007</v>
      </c>
    </row>
    <row r="3040" spans="1:15" x14ac:dyDescent="0.25">
      <c r="A3040" s="13">
        <v>44460</v>
      </c>
      <c r="B3040" s="97">
        <v>2711</v>
      </c>
      <c r="C3040" t="s">
        <v>132</v>
      </c>
      <c r="D3040" s="94" t="s">
        <v>376</v>
      </c>
      <c r="E3040" t="s">
        <v>17</v>
      </c>
      <c r="F3040" t="s">
        <v>573</v>
      </c>
      <c r="G3040" s="50" t="s">
        <v>574</v>
      </c>
      <c r="H3040" s="50">
        <v>2</v>
      </c>
      <c r="I3040" s="100">
        <v>6.7391919697301583</v>
      </c>
      <c r="J3040" s="52">
        <v>3834.68</v>
      </c>
      <c r="K3040" s="67">
        <f t="shared" si="192"/>
        <v>70059.409679996417</v>
      </c>
      <c r="L3040" s="95">
        <f>+VLOOKUP(E3040,MARGEN!A:B,2,FALSE)</f>
        <v>0.1</v>
      </c>
      <c r="M3040" s="112">
        <f t="shared" si="189"/>
        <v>7005.9409679996425</v>
      </c>
      <c r="N3040" s="113">
        <f t="shared" si="190"/>
        <v>280.23763871998568</v>
      </c>
      <c r="O3040" s="113">
        <f t="shared" si="191"/>
        <v>62773.231073276787</v>
      </c>
    </row>
    <row r="3041" spans="1:15" x14ac:dyDescent="0.25">
      <c r="A3041" s="13">
        <v>44460</v>
      </c>
      <c r="B3041" s="97">
        <v>2687</v>
      </c>
      <c r="C3041" t="s">
        <v>189</v>
      </c>
      <c r="D3041" t="s">
        <v>431</v>
      </c>
      <c r="E3041" t="s">
        <v>17</v>
      </c>
      <c r="F3041" t="s">
        <v>558</v>
      </c>
      <c r="G3041" s="50" t="s">
        <v>574</v>
      </c>
      <c r="H3041" s="50">
        <v>2</v>
      </c>
      <c r="I3041" s="100">
        <v>6.7391919697301583</v>
      </c>
      <c r="J3041" s="52">
        <v>3834.68</v>
      </c>
      <c r="K3041" s="67">
        <f t="shared" si="192"/>
        <v>69439.186208096769</v>
      </c>
      <c r="L3041" s="95">
        <f>+VLOOKUP(E3041,MARGEN!A:B,2,FALSE)</f>
        <v>0.1</v>
      </c>
      <c r="M3041" s="112">
        <f t="shared" si="189"/>
        <v>6943.9186208096771</v>
      </c>
      <c r="N3041" s="113">
        <f t="shared" si="190"/>
        <v>277.75674483238708</v>
      </c>
      <c r="O3041" s="113">
        <f t="shared" si="191"/>
        <v>62217.5108424547</v>
      </c>
    </row>
    <row r="3042" spans="1:15" x14ac:dyDescent="0.25">
      <c r="A3042" s="13">
        <v>44460</v>
      </c>
      <c r="B3042" s="97">
        <v>2663</v>
      </c>
      <c r="C3042" t="s">
        <v>186</v>
      </c>
      <c r="D3042" t="s">
        <v>440</v>
      </c>
      <c r="E3042" t="s">
        <v>17</v>
      </c>
      <c r="F3042" t="s">
        <v>573</v>
      </c>
      <c r="G3042" s="50" t="s">
        <v>574</v>
      </c>
      <c r="H3042" s="50">
        <v>2</v>
      </c>
      <c r="I3042" s="100">
        <v>6.7391919697301583</v>
      </c>
      <c r="J3042" s="52">
        <v>3834.68</v>
      </c>
      <c r="K3042" s="67">
        <f t="shared" si="192"/>
        <v>68818.962736197136</v>
      </c>
      <c r="L3042" s="95">
        <f>+VLOOKUP(E3042,MARGEN!A:B,2,FALSE)</f>
        <v>0.1</v>
      </c>
      <c r="M3042" s="112">
        <f t="shared" si="189"/>
        <v>6881.8962736197136</v>
      </c>
      <c r="N3042" s="113">
        <f t="shared" si="190"/>
        <v>275.27585094478854</v>
      </c>
      <c r="O3042" s="113">
        <f t="shared" si="191"/>
        <v>61661.790611632634</v>
      </c>
    </row>
    <row r="3043" spans="1:15" x14ac:dyDescent="0.25">
      <c r="A3043" s="13">
        <v>44460</v>
      </c>
      <c r="B3043" s="97">
        <v>2567</v>
      </c>
      <c r="C3043" t="s">
        <v>310</v>
      </c>
      <c r="D3043" s="94" t="s">
        <v>540</v>
      </c>
      <c r="E3043" t="s">
        <v>17</v>
      </c>
      <c r="F3043" t="s">
        <v>573</v>
      </c>
      <c r="G3043" s="50" t="s">
        <v>574</v>
      </c>
      <c r="H3043" s="50">
        <v>2</v>
      </c>
      <c r="I3043" s="100">
        <v>6.7391919697301583</v>
      </c>
      <c r="J3043" s="52">
        <v>3834.68</v>
      </c>
      <c r="K3043" s="67">
        <f t="shared" si="192"/>
        <v>66338.068848598588</v>
      </c>
      <c r="L3043" s="95">
        <f>+VLOOKUP(E3043,MARGEN!A:B,2,FALSE)</f>
        <v>0.1</v>
      </c>
      <c r="M3043" s="112">
        <f t="shared" si="189"/>
        <v>6633.8068848598596</v>
      </c>
      <c r="N3043" s="113">
        <f t="shared" si="190"/>
        <v>265.35227539439433</v>
      </c>
      <c r="O3043" s="113">
        <f t="shared" si="191"/>
        <v>59438.909688344334</v>
      </c>
    </row>
    <row r="3044" spans="1:15" x14ac:dyDescent="0.25">
      <c r="A3044" s="13">
        <v>44460</v>
      </c>
      <c r="B3044" s="97">
        <v>2519</v>
      </c>
      <c r="C3044" t="s">
        <v>146</v>
      </c>
      <c r="D3044" s="94" t="s">
        <v>348</v>
      </c>
      <c r="E3044" t="s">
        <v>17</v>
      </c>
      <c r="F3044" t="s">
        <v>573</v>
      </c>
      <c r="G3044" s="50" t="s">
        <v>574</v>
      </c>
      <c r="H3044" s="50">
        <v>2</v>
      </c>
      <c r="I3044" s="100">
        <v>6.7391919697301583</v>
      </c>
      <c r="J3044" s="52">
        <v>3834.68</v>
      </c>
      <c r="K3044" s="67">
        <f t="shared" si="192"/>
        <v>65097.621904799322</v>
      </c>
      <c r="L3044" s="95">
        <f>+VLOOKUP(E3044,MARGEN!A:B,2,FALSE)</f>
        <v>0.1</v>
      </c>
      <c r="M3044" s="112">
        <f t="shared" si="189"/>
        <v>6509.7621904799325</v>
      </c>
      <c r="N3044" s="113">
        <f t="shared" si="190"/>
        <v>260.3904876191973</v>
      </c>
      <c r="O3044" s="113">
        <f t="shared" si="191"/>
        <v>58327.469226700196</v>
      </c>
    </row>
    <row r="3045" spans="1:15" x14ac:dyDescent="0.25">
      <c r="A3045" s="13">
        <v>44460</v>
      </c>
      <c r="B3045" s="97">
        <v>2519</v>
      </c>
      <c r="C3045" t="s">
        <v>127</v>
      </c>
      <c r="D3045" s="94" t="s">
        <v>411</v>
      </c>
      <c r="E3045" t="s">
        <v>17</v>
      </c>
      <c r="F3045" t="s">
        <v>573</v>
      </c>
      <c r="G3045" s="50" t="s">
        <v>574</v>
      </c>
      <c r="H3045" s="50">
        <v>2</v>
      </c>
      <c r="I3045" s="100">
        <v>6.7391919697301583</v>
      </c>
      <c r="J3045" s="52">
        <v>3834.68</v>
      </c>
      <c r="K3045" s="67">
        <f t="shared" si="192"/>
        <v>65097.621904799322</v>
      </c>
      <c r="L3045" s="95">
        <f>+VLOOKUP(E3045,MARGEN!A:B,2,FALSE)</f>
        <v>0.1</v>
      </c>
      <c r="M3045" s="112">
        <f t="shared" si="189"/>
        <v>6509.7621904799325</v>
      </c>
      <c r="N3045" s="113">
        <f t="shared" si="190"/>
        <v>260.3904876191973</v>
      </c>
      <c r="O3045" s="113">
        <f t="shared" si="191"/>
        <v>58327.469226700196</v>
      </c>
    </row>
    <row r="3046" spans="1:15" x14ac:dyDescent="0.25">
      <c r="A3046" s="13">
        <v>44460</v>
      </c>
      <c r="B3046" s="97">
        <v>2447</v>
      </c>
      <c r="C3046" t="s">
        <v>163</v>
      </c>
      <c r="D3046" s="94" t="s">
        <v>398</v>
      </c>
      <c r="E3046" t="s">
        <v>17</v>
      </c>
      <c r="F3046" t="s">
        <v>573</v>
      </c>
      <c r="G3046" s="50" t="s">
        <v>574</v>
      </c>
      <c r="H3046" s="50">
        <v>2</v>
      </c>
      <c r="I3046" s="100">
        <v>6.7391919697301583</v>
      </c>
      <c r="J3046" s="52">
        <v>3834.68</v>
      </c>
      <c r="K3046" s="67">
        <f t="shared" si="192"/>
        <v>63236.951489100415</v>
      </c>
      <c r="L3046" s="95">
        <f>+VLOOKUP(E3046,MARGEN!A:B,2,FALSE)</f>
        <v>0.1</v>
      </c>
      <c r="M3046" s="112">
        <f t="shared" si="189"/>
        <v>6323.695148910042</v>
      </c>
      <c r="N3046" s="113">
        <f t="shared" si="190"/>
        <v>252.94780595640165</v>
      </c>
      <c r="O3046" s="113">
        <f t="shared" si="191"/>
        <v>56660.308534233976</v>
      </c>
    </row>
    <row r="3047" spans="1:15" x14ac:dyDescent="0.25">
      <c r="A3047" s="13">
        <v>44460</v>
      </c>
      <c r="B3047" s="97">
        <v>2447</v>
      </c>
      <c r="C3047" t="s">
        <v>162</v>
      </c>
      <c r="D3047" t="s">
        <v>391</v>
      </c>
      <c r="E3047" t="s">
        <v>17</v>
      </c>
      <c r="F3047" t="s">
        <v>558</v>
      </c>
      <c r="G3047" s="50" t="s">
        <v>574</v>
      </c>
      <c r="H3047" s="50">
        <v>2</v>
      </c>
      <c r="I3047" s="100">
        <v>6.7391919697301583</v>
      </c>
      <c r="J3047" s="52">
        <v>3834.68</v>
      </c>
      <c r="K3047" s="67">
        <f t="shared" si="192"/>
        <v>63236.951489100415</v>
      </c>
      <c r="L3047" s="95">
        <f>+VLOOKUP(E3047,MARGEN!A:B,2,FALSE)</f>
        <v>0.1</v>
      </c>
      <c r="M3047" s="112">
        <f t="shared" si="189"/>
        <v>6323.695148910042</v>
      </c>
      <c r="N3047" s="113">
        <f t="shared" si="190"/>
        <v>252.94780595640165</v>
      </c>
      <c r="O3047" s="113">
        <f t="shared" si="191"/>
        <v>56660.308534233976</v>
      </c>
    </row>
    <row r="3048" spans="1:15" x14ac:dyDescent="0.25">
      <c r="A3048" s="13">
        <v>44460</v>
      </c>
      <c r="B3048" s="97">
        <v>2399</v>
      </c>
      <c r="C3048" t="s">
        <v>281</v>
      </c>
      <c r="D3048" s="94" t="s">
        <v>495</v>
      </c>
      <c r="E3048" t="s">
        <v>17</v>
      </c>
      <c r="F3048" t="s">
        <v>573</v>
      </c>
      <c r="G3048" s="50" t="s">
        <v>574</v>
      </c>
      <c r="H3048" s="50">
        <v>2</v>
      </c>
      <c r="I3048" s="100">
        <v>6.7391919697301583</v>
      </c>
      <c r="J3048" s="52">
        <v>3834.68</v>
      </c>
      <c r="K3048" s="67">
        <f t="shared" si="192"/>
        <v>61996.504545301133</v>
      </c>
      <c r="L3048" s="95">
        <f>+VLOOKUP(E3048,MARGEN!A:B,2,FALSE)</f>
        <v>0.1</v>
      </c>
      <c r="M3048" s="112">
        <f t="shared" si="189"/>
        <v>6199.6504545301141</v>
      </c>
      <c r="N3048" s="113">
        <f t="shared" si="190"/>
        <v>247.98601818120454</v>
      </c>
      <c r="O3048" s="113">
        <f t="shared" si="191"/>
        <v>55548.868072589816</v>
      </c>
    </row>
    <row r="3049" spans="1:15" x14ac:dyDescent="0.25">
      <c r="A3049" s="13">
        <v>44460</v>
      </c>
      <c r="B3049" s="97">
        <v>2327</v>
      </c>
      <c r="C3049" t="s">
        <v>156</v>
      </c>
      <c r="D3049" t="s">
        <v>429</v>
      </c>
      <c r="E3049" t="s">
        <v>17</v>
      </c>
      <c r="F3049" t="s">
        <v>573</v>
      </c>
      <c r="G3049" s="50" t="s">
        <v>574</v>
      </c>
      <c r="H3049" s="50">
        <v>2</v>
      </c>
      <c r="I3049" s="100">
        <v>6.7391919697301583</v>
      </c>
      <c r="J3049" s="52">
        <v>3834.68</v>
      </c>
      <c r="K3049" s="67">
        <f t="shared" si="192"/>
        <v>60135.834129602234</v>
      </c>
      <c r="L3049" s="95">
        <f>+VLOOKUP(E3049,MARGEN!A:B,2,FALSE)</f>
        <v>0.1</v>
      </c>
      <c r="M3049" s="112">
        <f t="shared" si="189"/>
        <v>6013.5834129602235</v>
      </c>
      <c r="N3049" s="113">
        <f t="shared" si="190"/>
        <v>240.54333651840892</v>
      </c>
      <c r="O3049" s="113">
        <f t="shared" si="191"/>
        <v>53881.707380123604</v>
      </c>
    </row>
    <row r="3050" spans="1:15" x14ac:dyDescent="0.25">
      <c r="A3050" s="13">
        <v>44460</v>
      </c>
      <c r="B3050" s="97">
        <v>2303</v>
      </c>
      <c r="C3050" t="s">
        <v>128</v>
      </c>
      <c r="D3050" s="94" t="s">
        <v>416</v>
      </c>
      <c r="E3050" t="s">
        <v>17</v>
      </c>
      <c r="F3050" t="s">
        <v>573</v>
      </c>
      <c r="G3050" s="50" t="s">
        <v>574</v>
      </c>
      <c r="H3050" s="50">
        <v>2</v>
      </c>
      <c r="I3050" s="100">
        <v>6.7391919697301583</v>
      </c>
      <c r="J3050" s="52">
        <v>3834.68</v>
      </c>
      <c r="K3050" s="67">
        <f t="shared" si="192"/>
        <v>59515.610657702593</v>
      </c>
      <c r="L3050" s="95">
        <f>+VLOOKUP(E3050,MARGEN!A:B,2,FALSE)</f>
        <v>0.1</v>
      </c>
      <c r="M3050" s="112">
        <f t="shared" si="189"/>
        <v>5951.56106577026</v>
      </c>
      <c r="N3050" s="113">
        <f t="shared" si="190"/>
        <v>238.06244263081038</v>
      </c>
      <c r="O3050" s="113">
        <f t="shared" si="191"/>
        <v>53325.987149301516</v>
      </c>
    </row>
    <row r="3051" spans="1:15" x14ac:dyDescent="0.25">
      <c r="A3051" s="13">
        <v>44460</v>
      </c>
      <c r="B3051" s="97">
        <v>2303</v>
      </c>
      <c r="C3051" t="s">
        <v>130</v>
      </c>
      <c r="D3051" t="s">
        <v>367</v>
      </c>
      <c r="E3051" t="s">
        <v>17</v>
      </c>
      <c r="F3051" t="s">
        <v>558</v>
      </c>
      <c r="G3051" s="50" t="s">
        <v>574</v>
      </c>
      <c r="H3051" s="50">
        <v>2</v>
      </c>
      <c r="I3051" s="100">
        <v>6.7391919697301583</v>
      </c>
      <c r="J3051" s="52">
        <v>3834.68</v>
      </c>
      <c r="K3051" s="67">
        <f t="shared" si="192"/>
        <v>59515.610657702593</v>
      </c>
      <c r="L3051" s="95">
        <f>+VLOOKUP(E3051,MARGEN!A:B,2,FALSE)</f>
        <v>0.1</v>
      </c>
      <c r="M3051" s="112">
        <f t="shared" si="189"/>
        <v>5951.56106577026</v>
      </c>
      <c r="N3051" s="113">
        <f t="shared" si="190"/>
        <v>238.06244263081038</v>
      </c>
      <c r="O3051" s="113">
        <f t="shared" si="191"/>
        <v>53325.987149301516</v>
      </c>
    </row>
    <row r="3052" spans="1:15" x14ac:dyDescent="0.25">
      <c r="A3052" s="13">
        <v>44460</v>
      </c>
      <c r="B3052" s="97">
        <v>2303</v>
      </c>
      <c r="C3052" t="s">
        <v>283</v>
      </c>
      <c r="D3052" t="s">
        <v>543</v>
      </c>
      <c r="E3052" t="s">
        <v>17</v>
      </c>
      <c r="F3052" t="s">
        <v>558</v>
      </c>
      <c r="G3052" s="50" t="s">
        <v>574</v>
      </c>
      <c r="H3052" s="50">
        <v>2</v>
      </c>
      <c r="I3052" s="100">
        <v>6.7391919697301583</v>
      </c>
      <c r="J3052" s="52">
        <v>3834.68</v>
      </c>
      <c r="K3052" s="67">
        <f t="shared" si="192"/>
        <v>59515.610657702593</v>
      </c>
      <c r="L3052" s="95">
        <f>+VLOOKUP(E3052,MARGEN!A:B,2,FALSE)</f>
        <v>0.1</v>
      </c>
      <c r="M3052" s="112">
        <f t="shared" si="189"/>
        <v>5951.56106577026</v>
      </c>
      <c r="N3052" s="113">
        <f t="shared" si="190"/>
        <v>238.06244263081038</v>
      </c>
      <c r="O3052" s="113">
        <f t="shared" si="191"/>
        <v>53325.987149301516</v>
      </c>
    </row>
    <row r="3053" spans="1:15" x14ac:dyDescent="0.25">
      <c r="A3053" s="13">
        <v>44460</v>
      </c>
      <c r="B3053" s="97">
        <v>2279</v>
      </c>
      <c r="C3053" t="s">
        <v>122</v>
      </c>
      <c r="D3053" t="s">
        <v>446</v>
      </c>
      <c r="E3053" t="s">
        <v>17</v>
      </c>
      <c r="F3053" t="s">
        <v>573</v>
      </c>
      <c r="G3053" s="50" t="s">
        <v>574</v>
      </c>
      <c r="H3053" s="50">
        <v>2</v>
      </c>
      <c r="I3053" s="100">
        <v>6.7391919697301583</v>
      </c>
      <c r="J3053" s="52">
        <v>3834.68</v>
      </c>
      <c r="K3053" s="67">
        <f t="shared" si="192"/>
        <v>58895.387185802952</v>
      </c>
      <c r="L3053" s="95">
        <f>+VLOOKUP(E3053,MARGEN!A:B,2,FALSE)</f>
        <v>0.1</v>
      </c>
      <c r="M3053" s="112">
        <f t="shared" si="189"/>
        <v>5889.5387185802956</v>
      </c>
      <c r="N3053" s="113">
        <f t="shared" si="190"/>
        <v>235.58154874321181</v>
      </c>
      <c r="O3053" s="113">
        <f t="shared" si="191"/>
        <v>52770.266918479443</v>
      </c>
    </row>
    <row r="3054" spans="1:15" x14ac:dyDescent="0.25">
      <c r="A3054" s="13">
        <v>44460</v>
      </c>
      <c r="B3054" s="97">
        <v>2255</v>
      </c>
      <c r="C3054" t="s">
        <v>305</v>
      </c>
      <c r="D3054" t="s">
        <v>523</v>
      </c>
      <c r="E3054" t="s">
        <v>17</v>
      </c>
      <c r="F3054" t="s">
        <v>558</v>
      </c>
      <c r="G3054" s="50" t="s">
        <v>574</v>
      </c>
      <c r="H3054" s="50">
        <v>2</v>
      </c>
      <c r="I3054" s="100">
        <v>6.7391919697301583</v>
      </c>
      <c r="J3054" s="52">
        <v>3834.68</v>
      </c>
      <c r="K3054" s="67">
        <f t="shared" si="192"/>
        <v>58275.163713903326</v>
      </c>
      <c r="L3054" s="95">
        <f>+VLOOKUP(E3054,MARGEN!A:B,2,FALSE)</f>
        <v>0.1</v>
      </c>
      <c r="M3054" s="112">
        <f t="shared" si="189"/>
        <v>5827.516371390333</v>
      </c>
      <c r="N3054" s="113">
        <f t="shared" si="190"/>
        <v>233.1006548556133</v>
      </c>
      <c r="O3054" s="113">
        <f t="shared" si="191"/>
        <v>52214.546687657385</v>
      </c>
    </row>
    <row r="3055" spans="1:15" x14ac:dyDescent="0.25">
      <c r="A3055" s="13">
        <v>44460</v>
      </c>
      <c r="B3055" s="97">
        <v>2231</v>
      </c>
      <c r="C3055" t="s">
        <v>126</v>
      </c>
      <c r="D3055" s="94" t="s">
        <v>438</v>
      </c>
      <c r="E3055" t="s">
        <v>17</v>
      </c>
      <c r="F3055" t="s">
        <v>573</v>
      </c>
      <c r="G3055" s="50" t="s">
        <v>574</v>
      </c>
      <c r="H3055" s="50">
        <v>2</v>
      </c>
      <c r="I3055" s="100">
        <v>6.7391919697301583</v>
      </c>
      <c r="J3055" s="52">
        <v>3834.68</v>
      </c>
      <c r="K3055" s="67">
        <f t="shared" si="192"/>
        <v>57654.940242003679</v>
      </c>
      <c r="L3055" s="95">
        <f>+VLOOKUP(E3055,MARGEN!A:B,2,FALSE)</f>
        <v>0.1</v>
      </c>
      <c r="M3055" s="112">
        <f t="shared" si="189"/>
        <v>5765.4940242003686</v>
      </c>
      <c r="N3055" s="113">
        <f t="shared" si="190"/>
        <v>230.6197609680147</v>
      </c>
      <c r="O3055" s="113">
        <f t="shared" si="191"/>
        <v>51658.826456835297</v>
      </c>
    </row>
    <row r="3056" spans="1:15" x14ac:dyDescent="0.25">
      <c r="A3056" s="13">
        <v>44460</v>
      </c>
      <c r="B3056" s="97">
        <v>2183</v>
      </c>
      <c r="C3056" t="s">
        <v>284</v>
      </c>
      <c r="D3056" s="94" t="s">
        <v>525</v>
      </c>
      <c r="E3056" t="s">
        <v>17</v>
      </c>
      <c r="F3056" t="s">
        <v>558</v>
      </c>
      <c r="G3056" s="50" t="s">
        <v>574</v>
      </c>
      <c r="H3056" s="50">
        <v>2</v>
      </c>
      <c r="I3056" s="100">
        <v>6.7391919697301583</v>
      </c>
      <c r="J3056" s="52">
        <v>3834.68</v>
      </c>
      <c r="K3056" s="67">
        <f t="shared" si="192"/>
        <v>56414.493298204405</v>
      </c>
      <c r="L3056" s="95">
        <f>+VLOOKUP(E3056,MARGEN!A:B,2,FALSE)</f>
        <v>0.1</v>
      </c>
      <c r="M3056" s="112">
        <f t="shared" si="189"/>
        <v>5641.4493298204407</v>
      </c>
      <c r="N3056" s="113">
        <f t="shared" si="190"/>
        <v>225.65797319281762</v>
      </c>
      <c r="O3056" s="113">
        <f t="shared" si="191"/>
        <v>50547.385995191151</v>
      </c>
    </row>
    <row r="3057" spans="1:15" x14ac:dyDescent="0.25">
      <c r="A3057" s="13">
        <v>44460</v>
      </c>
      <c r="B3057" s="97">
        <v>2159</v>
      </c>
      <c r="C3057" t="s">
        <v>282</v>
      </c>
      <c r="D3057" t="s">
        <v>494</v>
      </c>
      <c r="E3057" t="s">
        <v>17</v>
      </c>
      <c r="F3057" t="s">
        <v>558</v>
      </c>
      <c r="G3057" s="50" t="s">
        <v>574</v>
      </c>
      <c r="H3057" s="50">
        <v>2</v>
      </c>
      <c r="I3057" s="100">
        <v>6.7391919697301583</v>
      </c>
      <c r="J3057" s="52">
        <v>3834.68</v>
      </c>
      <c r="K3057" s="67">
        <f t="shared" si="192"/>
        <v>55794.269826304779</v>
      </c>
      <c r="L3057" s="95">
        <f>+VLOOKUP(E3057,MARGEN!A:B,2,FALSE)</f>
        <v>0.1</v>
      </c>
      <c r="M3057" s="112">
        <f t="shared" si="189"/>
        <v>5579.4269826304781</v>
      </c>
      <c r="N3057" s="113">
        <f t="shared" si="190"/>
        <v>223.17707930521911</v>
      </c>
      <c r="O3057" s="113">
        <f t="shared" si="191"/>
        <v>49991.665764369078</v>
      </c>
    </row>
    <row r="3058" spans="1:15" x14ac:dyDescent="0.25">
      <c r="A3058" s="13">
        <v>44460</v>
      </c>
      <c r="B3058" s="97">
        <v>2135</v>
      </c>
      <c r="C3058" t="s">
        <v>157</v>
      </c>
      <c r="D3058" s="94" t="s">
        <v>435</v>
      </c>
      <c r="E3058" t="s">
        <v>17</v>
      </c>
      <c r="F3058" t="s">
        <v>573</v>
      </c>
      <c r="G3058" s="50" t="s">
        <v>574</v>
      </c>
      <c r="H3058" s="50">
        <v>2</v>
      </c>
      <c r="I3058" s="100">
        <v>6.7391919697301583</v>
      </c>
      <c r="J3058" s="52">
        <v>3834.68</v>
      </c>
      <c r="K3058" s="67">
        <f t="shared" si="192"/>
        <v>55174.046354405145</v>
      </c>
      <c r="L3058" s="95">
        <f>+VLOOKUP(E3058,MARGEN!A:B,2,FALSE)</f>
        <v>0.1</v>
      </c>
      <c r="M3058" s="112">
        <f t="shared" si="189"/>
        <v>5517.4046354405145</v>
      </c>
      <c r="N3058" s="113">
        <f t="shared" si="190"/>
        <v>220.69618541762057</v>
      </c>
      <c r="O3058" s="113">
        <f t="shared" si="191"/>
        <v>49435.945533547012</v>
      </c>
    </row>
    <row r="3059" spans="1:15" x14ac:dyDescent="0.25">
      <c r="A3059" s="13">
        <v>44460</v>
      </c>
      <c r="B3059" s="97">
        <v>2135</v>
      </c>
      <c r="C3059" t="s">
        <v>312</v>
      </c>
      <c r="D3059" t="s">
        <v>542</v>
      </c>
      <c r="E3059" t="s">
        <v>17</v>
      </c>
      <c r="F3059" t="s">
        <v>573</v>
      </c>
      <c r="G3059" s="50" t="s">
        <v>574</v>
      </c>
      <c r="H3059" s="50">
        <v>2</v>
      </c>
      <c r="I3059" s="100">
        <v>6.7391919697301583</v>
      </c>
      <c r="J3059" s="52">
        <v>3834.68</v>
      </c>
      <c r="K3059" s="67">
        <f t="shared" si="192"/>
        <v>55174.046354405145</v>
      </c>
      <c r="L3059" s="95">
        <f>+VLOOKUP(E3059,MARGEN!A:B,2,FALSE)</f>
        <v>0.1</v>
      </c>
      <c r="M3059" s="112">
        <f t="shared" si="189"/>
        <v>5517.4046354405145</v>
      </c>
      <c r="N3059" s="113">
        <f t="shared" si="190"/>
        <v>220.69618541762057</v>
      </c>
      <c r="O3059" s="113">
        <f t="shared" si="191"/>
        <v>49435.945533547012</v>
      </c>
    </row>
    <row r="3060" spans="1:15" x14ac:dyDescent="0.25">
      <c r="A3060" s="13">
        <v>44460</v>
      </c>
      <c r="B3060" s="97">
        <v>2111</v>
      </c>
      <c r="C3060" t="s">
        <v>306</v>
      </c>
      <c r="D3060" t="s">
        <v>524</v>
      </c>
      <c r="E3060" t="s">
        <v>17</v>
      </c>
      <c r="F3060" t="s">
        <v>558</v>
      </c>
      <c r="G3060" s="50" t="s">
        <v>574</v>
      </c>
      <c r="H3060" s="50">
        <v>2</v>
      </c>
      <c r="I3060" s="100">
        <v>6.7391919697301583</v>
      </c>
      <c r="J3060" s="52">
        <v>3834.68</v>
      </c>
      <c r="K3060" s="67">
        <f t="shared" si="192"/>
        <v>54553.822882505498</v>
      </c>
      <c r="L3060" s="95">
        <f>+VLOOKUP(E3060,MARGEN!A:B,2,FALSE)</f>
        <v>0.1</v>
      </c>
      <c r="M3060" s="112">
        <f t="shared" si="189"/>
        <v>5455.3822882505501</v>
      </c>
      <c r="N3060" s="113">
        <f t="shared" si="190"/>
        <v>218.215291530022</v>
      </c>
      <c r="O3060" s="113">
        <f t="shared" si="191"/>
        <v>48880.225302724924</v>
      </c>
    </row>
    <row r="3061" spans="1:15" x14ac:dyDescent="0.25">
      <c r="A3061" s="13">
        <v>44460</v>
      </c>
      <c r="B3061" s="97">
        <v>2015</v>
      </c>
      <c r="C3061" t="s">
        <v>123</v>
      </c>
      <c r="D3061" s="94" t="s">
        <v>396</v>
      </c>
      <c r="E3061" t="s">
        <v>17</v>
      </c>
      <c r="F3061" t="s">
        <v>573</v>
      </c>
      <c r="G3061" s="50" t="s">
        <v>574</v>
      </c>
      <c r="H3061" s="50">
        <v>2</v>
      </c>
      <c r="I3061" s="100">
        <v>6.7391919697301583</v>
      </c>
      <c r="J3061" s="52">
        <v>3834.68</v>
      </c>
      <c r="K3061" s="67">
        <f t="shared" si="192"/>
        <v>52072.928994906957</v>
      </c>
      <c r="L3061" s="95">
        <f>+VLOOKUP(E3061,MARGEN!A:B,2,FALSE)</f>
        <v>0.1</v>
      </c>
      <c r="M3061" s="112">
        <f t="shared" si="189"/>
        <v>5207.2928994906961</v>
      </c>
      <c r="N3061" s="113">
        <f t="shared" si="190"/>
        <v>208.29171597962784</v>
      </c>
      <c r="O3061" s="113">
        <f t="shared" si="191"/>
        <v>46657.344379436632</v>
      </c>
    </row>
    <row r="3062" spans="1:15" x14ac:dyDescent="0.25">
      <c r="A3062" s="13">
        <v>44460</v>
      </c>
      <c r="B3062" s="97">
        <v>1967</v>
      </c>
      <c r="C3062" t="s">
        <v>295</v>
      </c>
      <c r="D3062" s="94" t="s">
        <v>532</v>
      </c>
      <c r="E3062" t="s">
        <v>17</v>
      </c>
      <c r="F3062" t="s">
        <v>573</v>
      </c>
      <c r="G3062" s="50" t="s">
        <v>574</v>
      </c>
      <c r="H3062" s="50">
        <v>2</v>
      </c>
      <c r="I3062" s="100">
        <v>6.7391919697301583</v>
      </c>
      <c r="J3062" s="52">
        <v>3834.68</v>
      </c>
      <c r="K3062" s="67">
        <f t="shared" si="192"/>
        <v>50832.482051107683</v>
      </c>
      <c r="L3062" s="95">
        <f>+VLOOKUP(E3062,MARGEN!A:B,2,FALSE)</f>
        <v>0.1</v>
      </c>
      <c r="M3062" s="112">
        <f t="shared" si="189"/>
        <v>5083.248205110769</v>
      </c>
      <c r="N3062" s="113">
        <f t="shared" si="190"/>
        <v>203.32992820443073</v>
      </c>
      <c r="O3062" s="113">
        <f t="shared" si="191"/>
        <v>45545.903917792486</v>
      </c>
    </row>
    <row r="3063" spans="1:15" x14ac:dyDescent="0.25">
      <c r="A3063" s="13">
        <v>44460</v>
      </c>
      <c r="B3063" s="97">
        <v>1967</v>
      </c>
      <c r="C3063" t="s">
        <v>155</v>
      </c>
      <c r="D3063" s="94" t="s">
        <v>399</v>
      </c>
      <c r="E3063" t="s">
        <v>17</v>
      </c>
      <c r="F3063" t="s">
        <v>573</v>
      </c>
      <c r="G3063" s="50" t="s">
        <v>574</v>
      </c>
      <c r="H3063" s="50">
        <v>2</v>
      </c>
      <c r="I3063" s="100">
        <v>6.7391919697301583</v>
      </c>
      <c r="J3063" s="52">
        <v>3834.68</v>
      </c>
      <c r="K3063" s="67">
        <f t="shared" si="192"/>
        <v>50832.482051107683</v>
      </c>
      <c r="L3063" s="95">
        <f>+VLOOKUP(E3063,MARGEN!A:B,2,FALSE)</f>
        <v>0.1</v>
      </c>
      <c r="M3063" s="112">
        <f t="shared" si="189"/>
        <v>5083.248205110769</v>
      </c>
      <c r="N3063" s="113">
        <f t="shared" si="190"/>
        <v>203.32992820443073</v>
      </c>
      <c r="O3063" s="113">
        <f t="shared" si="191"/>
        <v>45545.903917792486</v>
      </c>
    </row>
    <row r="3064" spans="1:15" x14ac:dyDescent="0.25">
      <c r="A3064" s="13">
        <v>44460</v>
      </c>
      <c r="B3064" s="97">
        <v>1871</v>
      </c>
      <c r="C3064" t="s">
        <v>304</v>
      </c>
      <c r="D3064" t="s">
        <v>522</v>
      </c>
      <c r="E3064" t="s">
        <v>17</v>
      </c>
      <c r="F3064" t="s">
        <v>573</v>
      </c>
      <c r="G3064" s="50" t="s">
        <v>574</v>
      </c>
      <c r="H3064" s="50">
        <v>2</v>
      </c>
      <c r="I3064" s="100">
        <v>6.7391919697301583</v>
      </c>
      <c r="J3064" s="52">
        <v>3834.68</v>
      </c>
      <c r="K3064" s="67">
        <f t="shared" si="192"/>
        <v>48351.588163509143</v>
      </c>
      <c r="L3064" s="95">
        <f>+VLOOKUP(E3064,MARGEN!A:B,2,FALSE)</f>
        <v>0.1</v>
      </c>
      <c r="M3064" s="112">
        <f t="shared" si="189"/>
        <v>4835.1588163509141</v>
      </c>
      <c r="N3064" s="113">
        <f t="shared" si="190"/>
        <v>193.40635265403657</v>
      </c>
      <c r="O3064" s="113">
        <f t="shared" si="191"/>
        <v>43323.022994504194</v>
      </c>
    </row>
    <row r="3065" spans="1:15" x14ac:dyDescent="0.25">
      <c r="A3065" s="13">
        <v>44460</v>
      </c>
      <c r="B3065" s="97">
        <v>1847</v>
      </c>
      <c r="C3065" t="s">
        <v>125</v>
      </c>
      <c r="D3065" t="s">
        <v>341</v>
      </c>
      <c r="E3065" t="s">
        <v>17</v>
      </c>
      <c r="F3065" t="s">
        <v>573</v>
      </c>
      <c r="G3065" s="50" t="s">
        <v>574</v>
      </c>
      <c r="H3065" s="50">
        <v>2</v>
      </c>
      <c r="I3065" s="100">
        <v>6.7391919697301583</v>
      </c>
      <c r="J3065" s="52">
        <v>3834.68</v>
      </c>
      <c r="K3065" s="67">
        <f t="shared" si="192"/>
        <v>47731.364691609502</v>
      </c>
      <c r="L3065" s="95">
        <f>+VLOOKUP(E3065,MARGEN!A:B,2,FALSE)</f>
        <v>0.1</v>
      </c>
      <c r="M3065" s="112">
        <f t="shared" si="189"/>
        <v>4773.1364691609506</v>
      </c>
      <c r="N3065" s="113">
        <f t="shared" si="190"/>
        <v>190.925458766438</v>
      </c>
      <c r="O3065" s="113">
        <f t="shared" si="191"/>
        <v>42767.302763682113</v>
      </c>
    </row>
    <row r="3066" spans="1:15" x14ac:dyDescent="0.25">
      <c r="A3066" s="13">
        <v>44460</v>
      </c>
      <c r="B3066" s="97">
        <v>1823</v>
      </c>
      <c r="C3066" t="s">
        <v>124</v>
      </c>
      <c r="D3066" t="s">
        <v>388</v>
      </c>
      <c r="E3066" t="s">
        <v>17</v>
      </c>
      <c r="F3066" t="s">
        <v>558</v>
      </c>
      <c r="G3066" s="50" t="s">
        <v>574</v>
      </c>
      <c r="H3066" s="50">
        <v>2</v>
      </c>
      <c r="I3066" s="100">
        <v>6.7391919697301583</v>
      </c>
      <c r="J3066" s="52">
        <v>3834.68</v>
      </c>
      <c r="K3066" s="67">
        <f t="shared" si="192"/>
        <v>47111.141219709876</v>
      </c>
      <c r="L3066" s="95">
        <f>+VLOOKUP(E3066,MARGEN!A:B,2,FALSE)</f>
        <v>0.1</v>
      </c>
      <c r="M3066" s="112">
        <f t="shared" si="189"/>
        <v>4711.114121970988</v>
      </c>
      <c r="N3066" s="113">
        <f t="shared" si="190"/>
        <v>188.44456487883951</v>
      </c>
      <c r="O3066" s="113">
        <f t="shared" si="191"/>
        <v>42211.582532860048</v>
      </c>
    </row>
    <row r="3067" spans="1:15" x14ac:dyDescent="0.25">
      <c r="A3067" s="13">
        <v>44460</v>
      </c>
      <c r="B3067" s="97">
        <v>1823</v>
      </c>
      <c r="C3067" t="s">
        <v>159</v>
      </c>
      <c r="D3067" t="s">
        <v>360</v>
      </c>
      <c r="E3067" t="s">
        <v>17</v>
      </c>
      <c r="F3067" t="s">
        <v>558</v>
      </c>
      <c r="G3067" s="50" t="s">
        <v>574</v>
      </c>
      <c r="H3067" s="50">
        <v>2</v>
      </c>
      <c r="I3067" s="100">
        <v>6.7391919697301583</v>
      </c>
      <c r="J3067" s="52">
        <v>3834.68</v>
      </c>
      <c r="K3067" s="67">
        <f t="shared" si="192"/>
        <v>47111.141219709876</v>
      </c>
      <c r="L3067" s="95">
        <f>+VLOOKUP(E3067,MARGEN!A:B,2,FALSE)</f>
        <v>0.1</v>
      </c>
      <c r="M3067" s="112">
        <f t="shared" si="189"/>
        <v>4711.114121970988</v>
      </c>
      <c r="N3067" s="113">
        <f t="shared" si="190"/>
        <v>188.44456487883951</v>
      </c>
      <c r="O3067" s="113">
        <f t="shared" si="191"/>
        <v>42211.582532860048</v>
      </c>
    </row>
    <row r="3068" spans="1:15" x14ac:dyDescent="0.25">
      <c r="A3068" s="13">
        <v>44460</v>
      </c>
      <c r="B3068" s="97">
        <v>1799</v>
      </c>
      <c r="C3068" t="s">
        <v>172</v>
      </c>
      <c r="D3068" t="s">
        <v>371</v>
      </c>
      <c r="E3068" t="s">
        <v>17</v>
      </c>
      <c r="F3068" t="s">
        <v>573</v>
      </c>
      <c r="G3068" s="50" t="s">
        <v>574</v>
      </c>
      <c r="H3068" s="50">
        <v>2</v>
      </c>
      <c r="I3068" s="100">
        <v>6.7391919697301583</v>
      </c>
      <c r="J3068" s="52">
        <v>3834.68</v>
      </c>
      <c r="K3068" s="67">
        <f t="shared" si="192"/>
        <v>46490.917747810228</v>
      </c>
      <c r="L3068" s="95">
        <f>+VLOOKUP(E3068,MARGEN!A:B,2,FALSE)</f>
        <v>0.1</v>
      </c>
      <c r="M3068" s="112">
        <f t="shared" si="189"/>
        <v>4649.0917747810227</v>
      </c>
      <c r="N3068" s="113">
        <f t="shared" si="190"/>
        <v>185.96367099124092</v>
      </c>
      <c r="O3068" s="113">
        <f t="shared" si="191"/>
        <v>41655.862302037967</v>
      </c>
    </row>
    <row r="3069" spans="1:15" x14ac:dyDescent="0.25">
      <c r="A3069" s="13">
        <v>44460</v>
      </c>
      <c r="B3069" s="51">
        <v>1751</v>
      </c>
      <c r="C3069" s="66" t="s">
        <v>154</v>
      </c>
      <c r="D3069" s="66" t="s">
        <v>419</v>
      </c>
      <c r="E3069" t="s">
        <v>17</v>
      </c>
      <c r="F3069" s="50" t="s">
        <v>573</v>
      </c>
      <c r="G3069" s="50" t="s">
        <v>574</v>
      </c>
      <c r="H3069" s="50">
        <v>2</v>
      </c>
      <c r="I3069" s="100">
        <v>6.7391919697301583</v>
      </c>
      <c r="J3069" s="52">
        <v>3834.68</v>
      </c>
      <c r="K3069" s="67">
        <f t="shared" si="192"/>
        <v>45250.470804010954</v>
      </c>
      <c r="L3069" s="95">
        <f>+VLOOKUP(E3069,MARGEN!A:B,2,FALSE)</f>
        <v>0.1</v>
      </c>
      <c r="M3069" s="112">
        <f t="shared" si="189"/>
        <v>4525.0470804010956</v>
      </c>
      <c r="N3069" s="113">
        <f t="shared" si="190"/>
        <v>181.00188321604381</v>
      </c>
      <c r="O3069" s="113">
        <f t="shared" si="191"/>
        <v>40544.421840393814</v>
      </c>
    </row>
    <row r="3070" spans="1:15" x14ac:dyDescent="0.25">
      <c r="A3070" s="13">
        <v>44460</v>
      </c>
      <c r="B3070" s="97">
        <v>1727</v>
      </c>
      <c r="C3070" t="s">
        <v>170</v>
      </c>
      <c r="D3070" s="94" t="s">
        <v>437</v>
      </c>
      <c r="E3070" t="s">
        <v>17</v>
      </c>
      <c r="F3070" t="s">
        <v>573</v>
      </c>
      <c r="G3070" s="50" t="s">
        <v>574</v>
      </c>
      <c r="H3070" s="50">
        <v>2</v>
      </c>
      <c r="I3070" s="100">
        <v>6.7391919697301583</v>
      </c>
      <c r="J3070" s="52">
        <v>3834.68</v>
      </c>
      <c r="K3070" s="67">
        <f t="shared" si="192"/>
        <v>44630.247332111321</v>
      </c>
      <c r="L3070" s="95">
        <f>+VLOOKUP(E3070,MARGEN!A:B,2,FALSE)</f>
        <v>0.1</v>
      </c>
      <c r="M3070" s="112">
        <f t="shared" si="189"/>
        <v>4463.0247332111321</v>
      </c>
      <c r="N3070" s="113">
        <f t="shared" si="190"/>
        <v>178.5209893284453</v>
      </c>
      <c r="O3070" s="113">
        <f t="shared" si="191"/>
        <v>39988.701609571741</v>
      </c>
    </row>
    <row r="3071" spans="1:15" x14ac:dyDescent="0.25">
      <c r="A3071" s="13">
        <v>44460</v>
      </c>
      <c r="B3071" s="97">
        <v>1727</v>
      </c>
      <c r="C3071" t="s">
        <v>188</v>
      </c>
      <c r="D3071" t="s">
        <v>397</v>
      </c>
      <c r="E3071" t="s">
        <v>17</v>
      </c>
      <c r="F3071" t="s">
        <v>558</v>
      </c>
      <c r="G3071" s="50" t="s">
        <v>574</v>
      </c>
      <c r="H3071" s="50">
        <v>2</v>
      </c>
      <c r="I3071" s="100">
        <v>6.7391919697301583</v>
      </c>
      <c r="J3071" s="52">
        <v>3834.68</v>
      </c>
      <c r="K3071" s="67">
        <f t="shared" si="192"/>
        <v>44630.247332111321</v>
      </c>
      <c r="L3071" s="95">
        <f>+VLOOKUP(E3071,MARGEN!A:B,2,FALSE)</f>
        <v>0.1</v>
      </c>
      <c r="M3071" s="112">
        <f t="shared" si="189"/>
        <v>4463.0247332111321</v>
      </c>
      <c r="N3071" s="113">
        <f t="shared" si="190"/>
        <v>178.5209893284453</v>
      </c>
      <c r="O3071" s="113">
        <f t="shared" si="191"/>
        <v>39988.701609571741</v>
      </c>
    </row>
    <row r="3072" spans="1:15" x14ac:dyDescent="0.25">
      <c r="A3072" s="13">
        <v>44460</v>
      </c>
      <c r="B3072" s="97">
        <v>1727</v>
      </c>
      <c r="C3072" t="s">
        <v>174</v>
      </c>
      <c r="D3072" t="s">
        <v>395</v>
      </c>
      <c r="E3072" t="s">
        <v>17</v>
      </c>
      <c r="F3072" t="s">
        <v>573</v>
      </c>
      <c r="G3072" s="50" t="s">
        <v>574</v>
      </c>
      <c r="H3072" s="50">
        <v>2</v>
      </c>
      <c r="I3072" s="100">
        <v>6.7391919697301583</v>
      </c>
      <c r="J3072" s="52">
        <v>3834.68</v>
      </c>
      <c r="K3072" s="67">
        <f t="shared" si="192"/>
        <v>44630.247332111321</v>
      </c>
      <c r="L3072" s="95">
        <f>+VLOOKUP(E3072,MARGEN!A:B,2,FALSE)</f>
        <v>0.1</v>
      </c>
      <c r="M3072" s="112">
        <f t="shared" si="189"/>
        <v>4463.0247332111321</v>
      </c>
      <c r="N3072" s="113">
        <f t="shared" si="190"/>
        <v>178.5209893284453</v>
      </c>
      <c r="O3072" s="113">
        <f t="shared" si="191"/>
        <v>39988.701609571741</v>
      </c>
    </row>
    <row r="3073" spans="1:15" x14ac:dyDescent="0.25">
      <c r="A3073" s="13">
        <v>44460</v>
      </c>
      <c r="B3073" s="97">
        <v>1727</v>
      </c>
      <c r="C3073" t="s">
        <v>158</v>
      </c>
      <c r="D3073" t="s">
        <v>442</v>
      </c>
      <c r="E3073" t="s">
        <v>17</v>
      </c>
      <c r="F3073" t="s">
        <v>558</v>
      </c>
      <c r="G3073" s="50" t="s">
        <v>574</v>
      </c>
      <c r="H3073" s="50">
        <v>2</v>
      </c>
      <c r="I3073" s="100">
        <v>6.7391919697301583</v>
      </c>
      <c r="J3073" s="52">
        <v>3834.68</v>
      </c>
      <c r="K3073" s="67">
        <f t="shared" si="192"/>
        <v>44630.247332111321</v>
      </c>
      <c r="L3073" s="95">
        <f>+VLOOKUP(E3073,MARGEN!A:B,2,FALSE)</f>
        <v>0.1</v>
      </c>
      <c r="M3073" s="112">
        <f t="shared" si="189"/>
        <v>4463.0247332111321</v>
      </c>
      <c r="N3073" s="113">
        <f t="shared" si="190"/>
        <v>178.5209893284453</v>
      </c>
      <c r="O3073" s="113">
        <f t="shared" si="191"/>
        <v>39988.701609571741</v>
      </c>
    </row>
    <row r="3074" spans="1:15" x14ac:dyDescent="0.25">
      <c r="A3074" s="13">
        <v>44460</v>
      </c>
      <c r="B3074" s="97">
        <v>1703</v>
      </c>
      <c r="C3074" t="s">
        <v>120</v>
      </c>
      <c r="D3074" s="94" t="s">
        <v>452</v>
      </c>
      <c r="E3074" t="s">
        <v>17</v>
      </c>
      <c r="F3074" t="s">
        <v>573</v>
      </c>
      <c r="G3074" s="50" t="s">
        <v>574</v>
      </c>
      <c r="H3074" s="50">
        <v>2</v>
      </c>
      <c r="I3074" s="100">
        <v>6.7391919697301583</v>
      </c>
      <c r="J3074" s="52">
        <v>3834.68</v>
      </c>
      <c r="K3074" s="67">
        <f t="shared" si="192"/>
        <v>44010.023860211688</v>
      </c>
      <c r="L3074" s="95">
        <f>+VLOOKUP(E3074,MARGEN!A:B,2,FALSE)</f>
        <v>0.1</v>
      </c>
      <c r="M3074" s="112">
        <f t="shared" si="189"/>
        <v>4401.0023860211686</v>
      </c>
      <c r="N3074" s="113">
        <f t="shared" si="190"/>
        <v>176.04009544084676</v>
      </c>
      <c r="O3074" s="113">
        <f t="shared" si="191"/>
        <v>39432.981378749675</v>
      </c>
    </row>
    <row r="3075" spans="1:15" x14ac:dyDescent="0.25">
      <c r="A3075" s="13">
        <v>44460</v>
      </c>
      <c r="B3075" s="97">
        <v>1703</v>
      </c>
      <c r="C3075" t="s">
        <v>296</v>
      </c>
      <c r="D3075" s="94" t="s">
        <v>498</v>
      </c>
      <c r="E3075" t="s">
        <v>17</v>
      </c>
      <c r="F3075" t="s">
        <v>573</v>
      </c>
      <c r="G3075" s="50" t="s">
        <v>574</v>
      </c>
      <c r="H3075" s="50">
        <v>2</v>
      </c>
      <c r="I3075" s="100">
        <v>6.7391919697301583</v>
      </c>
      <c r="J3075" s="52">
        <v>3834.68</v>
      </c>
      <c r="K3075" s="67">
        <f t="shared" si="192"/>
        <v>44010.023860211688</v>
      </c>
      <c r="L3075" s="95">
        <f>+VLOOKUP(E3075,MARGEN!A:B,2,FALSE)</f>
        <v>0.1</v>
      </c>
      <c r="M3075" s="112">
        <f t="shared" ref="M3075:M3138" si="193">+K3075*L3075</f>
        <v>4401.0023860211686</v>
      </c>
      <c r="N3075" s="113">
        <f t="shared" ref="N3075:N3138" si="194">+K3075*4/1000</f>
        <v>176.04009544084676</v>
      </c>
      <c r="O3075" s="113">
        <f t="shared" ref="O3075:O3138" si="195">+K3075-M3075-N3075</f>
        <v>39432.981378749675</v>
      </c>
    </row>
    <row r="3076" spans="1:15" x14ac:dyDescent="0.25">
      <c r="A3076" s="13">
        <v>44460</v>
      </c>
      <c r="B3076" s="97">
        <v>1703</v>
      </c>
      <c r="C3076" t="s">
        <v>238</v>
      </c>
      <c r="D3076" t="s">
        <v>427</v>
      </c>
      <c r="E3076" t="s">
        <v>17</v>
      </c>
      <c r="F3076" t="s">
        <v>558</v>
      </c>
      <c r="G3076" s="50" t="s">
        <v>574</v>
      </c>
      <c r="H3076" s="50">
        <v>2</v>
      </c>
      <c r="I3076" s="100">
        <v>6.7391919697301583</v>
      </c>
      <c r="J3076" s="52">
        <v>3834.68</v>
      </c>
      <c r="K3076" s="67">
        <f t="shared" si="192"/>
        <v>44010.023860211688</v>
      </c>
      <c r="L3076" s="95">
        <f>+VLOOKUP(E3076,MARGEN!A:B,2,FALSE)</f>
        <v>0.1</v>
      </c>
      <c r="M3076" s="112">
        <f t="shared" si="193"/>
        <v>4401.0023860211686</v>
      </c>
      <c r="N3076" s="113">
        <f t="shared" si="194"/>
        <v>176.04009544084676</v>
      </c>
      <c r="O3076" s="113">
        <f t="shared" si="195"/>
        <v>39432.981378749675</v>
      </c>
    </row>
    <row r="3077" spans="1:15" x14ac:dyDescent="0.25">
      <c r="A3077" s="13">
        <v>44460</v>
      </c>
      <c r="B3077" s="97">
        <v>1703</v>
      </c>
      <c r="C3077" t="s">
        <v>286</v>
      </c>
      <c r="D3077" t="s">
        <v>531</v>
      </c>
      <c r="E3077" t="s">
        <v>17</v>
      </c>
      <c r="F3077" t="s">
        <v>558</v>
      </c>
      <c r="G3077" s="50" t="s">
        <v>574</v>
      </c>
      <c r="H3077" s="50">
        <v>2</v>
      </c>
      <c r="I3077" s="100">
        <v>6.7391919697301583</v>
      </c>
      <c r="J3077" s="52">
        <v>3834.68</v>
      </c>
      <c r="K3077" s="67">
        <f t="shared" si="192"/>
        <v>44010.023860211688</v>
      </c>
      <c r="L3077" s="95">
        <f>+VLOOKUP(E3077,MARGEN!A:B,2,FALSE)</f>
        <v>0.1</v>
      </c>
      <c r="M3077" s="112">
        <f t="shared" si="193"/>
        <v>4401.0023860211686</v>
      </c>
      <c r="N3077" s="113">
        <f t="shared" si="194"/>
        <v>176.04009544084676</v>
      </c>
      <c r="O3077" s="113">
        <f t="shared" si="195"/>
        <v>39432.981378749675</v>
      </c>
    </row>
    <row r="3078" spans="1:15" x14ac:dyDescent="0.25">
      <c r="A3078" s="13">
        <v>44460</v>
      </c>
      <c r="B3078" s="97">
        <v>1679</v>
      </c>
      <c r="C3078" t="s">
        <v>194</v>
      </c>
      <c r="D3078" s="94" t="s">
        <v>417</v>
      </c>
      <c r="E3078" t="s">
        <v>17</v>
      </c>
      <c r="F3078" t="s">
        <v>573</v>
      </c>
      <c r="G3078" s="50" t="s">
        <v>574</v>
      </c>
      <c r="H3078" s="50">
        <v>2</v>
      </c>
      <c r="I3078" s="100">
        <v>6.7391919697301583</v>
      </c>
      <c r="J3078" s="52">
        <v>3834.68</v>
      </c>
      <c r="K3078" s="67">
        <f t="shared" si="192"/>
        <v>43389.800388312047</v>
      </c>
      <c r="L3078" s="95">
        <f>+VLOOKUP(E3078,MARGEN!A:B,2,FALSE)</f>
        <v>0.1</v>
      </c>
      <c r="M3078" s="112">
        <f t="shared" si="193"/>
        <v>4338.9800388312051</v>
      </c>
      <c r="N3078" s="113">
        <f t="shared" si="194"/>
        <v>173.55920155324819</v>
      </c>
      <c r="O3078" s="113">
        <f t="shared" si="195"/>
        <v>38877.261147927595</v>
      </c>
    </row>
    <row r="3079" spans="1:15" x14ac:dyDescent="0.25">
      <c r="A3079" s="13">
        <v>44460</v>
      </c>
      <c r="B3079" s="97">
        <v>1679</v>
      </c>
      <c r="C3079" t="s">
        <v>288</v>
      </c>
      <c r="D3079" s="94" t="s">
        <v>530</v>
      </c>
      <c r="E3079" t="s">
        <v>17</v>
      </c>
      <c r="F3079" t="s">
        <v>573</v>
      </c>
      <c r="G3079" s="50" t="s">
        <v>574</v>
      </c>
      <c r="H3079" s="50">
        <v>2</v>
      </c>
      <c r="I3079" s="100">
        <v>6.7391919697301583</v>
      </c>
      <c r="J3079" s="52">
        <v>3834.68</v>
      </c>
      <c r="K3079" s="67">
        <f t="shared" si="192"/>
        <v>43389.800388312047</v>
      </c>
      <c r="L3079" s="95">
        <f>+VLOOKUP(E3079,MARGEN!A:B,2,FALSE)</f>
        <v>0.1</v>
      </c>
      <c r="M3079" s="112">
        <f t="shared" si="193"/>
        <v>4338.9800388312051</v>
      </c>
      <c r="N3079" s="113">
        <f t="shared" si="194"/>
        <v>173.55920155324819</v>
      </c>
      <c r="O3079" s="113">
        <f t="shared" si="195"/>
        <v>38877.261147927595</v>
      </c>
    </row>
    <row r="3080" spans="1:15" x14ac:dyDescent="0.25">
      <c r="A3080" s="13">
        <v>44460</v>
      </c>
      <c r="B3080" s="97">
        <v>1679</v>
      </c>
      <c r="C3080" t="s">
        <v>287</v>
      </c>
      <c r="D3080" s="94" t="s">
        <v>496</v>
      </c>
      <c r="E3080" t="s">
        <v>17</v>
      </c>
      <c r="F3080" t="s">
        <v>573</v>
      </c>
      <c r="G3080" s="50" t="s">
        <v>574</v>
      </c>
      <c r="H3080" s="50">
        <v>2</v>
      </c>
      <c r="I3080" s="100">
        <v>6.7391919697301583</v>
      </c>
      <c r="J3080" s="52">
        <v>3834.68</v>
      </c>
      <c r="K3080" s="67">
        <f t="shared" si="192"/>
        <v>43389.800388312047</v>
      </c>
      <c r="L3080" s="95">
        <f>+VLOOKUP(E3080,MARGEN!A:B,2,FALSE)</f>
        <v>0.1</v>
      </c>
      <c r="M3080" s="112">
        <f t="shared" si="193"/>
        <v>4338.9800388312051</v>
      </c>
      <c r="N3080" s="113">
        <f t="shared" si="194"/>
        <v>173.55920155324819</v>
      </c>
      <c r="O3080" s="113">
        <f t="shared" si="195"/>
        <v>38877.261147927595</v>
      </c>
    </row>
    <row r="3081" spans="1:15" x14ac:dyDescent="0.25">
      <c r="A3081" s="13">
        <v>44460</v>
      </c>
      <c r="B3081" s="97">
        <v>1679</v>
      </c>
      <c r="C3081" t="s">
        <v>121</v>
      </c>
      <c r="D3081" s="94" t="s">
        <v>381</v>
      </c>
      <c r="E3081" t="s">
        <v>17</v>
      </c>
      <c r="F3081" t="s">
        <v>573</v>
      </c>
      <c r="G3081" s="50" t="s">
        <v>574</v>
      </c>
      <c r="H3081" s="50">
        <v>2</v>
      </c>
      <c r="I3081" s="100">
        <v>6.7391919697301583</v>
      </c>
      <c r="J3081" s="52">
        <v>3834.68</v>
      </c>
      <c r="K3081" s="67">
        <f t="shared" ref="K3081:K3144" si="196">+B3081*I3081*J3081/1000</f>
        <v>43389.800388312047</v>
      </c>
      <c r="L3081" s="95">
        <f>+VLOOKUP(E3081,MARGEN!A:B,2,FALSE)</f>
        <v>0.1</v>
      </c>
      <c r="M3081" s="112">
        <f t="shared" si="193"/>
        <v>4338.9800388312051</v>
      </c>
      <c r="N3081" s="113">
        <f t="shared" si="194"/>
        <v>173.55920155324819</v>
      </c>
      <c r="O3081" s="113">
        <f t="shared" si="195"/>
        <v>38877.261147927595</v>
      </c>
    </row>
    <row r="3082" spans="1:15" x14ac:dyDescent="0.25">
      <c r="A3082" s="13">
        <v>44460</v>
      </c>
      <c r="B3082" s="97">
        <v>1679</v>
      </c>
      <c r="C3082" t="s">
        <v>175</v>
      </c>
      <c r="D3082" t="s">
        <v>432</v>
      </c>
      <c r="E3082" t="s">
        <v>17</v>
      </c>
      <c r="F3082" t="s">
        <v>558</v>
      </c>
      <c r="G3082" s="50" t="s">
        <v>574</v>
      </c>
      <c r="H3082" s="50">
        <v>2</v>
      </c>
      <c r="I3082" s="100">
        <v>6.7391919697301583</v>
      </c>
      <c r="J3082" s="52">
        <v>3834.68</v>
      </c>
      <c r="K3082" s="67">
        <f t="shared" si="196"/>
        <v>43389.800388312047</v>
      </c>
      <c r="L3082" s="95">
        <f>+VLOOKUP(E3082,MARGEN!A:B,2,FALSE)</f>
        <v>0.1</v>
      </c>
      <c r="M3082" s="112">
        <f t="shared" si="193"/>
        <v>4338.9800388312051</v>
      </c>
      <c r="N3082" s="113">
        <f t="shared" si="194"/>
        <v>173.55920155324819</v>
      </c>
      <c r="O3082" s="113">
        <f t="shared" si="195"/>
        <v>38877.261147927595</v>
      </c>
    </row>
    <row r="3083" spans="1:15" x14ac:dyDescent="0.25">
      <c r="A3083" s="13">
        <v>44460</v>
      </c>
      <c r="B3083" s="97">
        <v>1655</v>
      </c>
      <c r="C3083" t="s">
        <v>285</v>
      </c>
      <c r="D3083" t="s">
        <v>534</v>
      </c>
      <c r="E3083" t="s">
        <v>17</v>
      </c>
      <c r="F3083" t="s">
        <v>558</v>
      </c>
      <c r="G3083" s="50" t="s">
        <v>574</v>
      </c>
      <c r="H3083" s="50">
        <v>2</v>
      </c>
      <c r="I3083" s="100">
        <v>6.7391919697301583</v>
      </c>
      <c r="J3083" s="52">
        <v>3834.68</v>
      </c>
      <c r="K3083" s="67">
        <f t="shared" si="196"/>
        <v>42769.576916412421</v>
      </c>
      <c r="L3083" s="95">
        <f>+VLOOKUP(E3083,MARGEN!A:B,2,FALSE)</f>
        <v>0.1</v>
      </c>
      <c r="M3083" s="112">
        <f t="shared" si="193"/>
        <v>4276.9576916412425</v>
      </c>
      <c r="N3083" s="113">
        <f t="shared" si="194"/>
        <v>171.07830766564967</v>
      </c>
      <c r="O3083" s="113">
        <f t="shared" si="195"/>
        <v>38321.540917105529</v>
      </c>
    </row>
    <row r="3084" spans="1:15" x14ac:dyDescent="0.25">
      <c r="A3084" s="13">
        <v>44460</v>
      </c>
      <c r="B3084" s="97">
        <v>1655</v>
      </c>
      <c r="C3084" t="s">
        <v>223</v>
      </c>
      <c r="D3084" t="s">
        <v>389</v>
      </c>
      <c r="E3084" t="s">
        <v>17</v>
      </c>
      <c r="F3084" t="s">
        <v>558</v>
      </c>
      <c r="G3084" s="50" t="s">
        <v>574</v>
      </c>
      <c r="H3084" s="50">
        <v>2</v>
      </c>
      <c r="I3084" s="100">
        <v>6.7391919697301583</v>
      </c>
      <c r="J3084" s="52">
        <v>3834.68</v>
      </c>
      <c r="K3084" s="67">
        <f t="shared" si="196"/>
        <v>42769.576916412421</v>
      </c>
      <c r="L3084" s="95">
        <f>+VLOOKUP(E3084,MARGEN!A:B,2,FALSE)</f>
        <v>0.1</v>
      </c>
      <c r="M3084" s="112">
        <f t="shared" si="193"/>
        <v>4276.9576916412425</v>
      </c>
      <c r="N3084" s="113">
        <f t="shared" si="194"/>
        <v>171.07830766564967</v>
      </c>
      <c r="O3084" s="113">
        <f t="shared" si="195"/>
        <v>38321.540917105529</v>
      </c>
    </row>
    <row r="3085" spans="1:15" x14ac:dyDescent="0.25">
      <c r="A3085" s="13">
        <v>44460</v>
      </c>
      <c r="B3085" s="97">
        <v>1631</v>
      </c>
      <c r="C3085" t="s">
        <v>171</v>
      </c>
      <c r="D3085" t="s">
        <v>387</v>
      </c>
      <c r="E3085" t="s">
        <v>17</v>
      </c>
      <c r="F3085" t="s">
        <v>558</v>
      </c>
      <c r="G3085" s="50" t="s">
        <v>574</v>
      </c>
      <c r="H3085" s="50">
        <v>2</v>
      </c>
      <c r="I3085" s="100">
        <v>6.7391919697301583</v>
      </c>
      <c r="J3085" s="52">
        <v>3834.68</v>
      </c>
      <c r="K3085" s="67">
        <f t="shared" si="196"/>
        <v>42149.353444512773</v>
      </c>
      <c r="L3085" s="95">
        <f>+VLOOKUP(E3085,MARGEN!A:B,2,FALSE)</f>
        <v>0.1</v>
      </c>
      <c r="M3085" s="112">
        <f t="shared" si="193"/>
        <v>4214.9353444512772</v>
      </c>
      <c r="N3085" s="113">
        <f t="shared" si="194"/>
        <v>168.59741377805111</v>
      </c>
      <c r="O3085" s="113">
        <f t="shared" si="195"/>
        <v>37765.820686283449</v>
      </c>
    </row>
    <row r="3086" spans="1:15" x14ac:dyDescent="0.25">
      <c r="A3086" s="13">
        <v>44460</v>
      </c>
      <c r="B3086" s="97">
        <v>1631</v>
      </c>
      <c r="C3086" t="s">
        <v>196</v>
      </c>
      <c r="D3086" t="s">
        <v>413</v>
      </c>
      <c r="E3086" t="s">
        <v>17</v>
      </c>
      <c r="F3086" t="s">
        <v>573</v>
      </c>
      <c r="G3086" s="50" t="s">
        <v>574</v>
      </c>
      <c r="H3086" s="50">
        <v>2</v>
      </c>
      <c r="I3086" s="100">
        <v>6.7391919697301583</v>
      </c>
      <c r="J3086" s="52">
        <v>3834.68</v>
      </c>
      <c r="K3086" s="67">
        <f t="shared" si="196"/>
        <v>42149.353444512773</v>
      </c>
      <c r="L3086" s="95">
        <f>+VLOOKUP(E3086,MARGEN!A:B,2,FALSE)</f>
        <v>0.1</v>
      </c>
      <c r="M3086" s="112">
        <f t="shared" si="193"/>
        <v>4214.9353444512772</v>
      </c>
      <c r="N3086" s="113">
        <f t="shared" si="194"/>
        <v>168.59741377805111</v>
      </c>
      <c r="O3086" s="113">
        <f t="shared" si="195"/>
        <v>37765.820686283449</v>
      </c>
    </row>
    <row r="3087" spans="1:15" x14ac:dyDescent="0.25">
      <c r="A3087" s="13">
        <v>44460</v>
      </c>
      <c r="B3087" s="97">
        <v>1631</v>
      </c>
      <c r="C3087" t="s">
        <v>209</v>
      </c>
      <c r="D3087" t="s">
        <v>441</v>
      </c>
      <c r="E3087" t="s">
        <v>17</v>
      </c>
      <c r="F3087" t="s">
        <v>573</v>
      </c>
      <c r="G3087" s="50" t="s">
        <v>574</v>
      </c>
      <c r="H3087" s="50">
        <v>2</v>
      </c>
      <c r="I3087" s="100">
        <v>6.7391919697301583</v>
      </c>
      <c r="J3087" s="52">
        <v>3834.68</v>
      </c>
      <c r="K3087" s="67">
        <f t="shared" si="196"/>
        <v>42149.353444512773</v>
      </c>
      <c r="L3087" s="95">
        <f>+VLOOKUP(E3087,MARGEN!A:B,2,FALSE)</f>
        <v>0.1</v>
      </c>
      <c r="M3087" s="112">
        <f t="shared" si="193"/>
        <v>4214.9353444512772</v>
      </c>
      <c r="N3087" s="113">
        <f t="shared" si="194"/>
        <v>168.59741377805111</v>
      </c>
      <c r="O3087" s="113">
        <f t="shared" si="195"/>
        <v>37765.820686283449</v>
      </c>
    </row>
    <row r="3088" spans="1:15" x14ac:dyDescent="0.25">
      <c r="A3088" s="13">
        <v>44460</v>
      </c>
      <c r="B3088" s="97">
        <v>1607</v>
      </c>
      <c r="C3088" t="s">
        <v>180</v>
      </c>
      <c r="D3088" s="94" t="s">
        <v>447</v>
      </c>
      <c r="E3088" t="s">
        <v>17</v>
      </c>
      <c r="F3088" t="s">
        <v>573</v>
      </c>
      <c r="G3088" s="50" t="s">
        <v>574</v>
      </c>
      <c r="H3088" s="50">
        <v>2</v>
      </c>
      <c r="I3088" s="100">
        <v>6.7391919697301583</v>
      </c>
      <c r="J3088" s="52">
        <v>3834.68</v>
      </c>
      <c r="K3088" s="67">
        <f t="shared" si="196"/>
        <v>41529.12997261314</v>
      </c>
      <c r="L3088" s="95">
        <f>+VLOOKUP(E3088,MARGEN!A:B,2,FALSE)</f>
        <v>0.1</v>
      </c>
      <c r="M3088" s="112">
        <f t="shared" si="193"/>
        <v>4152.9129972613146</v>
      </c>
      <c r="N3088" s="113">
        <f t="shared" si="194"/>
        <v>166.11651989045257</v>
      </c>
      <c r="O3088" s="113">
        <f t="shared" si="195"/>
        <v>37210.100455461376</v>
      </c>
    </row>
    <row r="3089" spans="1:15" x14ac:dyDescent="0.25">
      <c r="A3089" s="13">
        <v>44460</v>
      </c>
      <c r="B3089" s="97">
        <v>1559</v>
      </c>
      <c r="C3089" t="s">
        <v>552</v>
      </c>
      <c r="D3089" t="s">
        <v>563</v>
      </c>
      <c r="E3089" t="s">
        <v>17</v>
      </c>
      <c r="F3089" t="s">
        <v>558</v>
      </c>
      <c r="G3089" s="50" t="s">
        <v>574</v>
      </c>
      <c r="H3089" s="50">
        <v>2</v>
      </c>
      <c r="I3089" s="100">
        <v>6.7391919697301583</v>
      </c>
      <c r="J3089" s="52">
        <v>3834.68</v>
      </c>
      <c r="K3089" s="67">
        <f t="shared" si="196"/>
        <v>40288.683028813866</v>
      </c>
      <c r="L3089" s="95">
        <f>+VLOOKUP(E3089,MARGEN!A:B,2,FALSE)</f>
        <v>0.1</v>
      </c>
      <c r="M3089" s="112">
        <f t="shared" si="193"/>
        <v>4028.8683028813866</v>
      </c>
      <c r="N3089" s="113">
        <f t="shared" si="194"/>
        <v>161.15473211525546</v>
      </c>
      <c r="O3089" s="113">
        <f t="shared" si="195"/>
        <v>36098.659993817222</v>
      </c>
    </row>
    <row r="3090" spans="1:15" x14ac:dyDescent="0.25">
      <c r="A3090" s="13">
        <v>44460</v>
      </c>
      <c r="B3090" s="97">
        <v>1559</v>
      </c>
      <c r="C3090" t="s">
        <v>176</v>
      </c>
      <c r="D3090" t="s">
        <v>430</v>
      </c>
      <c r="E3090" t="s">
        <v>17</v>
      </c>
      <c r="F3090" t="s">
        <v>573</v>
      </c>
      <c r="G3090" s="50" t="s">
        <v>574</v>
      </c>
      <c r="H3090" s="50">
        <v>2</v>
      </c>
      <c r="I3090" s="100">
        <v>6.7391919697301583</v>
      </c>
      <c r="J3090" s="52">
        <v>3834.68</v>
      </c>
      <c r="K3090" s="67">
        <f t="shared" si="196"/>
        <v>40288.683028813866</v>
      </c>
      <c r="L3090" s="95">
        <f>+VLOOKUP(E3090,MARGEN!A:B,2,FALSE)</f>
        <v>0.1</v>
      </c>
      <c r="M3090" s="112">
        <f t="shared" si="193"/>
        <v>4028.8683028813866</v>
      </c>
      <c r="N3090" s="113">
        <f t="shared" si="194"/>
        <v>161.15473211525546</v>
      </c>
      <c r="O3090" s="113">
        <f t="shared" si="195"/>
        <v>36098.659993817222</v>
      </c>
    </row>
    <row r="3091" spans="1:15" x14ac:dyDescent="0.25">
      <c r="A3091" s="13">
        <v>44460</v>
      </c>
      <c r="B3091" s="97">
        <v>1535</v>
      </c>
      <c r="C3091" t="s">
        <v>137</v>
      </c>
      <c r="D3091" s="94" t="s">
        <v>418</v>
      </c>
      <c r="E3091" t="s">
        <v>17</v>
      </c>
      <c r="F3091" t="s">
        <v>573</v>
      </c>
      <c r="G3091" s="50" t="s">
        <v>574</v>
      </c>
      <c r="H3091" s="50">
        <v>2</v>
      </c>
      <c r="I3091" s="100">
        <v>6.7391919697301583</v>
      </c>
      <c r="J3091" s="52">
        <v>3834.68</v>
      </c>
      <c r="K3091" s="67">
        <f t="shared" si="196"/>
        <v>39668.459556914233</v>
      </c>
      <c r="L3091" s="95">
        <f>+VLOOKUP(E3091,MARGEN!A:B,2,FALSE)</f>
        <v>0.1</v>
      </c>
      <c r="M3091" s="112">
        <f t="shared" si="193"/>
        <v>3966.8459556914236</v>
      </c>
      <c r="N3091" s="113">
        <f t="shared" si="194"/>
        <v>158.67383822765694</v>
      </c>
      <c r="O3091" s="113">
        <f t="shared" si="195"/>
        <v>35542.939762995149</v>
      </c>
    </row>
    <row r="3092" spans="1:15" x14ac:dyDescent="0.25">
      <c r="A3092" s="13">
        <v>44460</v>
      </c>
      <c r="B3092" s="51">
        <v>1511</v>
      </c>
      <c r="C3092" s="66" t="s">
        <v>291</v>
      </c>
      <c r="D3092" s="66" t="s">
        <v>492</v>
      </c>
      <c r="E3092" t="s">
        <v>17</v>
      </c>
      <c r="F3092" s="50" t="s">
        <v>573</v>
      </c>
      <c r="G3092" s="50" t="s">
        <v>574</v>
      </c>
      <c r="H3092" s="50">
        <v>2</v>
      </c>
      <c r="I3092" s="100">
        <v>6.7391919697301583</v>
      </c>
      <c r="J3092" s="52">
        <v>3834.68</v>
      </c>
      <c r="K3092" s="67">
        <f t="shared" si="196"/>
        <v>39048.2360850146</v>
      </c>
      <c r="L3092" s="95">
        <f>+VLOOKUP(E3092,MARGEN!A:B,2,FALSE)</f>
        <v>0.1</v>
      </c>
      <c r="M3092" s="112">
        <f t="shared" si="193"/>
        <v>3904.8236085014601</v>
      </c>
      <c r="N3092" s="113">
        <f t="shared" si="194"/>
        <v>156.1929443400584</v>
      </c>
      <c r="O3092" s="113">
        <f t="shared" si="195"/>
        <v>34987.219532173083</v>
      </c>
    </row>
    <row r="3093" spans="1:15" x14ac:dyDescent="0.25">
      <c r="A3093" s="13">
        <v>44460</v>
      </c>
      <c r="B3093" s="97">
        <v>1511</v>
      </c>
      <c r="C3093" t="s">
        <v>152</v>
      </c>
      <c r="D3093" s="94" t="s">
        <v>425</v>
      </c>
      <c r="E3093" t="s">
        <v>17</v>
      </c>
      <c r="F3093" t="s">
        <v>573</v>
      </c>
      <c r="G3093" s="50" t="s">
        <v>574</v>
      </c>
      <c r="H3093" s="50">
        <v>2</v>
      </c>
      <c r="I3093" s="100">
        <v>6.7391919697301583</v>
      </c>
      <c r="J3093" s="52">
        <v>3834.68</v>
      </c>
      <c r="K3093" s="67">
        <f t="shared" si="196"/>
        <v>39048.2360850146</v>
      </c>
      <c r="L3093" s="95">
        <f>+VLOOKUP(E3093,MARGEN!A:B,2,FALSE)</f>
        <v>0.1</v>
      </c>
      <c r="M3093" s="112">
        <f t="shared" si="193"/>
        <v>3904.8236085014601</v>
      </c>
      <c r="N3093" s="113">
        <f t="shared" si="194"/>
        <v>156.1929443400584</v>
      </c>
      <c r="O3093" s="113">
        <f t="shared" si="195"/>
        <v>34987.219532173083</v>
      </c>
    </row>
    <row r="3094" spans="1:15" x14ac:dyDescent="0.25">
      <c r="A3094" s="13">
        <v>44460</v>
      </c>
      <c r="B3094" s="97">
        <v>1487</v>
      </c>
      <c r="C3094" t="s">
        <v>119</v>
      </c>
      <c r="D3094" s="94" t="s">
        <v>377</v>
      </c>
      <c r="E3094" t="s">
        <v>17</v>
      </c>
      <c r="F3094" t="s">
        <v>573</v>
      </c>
      <c r="G3094" s="50" t="s">
        <v>574</v>
      </c>
      <c r="H3094" s="50">
        <v>2</v>
      </c>
      <c r="I3094" s="100">
        <v>6.7391919697301583</v>
      </c>
      <c r="J3094" s="52">
        <v>3834.68</v>
      </c>
      <c r="K3094" s="67">
        <f t="shared" si="196"/>
        <v>38428.012613114959</v>
      </c>
      <c r="L3094" s="95">
        <f>+VLOOKUP(E3094,MARGEN!A:B,2,FALSE)</f>
        <v>0.1</v>
      </c>
      <c r="M3094" s="112">
        <f t="shared" si="193"/>
        <v>3842.8012613114961</v>
      </c>
      <c r="N3094" s="113">
        <f t="shared" si="194"/>
        <v>153.71205045245983</v>
      </c>
      <c r="O3094" s="113">
        <f t="shared" si="195"/>
        <v>34431.499301351003</v>
      </c>
    </row>
    <row r="3095" spans="1:15" x14ac:dyDescent="0.25">
      <c r="A3095" s="13">
        <v>44460</v>
      </c>
      <c r="B3095" s="97">
        <v>1487</v>
      </c>
      <c r="C3095" t="s">
        <v>294</v>
      </c>
      <c r="D3095" s="94" t="s">
        <v>527</v>
      </c>
      <c r="E3095" t="s">
        <v>17</v>
      </c>
      <c r="F3095" t="s">
        <v>573</v>
      </c>
      <c r="G3095" s="50" t="s">
        <v>574</v>
      </c>
      <c r="H3095" s="50">
        <v>2</v>
      </c>
      <c r="I3095" s="100">
        <v>6.7391919697301583</v>
      </c>
      <c r="J3095" s="52">
        <v>3834.68</v>
      </c>
      <c r="K3095" s="67">
        <f t="shared" si="196"/>
        <v>38428.012613114959</v>
      </c>
      <c r="L3095" s="95">
        <f>+VLOOKUP(E3095,MARGEN!A:B,2,FALSE)</f>
        <v>0.1</v>
      </c>
      <c r="M3095" s="112">
        <f t="shared" si="193"/>
        <v>3842.8012613114961</v>
      </c>
      <c r="N3095" s="113">
        <f t="shared" si="194"/>
        <v>153.71205045245983</v>
      </c>
      <c r="O3095" s="113">
        <f t="shared" si="195"/>
        <v>34431.499301351003</v>
      </c>
    </row>
    <row r="3096" spans="1:15" x14ac:dyDescent="0.25">
      <c r="A3096" s="13">
        <v>44460</v>
      </c>
      <c r="B3096" s="97">
        <v>1487</v>
      </c>
      <c r="C3096" t="s">
        <v>202</v>
      </c>
      <c r="D3096" t="s">
        <v>436</v>
      </c>
      <c r="E3096" t="s">
        <v>17</v>
      </c>
      <c r="F3096" t="s">
        <v>558</v>
      </c>
      <c r="G3096" s="50" t="s">
        <v>574</v>
      </c>
      <c r="H3096" s="50">
        <v>2</v>
      </c>
      <c r="I3096" s="100">
        <v>6.7391919697301583</v>
      </c>
      <c r="J3096" s="52">
        <v>3834.68</v>
      </c>
      <c r="K3096" s="67">
        <f t="shared" si="196"/>
        <v>38428.012613114959</v>
      </c>
      <c r="L3096" s="95">
        <f>+VLOOKUP(E3096,MARGEN!A:B,2,FALSE)</f>
        <v>0.1</v>
      </c>
      <c r="M3096" s="112">
        <f t="shared" si="193"/>
        <v>3842.8012613114961</v>
      </c>
      <c r="N3096" s="113">
        <f t="shared" si="194"/>
        <v>153.71205045245983</v>
      </c>
      <c r="O3096" s="113">
        <f t="shared" si="195"/>
        <v>34431.499301351003</v>
      </c>
    </row>
    <row r="3097" spans="1:15" x14ac:dyDescent="0.25">
      <c r="A3097" s="13">
        <v>44460</v>
      </c>
      <c r="B3097" s="97">
        <v>1487</v>
      </c>
      <c r="C3097" t="s">
        <v>169</v>
      </c>
      <c r="D3097" t="s">
        <v>351</v>
      </c>
      <c r="E3097" t="s">
        <v>17</v>
      </c>
      <c r="F3097" t="s">
        <v>573</v>
      </c>
      <c r="G3097" s="50" t="s">
        <v>574</v>
      </c>
      <c r="H3097" s="50">
        <v>2</v>
      </c>
      <c r="I3097" s="100">
        <v>6.7391919697301583</v>
      </c>
      <c r="J3097" s="52">
        <v>3834.68</v>
      </c>
      <c r="K3097" s="67">
        <f t="shared" si="196"/>
        <v>38428.012613114959</v>
      </c>
      <c r="L3097" s="95">
        <f>+VLOOKUP(E3097,MARGEN!A:B,2,FALSE)</f>
        <v>0.1</v>
      </c>
      <c r="M3097" s="112">
        <f t="shared" si="193"/>
        <v>3842.8012613114961</v>
      </c>
      <c r="N3097" s="113">
        <f t="shared" si="194"/>
        <v>153.71205045245983</v>
      </c>
      <c r="O3097" s="113">
        <f t="shared" si="195"/>
        <v>34431.499301351003</v>
      </c>
    </row>
    <row r="3098" spans="1:15" x14ac:dyDescent="0.25">
      <c r="A3098" s="13">
        <v>44460</v>
      </c>
      <c r="B3098" s="97">
        <v>1463</v>
      </c>
      <c r="C3098" t="s">
        <v>297</v>
      </c>
      <c r="D3098" t="s">
        <v>526</v>
      </c>
      <c r="E3098" t="s">
        <v>17</v>
      </c>
      <c r="F3098" t="s">
        <v>573</v>
      </c>
      <c r="G3098" s="50" t="s">
        <v>574</v>
      </c>
      <c r="H3098" s="50">
        <v>2</v>
      </c>
      <c r="I3098" s="100">
        <v>6.7391919697301583</v>
      </c>
      <c r="J3098" s="52">
        <v>3834.68</v>
      </c>
      <c r="K3098" s="67">
        <f t="shared" si="196"/>
        <v>37807.789141215326</v>
      </c>
      <c r="L3098" s="95">
        <f>+VLOOKUP(E3098,MARGEN!A:B,2,FALSE)</f>
        <v>0.1</v>
      </c>
      <c r="M3098" s="112">
        <f t="shared" si="193"/>
        <v>3780.7789141215326</v>
      </c>
      <c r="N3098" s="113">
        <f t="shared" si="194"/>
        <v>151.23115656486129</v>
      </c>
      <c r="O3098" s="113">
        <f t="shared" si="195"/>
        <v>33875.77907052893</v>
      </c>
    </row>
    <row r="3099" spans="1:15" x14ac:dyDescent="0.25">
      <c r="A3099" s="13">
        <v>44460</v>
      </c>
      <c r="B3099" s="97">
        <v>1439</v>
      </c>
      <c r="C3099" t="s">
        <v>168</v>
      </c>
      <c r="D3099" s="94" t="s">
        <v>352</v>
      </c>
      <c r="E3099" t="s">
        <v>17</v>
      </c>
      <c r="F3099" t="s">
        <v>573</v>
      </c>
      <c r="G3099" s="50" t="s">
        <v>574</v>
      </c>
      <c r="H3099" s="50">
        <v>2</v>
      </c>
      <c r="I3099" s="100">
        <v>6.7391919697301583</v>
      </c>
      <c r="J3099" s="52">
        <v>3834.68</v>
      </c>
      <c r="K3099" s="67">
        <f t="shared" si="196"/>
        <v>37187.565669315685</v>
      </c>
      <c r="L3099" s="95">
        <f>+VLOOKUP(E3099,MARGEN!A:B,2,FALSE)</f>
        <v>0.1</v>
      </c>
      <c r="M3099" s="112">
        <f t="shared" si="193"/>
        <v>3718.7565669315686</v>
      </c>
      <c r="N3099" s="113">
        <f t="shared" si="194"/>
        <v>148.75026267726275</v>
      </c>
      <c r="O3099" s="113">
        <f t="shared" si="195"/>
        <v>33320.058839706857</v>
      </c>
    </row>
    <row r="3100" spans="1:15" x14ac:dyDescent="0.25">
      <c r="A3100" s="13">
        <v>44460</v>
      </c>
      <c r="B3100" s="97">
        <v>1439</v>
      </c>
      <c r="C3100" t="s">
        <v>210</v>
      </c>
      <c r="D3100" s="94" t="s">
        <v>402</v>
      </c>
      <c r="E3100" t="s">
        <v>17</v>
      </c>
      <c r="F3100" t="s">
        <v>573</v>
      </c>
      <c r="G3100" s="50" t="s">
        <v>574</v>
      </c>
      <c r="H3100" s="50">
        <v>2</v>
      </c>
      <c r="I3100" s="100">
        <v>6.7391919697301583</v>
      </c>
      <c r="J3100" s="52">
        <v>3834.68</v>
      </c>
      <c r="K3100" s="67">
        <f t="shared" si="196"/>
        <v>37187.565669315685</v>
      </c>
      <c r="L3100" s="95">
        <f>+VLOOKUP(E3100,MARGEN!A:B,2,FALSE)</f>
        <v>0.1</v>
      </c>
      <c r="M3100" s="112">
        <f t="shared" si="193"/>
        <v>3718.7565669315686</v>
      </c>
      <c r="N3100" s="113">
        <f t="shared" si="194"/>
        <v>148.75026267726275</v>
      </c>
      <c r="O3100" s="113">
        <f t="shared" si="195"/>
        <v>33320.058839706857</v>
      </c>
    </row>
    <row r="3101" spans="1:15" x14ac:dyDescent="0.25">
      <c r="A3101" s="13">
        <v>44460</v>
      </c>
      <c r="B3101" s="97">
        <v>1439</v>
      </c>
      <c r="C3101" t="s">
        <v>200</v>
      </c>
      <c r="D3101" s="94" t="s">
        <v>428</v>
      </c>
      <c r="E3101" t="s">
        <v>17</v>
      </c>
      <c r="F3101" t="s">
        <v>573</v>
      </c>
      <c r="G3101" s="50" t="s">
        <v>574</v>
      </c>
      <c r="H3101" s="50">
        <v>2</v>
      </c>
      <c r="I3101" s="100">
        <v>6.7391919697301583</v>
      </c>
      <c r="J3101" s="52">
        <v>3834.68</v>
      </c>
      <c r="K3101" s="67">
        <f t="shared" si="196"/>
        <v>37187.565669315685</v>
      </c>
      <c r="L3101" s="95">
        <f>+VLOOKUP(E3101,MARGEN!A:B,2,FALSE)</f>
        <v>0.1</v>
      </c>
      <c r="M3101" s="112">
        <f t="shared" si="193"/>
        <v>3718.7565669315686</v>
      </c>
      <c r="N3101" s="113">
        <f t="shared" si="194"/>
        <v>148.75026267726275</v>
      </c>
      <c r="O3101" s="113">
        <f t="shared" si="195"/>
        <v>33320.058839706857</v>
      </c>
    </row>
    <row r="3102" spans="1:15" x14ac:dyDescent="0.25">
      <c r="A3102" s="13">
        <v>44460</v>
      </c>
      <c r="B3102" s="97">
        <v>1367</v>
      </c>
      <c r="C3102" t="s">
        <v>289</v>
      </c>
      <c r="D3102" t="s">
        <v>528</v>
      </c>
      <c r="E3102" t="s">
        <v>17</v>
      </c>
      <c r="F3102" t="s">
        <v>566</v>
      </c>
      <c r="G3102" s="50" t="s">
        <v>574</v>
      </c>
      <c r="H3102" s="50">
        <v>2</v>
      </c>
      <c r="I3102" s="100">
        <v>6.7391919697301583</v>
      </c>
      <c r="J3102" s="52">
        <v>3834.68</v>
      </c>
      <c r="K3102" s="67">
        <f t="shared" si="196"/>
        <v>35326.895253616778</v>
      </c>
      <c r="L3102" s="95">
        <f>+VLOOKUP(E3102,MARGEN!A:B,2,FALSE)</f>
        <v>0.1</v>
      </c>
      <c r="M3102" s="112">
        <f t="shared" si="193"/>
        <v>3532.6895253616781</v>
      </c>
      <c r="N3102" s="113">
        <f t="shared" si="194"/>
        <v>141.3075810144671</v>
      </c>
      <c r="O3102" s="113">
        <f t="shared" si="195"/>
        <v>31652.898147240634</v>
      </c>
    </row>
    <row r="3103" spans="1:15" x14ac:dyDescent="0.25">
      <c r="A3103" s="13">
        <v>44460</v>
      </c>
      <c r="B3103" s="97">
        <v>1367</v>
      </c>
      <c r="C3103" t="s">
        <v>173</v>
      </c>
      <c r="D3103" t="s">
        <v>451</v>
      </c>
      <c r="E3103" t="s">
        <v>17</v>
      </c>
      <c r="F3103" t="s">
        <v>573</v>
      </c>
      <c r="G3103" s="50" t="s">
        <v>574</v>
      </c>
      <c r="H3103" s="50">
        <v>2</v>
      </c>
      <c r="I3103" s="100">
        <v>6.7391919697301583</v>
      </c>
      <c r="J3103" s="52">
        <v>3834.68</v>
      </c>
      <c r="K3103" s="67">
        <f t="shared" si="196"/>
        <v>35326.895253616778</v>
      </c>
      <c r="L3103" s="95">
        <f>+VLOOKUP(E3103,MARGEN!A:B,2,FALSE)</f>
        <v>0.1</v>
      </c>
      <c r="M3103" s="112">
        <f t="shared" si="193"/>
        <v>3532.6895253616781</v>
      </c>
      <c r="N3103" s="113">
        <f t="shared" si="194"/>
        <v>141.3075810144671</v>
      </c>
      <c r="O3103" s="113">
        <f t="shared" si="195"/>
        <v>31652.898147240634</v>
      </c>
    </row>
    <row r="3104" spans="1:15" x14ac:dyDescent="0.25">
      <c r="A3104" s="13">
        <v>44460</v>
      </c>
      <c r="B3104" s="97">
        <v>1343</v>
      </c>
      <c r="C3104" t="s">
        <v>292</v>
      </c>
      <c r="D3104" s="94" t="s">
        <v>535</v>
      </c>
      <c r="E3104" t="s">
        <v>17</v>
      </c>
      <c r="F3104" t="s">
        <v>573</v>
      </c>
      <c r="G3104" s="50" t="s">
        <v>574</v>
      </c>
      <c r="H3104" s="50">
        <v>2</v>
      </c>
      <c r="I3104" s="100">
        <v>6.7391919697301583</v>
      </c>
      <c r="J3104" s="52">
        <v>3834.68</v>
      </c>
      <c r="K3104" s="67">
        <f t="shared" si="196"/>
        <v>34706.671781717145</v>
      </c>
      <c r="L3104" s="95">
        <f>+VLOOKUP(E3104,MARGEN!A:B,2,FALSE)</f>
        <v>0.1</v>
      </c>
      <c r="M3104" s="112">
        <f t="shared" si="193"/>
        <v>3470.6671781717146</v>
      </c>
      <c r="N3104" s="113">
        <f t="shared" si="194"/>
        <v>138.82668712686859</v>
      </c>
      <c r="O3104" s="113">
        <f t="shared" si="195"/>
        <v>31097.177916418561</v>
      </c>
    </row>
    <row r="3105" spans="1:15" x14ac:dyDescent="0.25">
      <c r="A3105" s="13">
        <v>44460</v>
      </c>
      <c r="B3105" s="51">
        <v>1319</v>
      </c>
      <c r="C3105" s="66" t="s">
        <v>118</v>
      </c>
      <c r="D3105" s="66" t="s">
        <v>329</v>
      </c>
      <c r="E3105" t="s">
        <v>17</v>
      </c>
      <c r="F3105" s="50" t="s">
        <v>573</v>
      </c>
      <c r="G3105" s="50" t="s">
        <v>574</v>
      </c>
      <c r="H3105" s="50">
        <v>2</v>
      </c>
      <c r="I3105" s="100">
        <v>6.7391919697301583</v>
      </c>
      <c r="J3105" s="52">
        <v>3834.68</v>
      </c>
      <c r="K3105" s="67">
        <f t="shared" si="196"/>
        <v>34086.448309817511</v>
      </c>
      <c r="L3105" s="95">
        <f>+VLOOKUP(E3105,MARGEN!A:B,2,FALSE)</f>
        <v>0.1</v>
      </c>
      <c r="M3105" s="112">
        <f t="shared" si="193"/>
        <v>3408.6448309817515</v>
      </c>
      <c r="N3105" s="113">
        <f t="shared" si="194"/>
        <v>136.34579323927005</v>
      </c>
      <c r="O3105" s="113">
        <f t="shared" si="195"/>
        <v>30541.457685596492</v>
      </c>
    </row>
    <row r="3106" spans="1:15" x14ac:dyDescent="0.25">
      <c r="A3106" s="13">
        <v>44460</v>
      </c>
      <c r="B3106" s="51">
        <v>1319</v>
      </c>
      <c r="C3106" s="66" t="s">
        <v>141</v>
      </c>
      <c r="D3106" s="66" t="s">
        <v>450</v>
      </c>
      <c r="E3106" t="s">
        <v>17</v>
      </c>
      <c r="F3106" s="50" t="s">
        <v>573</v>
      </c>
      <c r="G3106" s="50" t="s">
        <v>574</v>
      </c>
      <c r="H3106" s="50">
        <v>2</v>
      </c>
      <c r="I3106" s="100">
        <v>6.7391919697301583</v>
      </c>
      <c r="J3106" s="52">
        <v>3834.68</v>
      </c>
      <c r="K3106" s="67">
        <f t="shared" si="196"/>
        <v>34086.448309817511</v>
      </c>
      <c r="L3106" s="95">
        <f>+VLOOKUP(E3106,MARGEN!A:B,2,FALSE)</f>
        <v>0.1</v>
      </c>
      <c r="M3106" s="112">
        <f t="shared" si="193"/>
        <v>3408.6448309817515</v>
      </c>
      <c r="N3106" s="113">
        <f t="shared" si="194"/>
        <v>136.34579323927005</v>
      </c>
      <c r="O3106" s="113">
        <f t="shared" si="195"/>
        <v>30541.457685596492</v>
      </c>
    </row>
    <row r="3107" spans="1:15" x14ac:dyDescent="0.25">
      <c r="A3107" s="13">
        <v>44460</v>
      </c>
      <c r="B3107" s="97">
        <v>1295</v>
      </c>
      <c r="C3107" t="s">
        <v>151</v>
      </c>
      <c r="D3107" s="94" t="s">
        <v>394</v>
      </c>
      <c r="E3107" t="s">
        <v>17</v>
      </c>
      <c r="F3107" t="s">
        <v>573</v>
      </c>
      <c r="G3107" s="50" t="s">
        <v>574</v>
      </c>
      <c r="H3107" s="50">
        <v>2</v>
      </c>
      <c r="I3107" s="100">
        <v>6.7391919697301583</v>
      </c>
      <c r="J3107" s="52">
        <v>3834.68</v>
      </c>
      <c r="K3107" s="67">
        <f t="shared" si="196"/>
        <v>33466.224837917871</v>
      </c>
      <c r="L3107" s="95">
        <f>+VLOOKUP(E3107,MARGEN!A:B,2,FALSE)</f>
        <v>0.1</v>
      </c>
      <c r="M3107" s="112">
        <f t="shared" si="193"/>
        <v>3346.6224837917871</v>
      </c>
      <c r="N3107" s="113">
        <f t="shared" si="194"/>
        <v>133.86489935167148</v>
      </c>
      <c r="O3107" s="113">
        <f t="shared" si="195"/>
        <v>29985.737454774411</v>
      </c>
    </row>
    <row r="3108" spans="1:15" x14ac:dyDescent="0.25">
      <c r="A3108" s="13">
        <v>44460</v>
      </c>
      <c r="B3108" s="97">
        <v>1295</v>
      </c>
      <c r="C3108" t="s">
        <v>183</v>
      </c>
      <c r="D3108" s="94" t="s">
        <v>390</v>
      </c>
      <c r="E3108" t="s">
        <v>17</v>
      </c>
      <c r="F3108" t="s">
        <v>573</v>
      </c>
      <c r="G3108" s="50" t="s">
        <v>574</v>
      </c>
      <c r="H3108" s="50">
        <v>2</v>
      </c>
      <c r="I3108" s="100">
        <v>6.7391919697301583</v>
      </c>
      <c r="J3108" s="52">
        <v>3834.68</v>
      </c>
      <c r="K3108" s="67">
        <f t="shared" si="196"/>
        <v>33466.224837917871</v>
      </c>
      <c r="L3108" s="95">
        <f>+VLOOKUP(E3108,MARGEN!A:B,2,FALSE)</f>
        <v>0.1</v>
      </c>
      <c r="M3108" s="112">
        <f t="shared" si="193"/>
        <v>3346.6224837917871</v>
      </c>
      <c r="N3108" s="113">
        <f t="shared" si="194"/>
        <v>133.86489935167148</v>
      </c>
      <c r="O3108" s="113">
        <f t="shared" si="195"/>
        <v>29985.737454774411</v>
      </c>
    </row>
    <row r="3109" spans="1:15" x14ac:dyDescent="0.25">
      <c r="A3109" s="13">
        <v>44460</v>
      </c>
      <c r="B3109" s="97">
        <v>1295</v>
      </c>
      <c r="C3109" t="s">
        <v>211</v>
      </c>
      <c r="D3109" t="s">
        <v>382</v>
      </c>
      <c r="E3109" t="s">
        <v>17</v>
      </c>
      <c r="F3109" t="s">
        <v>558</v>
      </c>
      <c r="G3109" s="50" t="s">
        <v>574</v>
      </c>
      <c r="H3109" s="50">
        <v>2</v>
      </c>
      <c r="I3109" s="100">
        <v>6.7391919697301583</v>
      </c>
      <c r="J3109" s="52">
        <v>3834.68</v>
      </c>
      <c r="K3109" s="67">
        <f t="shared" si="196"/>
        <v>33466.224837917871</v>
      </c>
      <c r="L3109" s="95">
        <f>+VLOOKUP(E3109,MARGEN!A:B,2,FALSE)</f>
        <v>0.1</v>
      </c>
      <c r="M3109" s="112">
        <f t="shared" si="193"/>
        <v>3346.6224837917871</v>
      </c>
      <c r="N3109" s="113">
        <f t="shared" si="194"/>
        <v>133.86489935167148</v>
      </c>
      <c r="O3109" s="113">
        <f t="shared" si="195"/>
        <v>29985.737454774411</v>
      </c>
    </row>
    <row r="3110" spans="1:15" x14ac:dyDescent="0.25">
      <c r="A3110" s="13">
        <v>44460</v>
      </c>
      <c r="B3110" s="97">
        <v>1295</v>
      </c>
      <c r="C3110" t="s">
        <v>166</v>
      </c>
      <c r="D3110" t="s">
        <v>426</v>
      </c>
      <c r="E3110" t="s">
        <v>17</v>
      </c>
      <c r="F3110" t="s">
        <v>558</v>
      </c>
      <c r="G3110" s="50" t="s">
        <v>574</v>
      </c>
      <c r="H3110" s="50">
        <v>2</v>
      </c>
      <c r="I3110" s="100">
        <v>6.7391919697301583</v>
      </c>
      <c r="J3110" s="52">
        <v>3834.68</v>
      </c>
      <c r="K3110" s="67">
        <f t="shared" si="196"/>
        <v>33466.224837917871</v>
      </c>
      <c r="L3110" s="95">
        <f>+VLOOKUP(E3110,MARGEN!A:B,2,FALSE)</f>
        <v>0.1</v>
      </c>
      <c r="M3110" s="112">
        <f t="shared" si="193"/>
        <v>3346.6224837917871</v>
      </c>
      <c r="N3110" s="113">
        <f t="shared" si="194"/>
        <v>133.86489935167148</v>
      </c>
      <c r="O3110" s="113">
        <f t="shared" si="195"/>
        <v>29985.737454774411</v>
      </c>
    </row>
    <row r="3111" spans="1:15" x14ac:dyDescent="0.25">
      <c r="A3111" s="13">
        <v>44460</v>
      </c>
      <c r="B3111" s="97">
        <v>1295</v>
      </c>
      <c r="C3111" t="s">
        <v>302</v>
      </c>
      <c r="D3111" t="s">
        <v>538</v>
      </c>
      <c r="E3111" t="s">
        <v>17</v>
      </c>
      <c r="F3111" t="s">
        <v>573</v>
      </c>
      <c r="G3111" s="50" t="s">
        <v>574</v>
      </c>
      <c r="H3111" s="50">
        <v>2</v>
      </c>
      <c r="I3111" s="100">
        <v>6.7391919697301583</v>
      </c>
      <c r="J3111" s="52">
        <v>3834.68</v>
      </c>
      <c r="K3111" s="67">
        <f t="shared" si="196"/>
        <v>33466.224837917871</v>
      </c>
      <c r="L3111" s="95">
        <f>+VLOOKUP(E3111,MARGEN!A:B,2,FALSE)</f>
        <v>0.1</v>
      </c>
      <c r="M3111" s="112">
        <f t="shared" si="193"/>
        <v>3346.6224837917871</v>
      </c>
      <c r="N3111" s="113">
        <f t="shared" si="194"/>
        <v>133.86489935167148</v>
      </c>
      <c r="O3111" s="113">
        <f t="shared" si="195"/>
        <v>29985.737454774411</v>
      </c>
    </row>
    <row r="3112" spans="1:15" x14ac:dyDescent="0.25">
      <c r="A3112" s="13">
        <v>44460</v>
      </c>
      <c r="B3112" s="97">
        <v>1271</v>
      </c>
      <c r="C3112" t="s">
        <v>298</v>
      </c>
      <c r="D3112" s="94" t="s">
        <v>536</v>
      </c>
      <c r="E3112" t="s">
        <v>17</v>
      </c>
      <c r="F3112" t="s">
        <v>573</v>
      </c>
      <c r="G3112" s="50" t="s">
        <v>574</v>
      </c>
      <c r="H3112" s="50">
        <v>2</v>
      </c>
      <c r="I3112" s="100">
        <v>6.7391919697301583</v>
      </c>
      <c r="J3112" s="52">
        <v>3834.68</v>
      </c>
      <c r="K3112" s="67">
        <f t="shared" si="196"/>
        <v>32846.00136601823</v>
      </c>
      <c r="L3112" s="95">
        <f>+VLOOKUP(E3112,MARGEN!A:B,2,FALSE)</f>
        <v>0.1</v>
      </c>
      <c r="M3112" s="112">
        <f t="shared" si="193"/>
        <v>3284.6001366018231</v>
      </c>
      <c r="N3112" s="113">
        <f t="shared" si="194"/>
        <v>131.38400546407291</v>
      </c>
      <c r="O3112" s="113">
        <f t="shared" si="195"/>
        <v>29430.017223952334</v>
      </c>
    </row>
    <row r="3113" spans="1:15" x14ac:dyDescent="0.25">
      <c r="A3113" s="13">
        <v>44460</v>
      </c>
      <c r="B3113" s="97">
        <v>1247</v>
      </c>
      <c r="C3113" t="s">
        <v>303</v>
      </c>
      <c r="D3113" t="s">
        <v>539</v>
      </c>
      <c r="E3113" t="s">
        <v>17</v>
      </c>
      <c r="F3113" t="s">
        <v>573</v>
      </c>
      <c r="G3113" s="50" t="s">
        <v>574</v>
      </c>
      <c r="H3113" s="50">
        <v>2</v>
      </c>
      <c r="I3113" s="100">
        <v>6.7391919697301583</v>
      </c>
      <c r="J3113" s="52">
        <v>3834.68</v>
      </c>
      <c r="K3113" s="67">
        <f t="shared" si="196"/>
        <v>32225.777894118601</v>
      </c>
      <c r="L3113" s="95">
        <f>+VLOOKUP(E3113,MARGEN!A:B,2,FALSE)</f>
        <v>0.1</v>
      </c>
      <c r="M3113" s="112">
        <f t="shared" si="193"/>
        <v>3222.5777894118601</v>
      </c>
      <c r="N3113" s="113">
        <f t="shared" si="194"/>
        <v>128.9031115764744</v>
      </c>
      <c r="O3113" s="113">
        <f t="shared" si="195"/>
        <v>28874.296993130265</v>
      </c>
    </row>
    <row r="3114" spans="1:15" x14ac:dyDescent="0.25">
      <c r="A3114" s="13">
        <v>44460</v>
      </c>
      <c r="B3114" s="97">
        <v>1247</v>
      </c>
      <c r="C3114" t="s">
        <v>300</v>
      </c>
      <c r="D3114" t="s">
        <v>529</v>
      </c>
      <c r="E3114" t="s">
        <v>17</v>
      </c>
      <c r="F3114" t="s">
        <v>566</v>
      </c>
      <c r="G3114" s="50" t="s">
        <v>574</v>
      </c>
      <c r="H3114" s="50">
        <v>2</v>
      </c>
      <c r="I3114" s="100">
        <v>6.7391919697301583</v>
      </c>
      <c r="J3114" s="52">
        <v>3834.68</v>
      </c>
      <c r="K3114" s="67">
        <f t="shared" si="196"/>
        <v>32225.777894118601</v>
      </c>
      <c r="L3114" s="95">
        <f>+VLOOKUP(E3114,MARGEN!A:B,2,FALSE)</f>
        <v>0.1</v>
      </c>
      <c r="M3114" s="112">
        <f t="shared" si="193"/>
        <v>3222.5777894118601</v>
      </c>
      <c r="N3114" s="113">
        <f t="shared" si="194"/>
        <v>128.9031115764744</v>
      </c>
      <c r="O3114" s="113">
        <f t="shared" si="195"/>
        <v>28874.296993130265</v>
      </c>
    </row>
    <row r="3115" spans="1:15" x14ac:dyDescent="0.25">
      <c r="A3115" s="13">
        <v>44460</v>
      </c>
      <c r="B3115" s="97">
        <v>1223</v>
      </c>
      <c r="C3115" t="s">
        <v>199</v>
      </c>
      <c r="D3115" s="94" t="s">
        <v>414</v>
      </c>
      <c r="E3115" t="s">
        <v>17</v>
      </c>
      <c r="F3115" t="s">
        <v>573</v>
      </c>
      <c r="G3115" s="50" t="s">
        <v>574</v>
      </c>
      <c r="H3115" s="50">
        <v>2</v>
      </c>
      <c r="I3115" s="100">
        <v>6.7391919697301583</v>
      </c>
      <c r="J3115" s="52">
        <v>3834.68</v>
      </c>
      <c r="K3115" s="67">
        <f t="shared" si="196"/>
        <v>31605.55442221896</v>
      </c>
      <c r="L3115" s="95">
        <f>+VLOOKUP(E3115,MARGEN!A:B,2,FALSE)</f>
        <v>0.1</v>
      </c>
      <c r="M3115" s="112">
        <f t="shared" si="193"/>
        <v>3160.5554422218961</v>
      </c>
      <c r="N3115" s="113">
        <f t="shared" si="194"/>
        <v>126.42221768887585</v>
      </c>
      <c r="O3115" s="113">
        <f t="shared" si="195"/>
        <v>28318.576762308188</v>
      </c>
    </row>
    <row r="3116" spans="1:15" x14ac:dyDescent="0.25">
      <c r="A3116" s="13">
        <v>44460</v>
      </c>
      <c r="B3116" s="97">
        <v>1223</v>
      </c>
      <c r="C3116" t="s">
        <v>308</v>
      </c>
      <c r="D3116" t="s">
        <v>500</v>
      </c>
      <c r="E3116" t="s">
        <v>17</v>
      </c>
      <c r="F3116" t="s">
        <v>558</v>
      </c>
      <c r="G3116" s="50" t="s">
        <v>574</v>
      </c>
      <c r="H3116" s="50">
        <v>2</v>
      </c>
      <c r="I3116" s="100">
        <v>6.7391919697301583</v>
      </c>
      <c r="J3116" s="52">
        <v>3834.68</v>
      </c>
      <c r="K3116" s="67">
        <f t="shared" si="196"/>
        <v>31605.55442221896</v>
      </c>
      <c r="L3116" s="95">
        <f>+VLOOKUP(E3116,MARGEN!A:B,2,FALSE)</f>
        <v>0.1</v>
      </c>
      <c r="M3116" s="112">
        <f t="shared" si="193"/>
        <v>3160.5554422218961</v>
      </c>
      <c r="N3116" s="113">
        <f t="shared" si="194"/>
        <v>126.42221768887585</v>
      </c>
      <c r="O3116" s="113">
        <f t="shared" si="195"/>
        <v>28318.576762308188</v>
      </c>
    </row>
    <row r="3117" spans="1:15" x14ac:dyDescent="0.25">
      <c r="A3117" s="13">
        <v>44460</v>
      </c>
      <c r="B3117" s="97">
        <v>1223</v>
      </c>
      <c r="C3117" t="s">
        <v>299</v>
      </c>
      <c r="D3117" t="s">
        <v>537</v>
      </c>
      <c r="E3117" t="s">
        <v>17</v>
      </c>
      <c r="F3117" t="s">
        <v>558</v>
      </c>
      <c r="G3117" s="50" t="s">
        <v>574</v>
      </c>
      <c r="H3117" s="50">
        <v>2</v>
      </c>
      <c r="I3117" s="100">
        <v>6.7391919697301583</v>
      </c>
      <c r="J3117" s="52">
        <v>3834.68</v>
      </c>
      <c r="K3117" s="67">
        <f t="shared" si="196"/>
        <v>31605.55442221896</v>
      </c>
      <c r="L3117" s="95">
        <f>+VLOOKUP(E3117,MARGEN!A:B,2,FALSE)</f>
        <v>0.1</v>
      </c>
      <c r="M3117" s="112">
        <f t="shared" si="193"/>
        <v>3160.5554422218961</v>
      </c>
      <c r="N3117" s="113">
        <f t="shared" si="194"/>
        <v>126.42221768887585</v>
      </c>
      <c r="O3117" s="113">
        <f t="shared" si="195"/>
        <v>28318.576762308188</v>
      </c>
    </row>
    <row r="3118" spans="1:15" x14ac:dyDescent="0.25">
      <c r="A3118" s="13">
        <v>44460</v>
      </c>
      <c r="B3118" s="97">
        <v>1199</v>
      </c>
      <c r="C3118" t="s">
        <v>201</v>
      </c>
      <c r="D3118" t="s">
        <v>374</v>
      </c>
      <c r="E3118" t="s">
        <v>17</v>
      </c>
      <c r="F3118" t="s">
        <v>573</v>
      </c>
      <c r="G3118" s="50" t="s">
        <v>574</v>
      </c>
      <c r="H3118" s="50">
        <v>2</v>
      </c>
      <c r="I3118" s="100">
        <v>6.7391919697301583</v>
      </c>
      <c r="J3118" s="52">
        <v>3834.68</v>
      </c>
      <c r="K3118" s="67">
        <f t="shared" si="196"/>
        <v>30985.330950319327</v>
      </c>
      <c r="L3118" s="95">
        <f>+VLOOKUP(E3118,MARGEN!A:B,2,FALSE)</f>
        <v>0.1</v>
      </c>
      <c r="M3118" s="112">
        <f t="shared" si="193"/>
        <v>3098.533095031933</v>
      </c>
      <c r="N3118" s="113">
        <f t="shared" si="194"/>
        <v>123.94132380127731</v>
      </c>
      <c r="O3118" s="113">
        <f t="shared" si="195"/>
        <v>27762.856531486115</v>
      </c>
    </row>
    <row r="3119" spans="1:15" x14ac:dyDescent="0.25">
      <c r="A3119" s="13">
        <v>44460</v>
      </c>
      <c r="B3119" s="97">
        <v>1151</v>
      </c>
      <c r="C3119" t="s">
        <v>184</v>
      </c>
      <c r="D3119" s="94" t="s">
        <v>443</v>
      </c>
      <c r="E3119" t="s">
        <v>17</v>
      </c>
      <c r="F3119" t="s">
        <v>573</v>
      </c>
      <c r="G3119" s="50" t="s">
        <v>574</v>
      </c>
      <c r="H3119" s="50">
        <v>2</v>
      </c>
      <c r="I3119" s="100">
        <v>6.7391919697301583</v>
      </c>
      <c r="J3119" s="52">
        <v>3834.68</v>
      </c>
      <c r="K3119" s="67">
        <f t="shared" si="196"/>
        <v>29744.884006520053</v>
      </c>
      <c r="L3119" s="95">
        <f>+VLOOKUP(E3119,MARGEN!A:B,2,FALSE)</f>
        <v>0.1</v>
      </c>
      <c r="M3119" s="112">
        <f t="shared" si="193"/>
        <v>2974.4884006520056</v>
      </c>
      <c r="N3119" s="113">
        <f t="shared" si="194"/>
        <v>118.97953602608021</v>
      </c>
      <c r="O3119" s="113">
        <f t="shared" si="195"/>
        <v>26651.416069841969</v>
      </c>
    </row>
    <row r="3120" spans="1:15" x14ac:dyDescent="0.25">
      <c r="A3120" s="13">
        <v>44460</v>
      </c>
      <c r="B3120" s="97">
        <v>1127</v>
      </c>
      <c r="C3120" t="s">
        <v>153</v>
      </c>
      <c r="D3120" t="s">
        <v>444</v>
      </c>
      <c r="E3120" t="s">
        <v>17</v>
      </c>
      <c r="F3120" t="s">
        <v>573</v>
      </c>
      <c r="G3120" s="50" t="s">
        <v>574</v>
      </c>
      <c r="H3120" s="50">
        <v>2</v>
      </c>
      <c r="I3120" s="100">
        <v>6.7391919697301583</v>
      </c>
      <c r="J3120" s="52">
        <v>3834.68</v>
      </c>
      <c r="K3120" s="67">
        <f t="shared" si="196"/>
        <v>29124.660534620416</v>
      </c>
      <c r="L3120" s="95">
        <f>+VLOOKUP(E3120,MARGEN!A:B,2,FALSE)</f>
        <v>0.1</v>
      </c>
      <c r="M3120" s="112">
        <f t="shared" si="193"/>
        <v>2912.4660534620416</v>
      </c>
      <c r="N3120" s="113">
        <f t="shared" si="194"/>
        <v>116.49864213848167</v>
      </c>
      <c r="O3120" s="113">
        <f t="shared" si="195"/>
        <v>26095.695839019892</v>
      </c>
    </row>
    <row r="3121" spans="1:15" x14ac:dyDescent="0.25">
      <c r="A3121" s="13">
        <v>44460</v>
      </c>
      <c r="B3121" s="97">
        <v>1079</v>
      </c>
      <c r="C3121" t="s">
        <v>195</v>
      </c>
      <c r="D3121" s="94" t="s">
        <v>392</v>
      </c>
      <c r="E3121" t="s">
        <v>17</v>
      </c>
      <c r="F3121" t="s">
        <v>562</v>
      </c>
      <c r="G3121" s="50" t="s">
        <v>574</v>
      </c>
      <c r="H3121" s="50">
        <v>2</v>
      </c>
      <c r="I3121" s="100">
        <v>6.7391919697301583</v>
      </c>
      <c r="J3121" s="52">
        <v>3834.68</v>
      </c>
      <c r="K3121" s="67">
        <f t="shared" si="196"/>
        <v>27884.213590821142</v>
      </c>
      <c r="L3121" s="95">
        <f>+VLOOKUP(E3121,MARGEN!A:B,2,FALSE)</f>
        <v>0.1</v>
      </c>
      <c r="M3121" s="112">
        <f t="shared" si="193"/>
        <v>2788.4213590821146</v>
      </c>
      <c r="N3121" s="113">
        <f t="shared" si="194"/>
        <v>111.53685436328456</v>
      </c>
      <c r="O3121" s="113">
        <f t="shared" si="195"/>
        <v>24984.255377375743</v>
      </c>
    </row>
    <row r="3122" spans="1:15" x14ac:dyDescent="0.25">
      <c r="A3122" s="13">
        <v>44460</v>
      </c>
      <c r="B3122" s="97">
        <v>911</v>
      </c>
      <c r="C3122" t="s">
        <v>182</v>
      </c>
      <c r="D3122" t="s">
        <v>455</v>
      </c>
      <c r="E3122" t="s">
        <v>17</v>
      </c>
      <c r="F3122" t="s">
        <v>566</v>
      </c>
      <c r="G3122" s="50" t="s">
        <v>574</v>
      </c>
      <c r="H3122" s="50">
        <v>2</v>
      </c>
      <c r="I3122" s="100">
        <v>6.7391919697301583</v>
      </c>
      <c r="J3122" s="52">
        <v>3834.68</v>
      </c>
      <c r="K3122" s="67">
        <f t="shared" si="196"/>
        <v>23542.649287523691</v>
      </c>
      <c r="L3122" s="95">
        <f>+VLOOKUP(E3122,MARGEN!A:B,2,FALSE)</f>
        <v>0.1</v>
      </c>
      <c r="M3122" s="112">
        <f t="shared" si="193"/>
        <v>2354.2649287523691</v>
      </c>
      <c r="N3122" s="113">
        <f t="shared" si="194"/>
        <v>94.170597150094764</v>
      </c>
      <c r="O3122" s="113">
        <f t="shared" si="195"/>
        <v>21094.213761621224</v>
      </c>
    </row>
    <row r="3123" spans="1:15" x14ac:dyDescent="0.25">
      <c r="A3123" s="13">
        <v>44460</v>
      </c>
      <c r="B3123" s="97">
        <v>791</v>
      </c>
      <c r="C3123" t="s">
        <v>307</v>
      </c>
      <c r="D3123" t="s">
        <v>497</v>
      </c>
      <c r="E3123" t="s">
        <v>17</v>
      </c>
      <c r="F3123" t="s">
        <v>558</v>
      </c>
      <c r="G3123" s="50" t="s">
        <v>574</v>
      </c>
      <c r="H3123" s="50">
        <v>2</v>
      </c>
      <c r="I3123" s="100">
        <v>6.7391919697301583</v>
      </c>
      <c r="J3123" s="52">
        <v>3834.68</v>
      </c>
      <c r="K3123" s="67">
        <f t="shared" si="196"/>
        <v>20441.53192802551</v>
      </c>
      <c r="L3123" s="95">
        <f>+VLOOKUP(E3123,MARGEN!A:B,2,FALSE)</f>
        <v>0.1</v>
      </c>
      <c r="M3123" s="112">
        <f t="shared" si="193"/>
        <v>2044.1531928025511</v>
      </c>
      <c r="N3123" s="113">
        <f t="shared" si="194"/>
        <v>81.766127712102033</v>
      </c>
      <c r="O3123" s="113">
        <f t="shared" si="195"/>
        <v>18315.612607510859</v>
      </c>
    </row>
    <row r="3124" spans="1:15" x14ac:dyDescent="0.25">
      <c r="A3124" s="13">
        <v>44460</v>
      </c>
      <c r="B3124" s="97">
        <v>767</v>
      </c>
      <c r="C3124" t="s">
        <v>181</v>
      </c>
      <c r="D3124" s="94" t="s">
        <v>415</v>
      </c>
      <c r="E3124" t="s">
        <v>17</v>
      </c>
      <c r="F3124" t="s">
        <v>573</v>
      </c>
      <c r="G3124" s="50" t="s">
        <v>574</v>
      </c>
      <c r="H3124" s="50">
        <v>2</v>
      </c>
      <c r="I3124" s="100">
        <v>6.7391919697301583</v>
      </c>
      <c r="J3124" s="52">
        <v>3834.68</v>
      </c>
      <c r="K3124" s="67">
        <f t="shared" si="196"/>
        <v>19821.308456125873</v>
      </c>
      <c r="L3124" s="95">
        <f>+VLOOKUP(E3124,MARGEN!A:B,2,FALSE)</f>
        <v>0.1</v>
      </c>
      <c r="M3124" s="112">
        <f t="shared" si="193"/>
        <v>1982.1308456125873</v>
      </c>
      <c r="N3124" s="113">
        <f t="shared" si="194"/>
        <v>79.285233824503493</v>
      </c>
      <c r="O3124" s="113">
        <f t="shared" si="195"/>
        <v>17759.892376688782</v>
      </c>
    </row>
    <row r="3125" spans="1:15" x14ac:dyDescent="0.25">
      <c r="A3125" s="13">
        <v>44461</v>
      </c>
      <c r="B3125" s="97">
        <v>5279</v>
      </c>
      <c r="C3125" t="s">
        <v>278</v>
      </c>
      <c r="D3125" t="s">
        <v>453</v>
      </c>
      <c r="E3125" t="s">
        <v>17</v>
      </c>
      <c r="F3125" t="s">
        <v>573</v>
      </c>
      <c r="G3125" s="50" t="s">
        <v>574</v>
      </c>
      <c r="H3125" s="50">
        <v>2</v>
      </c>
      <c r="I3125" s="100">
        <v>6.7391919697301583</v>
      </c>
      <c r="J3125" s="52">
        <v>3834.68</v>
      </c>
      <c r="K3125" s="67">
        <f t="shared" si="196"/>
        <v>136423.32117325746</v>
      </c>
      <c r="L3125" s="95">
        <f>+VLOOKUP(E3125,MARGEN!A:B,2,FALSE)</f>
        <v>0.1</v>
      </c>
      <c r="M3125" s="112">
        <f t="shared" si="193"/>
        <v>13642.332117325746</v>
      </c>
      <c r="N3125" s="113">
        <f t="shared" si="194"/>
        <v>545.6932846930298</v>
      </c>
      <c r="O3125" s="113">
        <f t="shared" si="195"/>
        <v>122235.29577123869</v>
      </c>
    </row>
    <row r="3126" spans="1:15" x14ac:dyDescent="0.25">
      <c r="A3126" s="13">
        <v>44461</v>
      </c>
      <c r="B3126" s="97">
        <v>4631</v>
      </c>
      <c r="C3126" t="s">
        <v>136</v>
      </c>
      <c r="D3126" t="s">
        <v>359</v>
      </c>
      <c r="E3126" t="s">
        <v>17</v>
      </c>
      <c r="F3126" t="s">
        <v>573</v>
      </c>
      <c r="G3126" s="50" t="s">
        <v>574</v>
      </c>
      <c r="H3126" s="50">
        <v>2</v>
      </c>
      <c r="I3126" s="100">
        <v>6.7391919697301583</v>
      </c>
      <c r="J3126" s="52">
        <v>3834.68</v>
      </c>
      <c r="K3126" s="67">
        <f t="shared" si="196"/>
        <v>119677.28743196731</v>
      </c>
      <c r="L3126" s="95">
        <f>+VLOOKUP(E3126,MARGEN!A:B,2,FALSE)</f>
        <v>0.1</v>
      </c>
      <c r="M3126" s="112">
        <f t="shared" si="193"/>
        <v>11967.728743196732</v>
      </c>
      <c r="N3126" s="113">
        <f t="shared" si="194"/>
        <v>478.70914972786926</v>
      </c>
      <c r="O3126" s="113">
        <f t="shared" si="195"/>
        <v>107230.84953904271</v>
      </c>
    </row>
    <row r="3127" spans="1:15" x14ac:dyDescent="0.25">
      <c r="A3127" s="13">
        <v>44461</v>
      </c>
      <c r="B3127" s="97">
        <v>4271</v>
      </c>
      <c r="C3127" t="s">
        <v>193</v>
      </c>
      <c r="D3127" t="s">
        <v>380</v>
      </c>
      <c r="E3127" t="s">
        <v>17</v>
      </c>
      <c r="F3127" t="s">
        <v>573</v>
      </c>
      <c r="G3127" s="50" t="s">
        <v>574</v>
      </c>
      <c r="H3127" s="50">
        <v>2</v>
      </c>
      <c r="I3127" s="100">
        <v>6.7391919697301583</v>
      </c>
      <c r="J3127" s="52">
        <v>3834.68</v>
      </c>
      <c r="K3127" s="67">
        <f t="shared" si="196"/>
        <v>110373.93535347277</v>
      </c>
      <c r="L3127" s="95">
        <f>+VLOOKUP(E3127,MARGEN!A:B,2,FALSE)</f>
        <v>0.1</v>
      </c>
      <c r="M3127" s="112">
        <f t="shared" si="193"/>
        <v>11037.393535347277</v>
      </c>
      <c r="N3127" s="113">
        <f t="shared" si="194"/>
        <v>441.4957414138911</v>
      </c>
      <c r="O3127" s="113">
        <f t="shared" si="195"/>
        <v>98895.046076711602</v>
      </c>
    </row>
    <row r="3128" spans="1:15" x14ac:dyDescent="0.25">
      <c r="A3128" s="13">
        <v>44461</v>
      </c>
      <c r="B3128" s="97">
        <v>4055</v>
      </c>
      <c r="C3128" t="s">
        <v>148</v>
      </c>
      <c r="D3128" t="s">
        <v>323</v>
      </c>
      <c r="E3128" t="s">
        <v>17</v>
      </c>
      <c r="F3128" t="s">
        <v>562</v>
      </c>
      <c r="G3128" s="50" t="s">
        <v>574</v>
      </c>
      <c r="H3128" s="50">
        <v>2</v>
      </c>
      <c r="I3128" s="100">
        <v>6.7391919697301583</v>
      </c>
      <c r="J3128" s="52">
        <v>3834.68</v>
      </c>
      <c r="K3128" s="67">
        <f t="shared" si="196"/>
        <v>104791.92410637604</v>
      </c>
      <c r="L3128" s="95">
        <f>+VLOOKUP(E3128,MARGEN!A:B,2,FALSE)</f>
        <v>0.1</v>
      </c>
      <c r="M3128" s="112">
        <f t="shared" si="193"/>
        <v>10479.192410637605</v>
      </c>
      <c r="N3128" s="113">
        <f t="shared" si="194"/>
        <v>419.16769642550418</v>
      </c>
      <c r="O3128" s="113">
        <f t="shared" si="195"/>
        <v>93893.56399931293</v>
      </c>
    </row>
    <row r="3129" spans="1:15" x14ac:dyDescent="0.25">
      <c r="A3129" s="13">
        <v>44461</v>
      </c>
      <c r="B3129" s="97">
        <v>3959</v>
      </c>
      <c r="C3129" t="s">
        <v>301</v>
      </c>
      <c r="D3129" t="s">
        <v>521</v>
      </c>
      <c r="E3129" t="s">
        <v>17</v>
      </c>
      <c r="F3129" t="s">
        <v>562</v>
      </c>
      <c r="G3129" s="50" t="s">
        <v>574</v>
      </c>
      <c r="H3129" s="50">
        <v>2</v>
      </c>
      <c r="I3129" s="100">
        <v>6.7391919697301583</v>
      </c>
      <c r="J3129" s="52">
        <v>3834.68</v>
      </c>
      <c r="K3129" s="67">
        <f t="shared" si="196"/>
        <v>102311.03021877749</v>
      </c>
      <c r="L3129" s="95">
        <f>+VLOOKUP(E3129,MARGEN!A:B,2,FALSE)</f>
        <v>0.1</v>
      </c>
      <c r="M3129" s="112">
        <f t="shared" si="193"/>
        <v>10231.103021877751</v>
      </c>
      <c r="N3129" s="113">
        <f t="shared" si="194"/>
        <v>409.24412087510996</v>
      </c>
      <c r="O3129" s="113">
        <f t="shared" si="195"/>
        <v>91670.683076024638</v>
      </c>
    </row>
    <row r="3130" spans="1:15" x14ac:dyDescent="0.25">
      <c r="A3130" s="13">
        <v>44461</v>
      </c>
      <c r="B3130" s="97">
        <v>3887</v>
      </c>
      <c r="C3130" t="s">
        <v>293</v>
      </c>
      <c r="D3130" t="s">
        <v>499</v>
      </c>
      <c r="E3130" t="s">
        <v>17</v>
      </c>
      <c r="F3130" t="s">
        <v>573</v>
      </c>
      <c r="G3130" s="50" t="s">
        <v>574</v>
      </c>
      <c r="H3130" s="50">
        <v>2</v>
      </c>
      <c r="I3130" s="100">
        <v>6.7391919697301583</v>
      </c>
      <c r="J3130" s="52">
        <v>3834.68</v>
      </c>
      <c r="K3130" s="67">
        <f t="shared" si="196"/>
        <v>100450.35980307858</v>
      </c>
      <c r="L3130" s="95">
        <f>+VLOOKUP(E3130,MARGEN!A:B,2,FALSE)</f>
        <v>0.1</v>
      </c>
      <c r="M3130" s="112">
        <f t="shared" si="193"/>
        <v>10045.035980307859</v>
      </c>
      <c r="N3130" s="113">
        <f t="shared" si="194"/>
        <v>401.80143921231434</v>
      </c>
      <c r="O3130" s="113">
        <f t="shared" si="195"/>
        <v>90003.522383558404</v>
      </c>
    </row>
    <row r="3131" spans="1:15" x14ac:dyDescent="0.25">
      <c r="A3131" s="13">
        <v>44461</v>
      </c>
      <c r="B3131" s="97">
        <v>3791</v>
      </c>
      <c r="C3131" t="s">
        <v>144</v>
      </c>
      <c r="D3131" t="s">
        <v>343</v>
      </c>
      <c r="E3131" t="s">
        <v>17</v>
      </c>
      <c r="F3131" t="s">
        <v>573</v>
      </c>
      <c r="G3131" s="50" t="s">
        <v>574</v>
      </c>
      <c r="H3131" s="50">
        <v>2</v>
      </c>
      <c r="I3131" s="100">
        <v>6.7391919697301583</v>
      </c>
      <c r="J3131" s="52">
        <v>3834.68</v>
      </c>
      <c r="K3131" s="67">
        <f t="shared" si="196"/>
        <v>97969.465915480032</v>
      </c>
      <c r="L3131" s="95">
        <f>+VLOOKUP(E3131,MARGEN!A:B,2,FALSE)</f>
        <v>0.1</v>
      </c>
      <c r="M3131" s="112">
        <f t="shared" si="193"/>
        <v>9796.9465915480032</v>
      </c>
      <c r="N3131" s="113">
        <f t="shared" si="194"/>
        <v>391.87786366192012</v>
      </c>
      <c r="O3131" s="113">
        <f t="shared" si="195"/>
        <v>87780.641460270112</v>
      </c>
    </row>
    <row r="3132" spans="1:15" x14ac:dyDescent="0.25">
      <c r="A3132" s="13">
        <v>44461</v>
      </c>
      <c r="B3132" s="97">
        <v>3623</v>
      </c>
      <c r="C3132" t="s">
        <v>149</v>
      </c>
      <c r="D3132" t="s">
        <v>325</v>
      </c>
      <c r="E3132" t="s">
        <v>17</v>
      </c>
      <c r="F3132" t="s">
        <v>573</v>
      </c>
      <c r="G3132" s="50" t="s">
        <v>574</v>
      </c>
      <c r="H3132" s="50">
        <v>2</v>
      </c>
      <c r="I3132" s="100">
        <v>6.7391919697301583</v>
      </c>
      <c r="J3132" s="52">
        <v>3834.68</v>
      </c>
      <c r="K3132" s="67">
        <f t="shared" si="196"/>
        <v>93627.901612182584</v>
      </c>
      <c r="L3132" s="95">
        <f>+VLOOKUP(E3132,MARGEN!A:B,2,FALSE)</f>
        <v>0.1</v>
      </c>
      <c r="M3132" s="112">
        <f t="shared" si="193"/>
        <v>9362.7901612182595</v>
      </c>
      <c r="N3132" s="113">
        <f t="shared" si="194"/>
        <v>374.51160644873033</v>
      </c>
      <c r="O3132" s="113">
        <f t="shared" si="195"/>
        <v>83890.599844515586</v>
      </c>
    </row>
    <row r="3133" spans="1:15" x14ac:dyDescent="0.25">
      <c r="A3133" s="13">
        <v>44461</v>
      </c>
      <c r="B3133" s="97">
        <v>3599</v>
      </c>
      <c r="C3133" t="s">
        <v>192</v>
      </c>
      <c r="D3133" t="s">
        <v>347</v>
      </c>
      <c r="E3133" t="s">
        <v>17</v>
      </c>
      <c r="F3133" t="s">
        <v>573</v>
      </c>
      <c r="G3133" s="50" t="s">
        <v>574</v>
      </c>
      <c r="H3133" s="50">
        <v>2</v>
      </c>
      <c r="I3133" s="100">
        <v>6.7391919697301583</v>
      </c>
      <c r="J3133" s="52">
        <v>3834.68</v>
      </c>
      <c r="K3133" s="67">
        <f t="shared" si="196"/>
        <v>93007.678140282951</v>
      </c>
      <c r="L3133" s="95">
        <f>+VLOOKUP(E3133,MARGEN!A:B,2,FALSE)</f>
        <v>0.1</v>
      </c>
      <c r="M3133" s="112">
        <f t="shared" si="193"/>
        <v>9300.7678140282951</v>
      </c>
      <c r="N3133" s="113">
        <f t="shared" si="194"/>
        <v>372.03071256113179</v>
      </c>
      <c r="O3133" s="113">
        <f t="shared" si="195"/>
        <v>83334.879613693527</v>
      </c>
    </row>
    <row r="3134" spans="1:15" x14ac:dyDescent="0.25">
      <c r="A3134" s="13">
        <v>44461</v>
      </c>
      <c r="B3134" s="97">
        <v>3479</v>
      </c>
      <c r="C3134" t="s">
        <v>165</v>
      </c>
      <c r="D3134" t="s">
        <v>375</v>
      </c>
      <c r="E3134" t="s">
        <v>17</v>
      </c>
      <c r="F3134" t="s">
        <v>573</v>
      </c>
      <c r="G3134" s="50" t="s">
        <v>574</v>
      </c>
      <c r="H3134" s="50">
        <v>2</v>
      </c>
      <c r="I3134" s="100">
        <v>6.7391919697301583</v>
      </c>
      <c r="J3134" s="52">
        <v>3834.68</v>
      </c>
      <c r="K3134" s="67">
        <f t="shared" si="196"/>
        <v>89906.56078078477</v>
      </c>
      <c r="L3134" s="95">
        <f>+VLOOKUP(E3134,MARGEN!A:B,2,FALSE)</f>
        <v>0.1</v>
      </c>
      <c r="M3134" s="112">
        <f t="shared" si="193"/>
        <v>8990.6560780784766</v>
      </c>
      <c r="N3134" s="113">
        <f t="shared" si="194"/>
        <v>359.62624312313909</v>
      </c>
      <c r="O3134" s="113">
        <f t="shared" si="195"/>
        <v>80556.278459583147</v>
      </c>
    </row>
    <row r="3135" spans="1:15" x14ac:dyDescent="0.25">
      <c r="A3135" s="13">
        <v>44461</v>
      </c>
      <c r="B3135" s="97">
        <v>3383</v>
      </c>
      <c r="C3135" t="s">
        <v>135</v>
      </c>
      <c r="D3135" t="s">
        <v>533</v>
      </c>
      <c r="E3135" t="s">
        <v>17</v>
      </c>
      <c r="F3135" t="s">
        <v>562</v>
      </c>
      <c r="G3135" s="50" t="s">
        <v>574</v>
      </c>
      <c r="H3135" s="50">
        <v>2</v>
      </c>
      <c r="I3135" s="100">
        <v>6.7391919697301583</v>
      </c>
      <c r="J3135" s="52">
        <v>3834.68</v>
      </c>
      <c r="K3135" s="67">
        <f t="shared" si="196"/>
        <v>87425.666893186222</v>
      </c>
      <c r="L3135" s="95">
        <f>+VLOOKUP(E3135,MARGEN!A:B,2,FALSE)</f>
        <v>0.1</v>
      </c>
      <c r="M3135" s="112">
        <f t="shared" si="193"/>
        <v>8742.5666893186226</v>
      </c>
      <c r="N3135" s="113">
        <f t="shared" si="194"/>
        <v>349.70266757274487</v>
      </c>
      <c r="O3135" s="113">
        <f t="shared" si="195"/>
        <v>78333.397536294855</v>
      </c>
    </row>
    <row r="3136" spans="1:15" x14ac:dyDescent="0.25">
      <c r="A3136" s="13">
        <v>44461</v>
      </c>
      <c r="B3136" s="97">
        <v>3359</v>
      </c>
      <c r="C3136" t="s">
        <v>309</v>
      </c>
      <c r="D3136" t="s">
        <v>544</v>
      </c>
      <c r="E3136" t="s">
        <v>17</v>
      </c>
      <c r="F3136" t="s">
        <v>573</v>
      </c>
      <c r="G3136" s="50" t="s">
        <v>574</v>
      </c>
      <c r="H3136" s="50">
        <v>2</v>
      </c>
      <c r="I3136" s="100">
        <v>6.7391919697301583</v>
      </c>
      <c r="J3136" s="52">
        <v>3834.68</v>
      </c>
      <c r="K3136" s="67">
        <f t="shared" si="196"/>
        <v>86805.443421286589</v>
      </c>
      <c r="L3136" s="95">
        <f>+VLOOKUP(E3136,MARGEN!A:B,2,FALSE)</f>
        <v>0.1</v>
      </c>
      <c r="M3136" s="112">
        <f t="shared" si="193"/>
        <v>8680.54434212866</v>
      </c>
      <c r="N3136" s="113">
        <f t="shared" si="194"/>
        <v>347.22177368514633</v>
      </c>
      <c r="O3136" s="113">
        <f t="shared" si="195"/>
        <v>77777.677305472782</v>
      </c>
    </row>
    <row r="3137" spans="1:15" x14ac:dyDescent="0.25">
      <c r="A3137" s="13">
        <v>44461</v>
      </c>
      <c r="B3137" s="97">
        <v>2903</v>
      </c>
      <c r="C3137" t="s">
        <v>134</v>
      </c>
      <c r="D3137" t="s">
        <v>362</v>
      </c>
      <c r="E3137" t="s">
        <v>17</v>
      </c>
      <c r="F3137" t="s">
        <v>573</v>
      </c>
      <c r="G3137" s="50" t="s">
        <v>574</v>
      </c>
      <c r="H3137" s="50">
        <v>2</v>
      </c>
      <c r="I3137" s="100">
        <v>6.7391919697301583</v>
      </c>
      <c r="J3137" s="52">
        <v>3834.68</v>
      </c>
      <c r="K3137" s="67">
        <f t="shared" si="196"/>
        <v>75021.197455193484</v>
      </c>
      <c r="L3137" s="95">
        <f>+VLOOKUP(E3137,MARGEN!A:B,2,FALSE)</f>
        <v>0.1</v>
      </c>
      <c r="M3137" s="112">
        <f t="shared" si="193"/>
        <v>7502.1197455193487</v>
      </c>
      <c r="N3137" s="113">
        <f t="shared" si="194"/>
        <v>300.08478982077395</v>
      </c>
      <c r="O3137" s="113">
        <f t="shared" si="195"/>
        <v>67218.992919853365</v>
      </c>
    </row>
    <row r="3138" spans="1:15" x14ac:dyDescent="0.25">
      <c r="A3138" s="13">
        <v>44461</v>
      </c>
      <c r="B3138" s="97">
        <v>2783</v>
      </c>
      <c r="C3138" t="s">
        <v>189</v>
      </c>
      <c r="D3138" t="s">
        <v>431</v>
      </c>
      <c r="E3138" t="s">
        <v>17</v>
      </c>
      <c r="F3138" t="s">
        <v>566</v>
      </c>
      <c r="G3138" s="50" t="s">
        <v>574</v>
      </c>
      <c r="H3138" s="50">
        <v>2</v>
      </c>
      <c r="I3138" s="100">
        <v>6.7391919697301583</v>
      </c>
      <c r="J3138" s="52">
        <v>3834.68</v>
      </c>
      <c r="K3138" s="67">
        <f t="shared" si="196"/>
        <v>71920.080095695317</v>
      </c>
      <c r="L3138" s="95">
        <f>+VLOOKUP(E3138,MARGEN!A:B,2,FALSE)</f>
        <v>0.1</v>
      </c>
      <c r="M3138" s="112">
        <f t="shared" si="193"/>
        <v>7192.0080095695321</v>
      </c>
      <c r="N3138" s="113">
        <f t="shared" si="194"/>
        <v>287.68032038278125</v>
      </c>
      <c r="O3138" s="113">
        <f t="shared" si="195"/>
        <v>64440.391765743007</v>
      </c>
    </row>
    <row r="3139" spans="1:15" x14ac:dyDescent="0.25">
      <c r="A3139" s="13">
        <v>44461</v>
      </c>
      <c r="B3139" s="97">
        <v>2783</v>
      </c>
      <c r="C3139" t="s">
        <v>131</v>
      </c>
      <c r="D3139" t="s">
        <v>344</v>
      </c>
      <c r="E3139" t="s">
        <v>17</v>
      </c>
      <c r="F3139" t="s">
        <v>573</v>
      </c>
      <c r="G3139" s="50" t="s">
        <v>574</v>
      </c>
      <c r="H3139" s="50">
        <v>2</v>
      </c>
      <c r="I3139" s="100">
        <v>6.7391919697301583</v>
      </c>
      <c r="J3139" s="52">
        <v>3834.68</v>
      </c>
      <c r="K3139" s="67">
        <f t="shared" si="196"/>
        <v>71920.080095695317</v>
      </c>
      <c r="L3139" s="95">
        <f>+VLOOKUP(E3139,MARGEN!A:B,2,FALSE)</f>
        <v>0.1</v>
      </c>
      <c r="M3139" s="112">
        <f t="shared" ref="M3139:M3202" si="197">+K3139*L3139</f>
        <v>7192.0080095695321</v>
      </c>
      <c r="N3139" s="113">
        <f t="shared" ref="N3139:N3202" si="198">+K3139*4/1000</f>
        <v>287.68032038278125</v>
      </c>
      <c r="O3139" s="113">
        <f t="shared" ref="O3139:O3202" si="199">+K3139-M3139-N3139</f>
        <v>64440.391765743007</v>
      </c>
    </row>
    <row r="3140" spans="1:15" x14ac:dyDescent="0.25">
      <c r="A3140" s="13">
        <v>44461</v>
      </c>
      <c r="B3140" s="97">
        <v>2711</v>
      </c>
      <c r="C3140" t="s">
        <v>132</v>
      </c>
      <c r="D3140" t="s">
        <v>376</v>
      </c>
      <c r="E3140" t="s">
        <v>17</v>
      </c>
      <c r="F3140" t="s">
        <v>573</v>
      </c>
      <c r="G3140" s="50" t="s">
        <v>574</v>
      </c>
      <c r="H3140" s="50">
        <v>2</v>
      </c>
      <c r="I3140" s="100">
        <v>6.7391919697301583</v>
      </c>
      <c r="J3140" s="52">
        <v>3834.68</v>
      </c>
      <c r="K3140" s="67">
        <f t="shared" si="196"/>
        <v>70059.409679996417</v>
      </c>
      <c r="L3140" s="95">
        <f>+VLOOKUP(E3140,MARGEN!A:B,2,FALSE)</f>
        <v>0.1</v>
      </c>
      <c r="M3140" s="112">
        <f t="shared" si="197"/>
        <v>7005.9409679996425</v>
      </c>
      <c r="N3140" s="113">
        <f t="shared" si="198"/>
        <v>280.23763871998568</v>
      </c>
      <c r="O3140" s="113">
        <f t="shared" si="199"/>
        <v>62773.231073276787</v>
      </c>
    </row>
    <row r="3141" spans="1:15" x14ac:dyDescent="0.25">
      <c r="A3141" s="13">
        <v>44461</v>
      </c>
      <c r="B3141" s="97">
        <v>2663</v>
      </c>
      <c r="C3141" t="s">
        <v>186</v>
      </c>
      <c r="D3141" t="s">
        <v>440</v>
      </c>
      <c r="E3141" t="s">
        <v>17</v>
      </c>
      <c r="F3141" t="s">
        <v>573</v>
      </c>
      <c r="G3141" s="50" t="s">
        <v>574</v>
      </c>
      <c r="H3141" s="50">
        <v>2</v>
      </c>
      <c r="I3141" s="100">
        <v>6.7391919697301583</v>
      </c>
      <c r="J3141" s="52">
        <v>3834.68</v>
      </c>
      <c r="K3141" s="67">
        <f t="shared" si="196"/>
        <v>68818.962736197136</v>
      </c>
      <c r="L3141" s="95">
        <f>+VLOOKUP(E3141,MARGEN!A:B,2,FALSE)</f>
        <v>0.1</v>
      </c>
      <c r="M3141" s="112">
        <f t="shared" si="197"/>
        <v>6881.8962736197136</v>
      </c>
      <c r="N3141" s="113">
        <f t="shared" si="198"/>
        <v>275.27585094478854</v>
      </c>
      <c r="O3141" s="113">
        <f t="shared" si="199"/>
        <v>61661.790611632634</v>
      </c>
    </row>
    <row r="3142" spans="1:15" x14ac:dyDescent="0.25">
      <c r="A3142" s="13">
        <v>44461</v>
      </c>
      <c r="B3142" s="97">
        <v>2567</v>
      </c>
      <c r="C3142" t="s">
        <v>310</v>
      </c>
      <c r="D3142" t="s">
        <v>540</v>
      </c>
      <c r="E3142" t="s">
        <v>17</v>
      </c>
      <c r="F3142" t="s">
        <v>573</v>
      </c>
      <c r="G3142" s="50" t="s">
        <v>574</v>
      </c>
      <c r="H3142" s="50">
        <v>2</v>
      </c>
      <c r="I3142" s="100">
        <v>6.7391919697301583</v>
      </c>
      <c r="J3142" s="52">
        <v>3834.68</v>
      </c>
      <c r="K3142" s="67">
        <f t="shared" si="196"/>
        <v>66338.068848598588</v>
      </c>
      <c r="L3142" s="95">
        <f>+VLOOKUP(E3142,MARGEN!A:B,2,FALSE)</f>
        <v>0.1</v>
      </c>
      <c r="M3142" s="112">
        <f t="shared" si="197"/>
        <v>6633.8068848598596</v>
      </c>
      <c r="N3142" s="113">
        <f t="shared" si="198"/>
        <v>265.35227539439433</v>
      </c>
      <c r="O3142" s="113">
        <f t="shared" si="199"/>
        <v>59438.909688344334</v>
      </c>
    </row>
    <row r="3143" spans="1:15" x14ac:dyDescent="0.25">
      <c r="A3143" s="13">
        <v>44461</v>
      </c>
      <c r="B3143" s="97">
        <v>2519</v>
      </c>
      <c r="C3143" t="s">
        <v>127</v>
      </c>
      <c r="D3143" t="s">
        <v>411</v>
      </c>
      <c r="E3143" t="s">
        <v>17</v>
      </c>
      <c r="F3143" t="s">
        <v>573</v>
      </c>
      <c r="G3143" s="50" t="s">
        <v>574</v>
      </c>
      <c r="H3143" s="50">
        <v>2</v>
      </c>
      <c r="I3143" s="100">
        <v>6.7391919697301583</v>
      </c>
      <c r="J3143" s="52">
        <v>3834.68</v>
      </c>
      <c r="K3143" s="67">
        <f t="shared" si="196"/>
        <v>65097.621904799322</v>
      </c>
      <c r="L3143" s="95">
        <f>+VLOOKUP(E3143,MARGEN!A:B,2,FALSE)</f>
        <v>0.1</v>
      </c>
      <c r="M3143" s="112">
        <f t="shared" si="197"/>
        <v>6509.7621904799325</v>
      </c>
      <c r="N3143" s="113">
        <f t="shared" si="198"/>
        <v>260.3904876191973</v>
      </c>
      <c r="O3143" s="113">
        <f t="shared" si="199"/>
        <v>58327.469226700196</v>
      </c>
    </row>
    <row r="3144" spans="1:15" x14ac:dyDescent="0.25">
      <c r="A3144" s="13">
        <v>44461</v>
      </c>
      <c r="B3144" s="97">
        <v>2519</v>
      </c>
      <c r="C3144" t="s">
        <v>146</v>
      </c>
      <c r="D3144" t="s">
        <v>348</v>
      </c>
      <c r="E3144" t="s">
        <v>17</v>
      </c>
      <c r="F3144" t="s">
        <v>573</v>
      </c>
      <c r="G3144" s="50" t="s">
        <v>574</v>
      </c>
      <c r="H3144" s="50">
        <v>2</v>
      </c>
      <c r="I3144" s="100">
        <v>6.7391919697301583</v>
      </c>
      <c r="J3144" s="52">
        <v>3834.68</v>
      </c>
      <c r="K3144" s="67">
        <f t="shared" si="196"/>
        <v>65097.621904799322</v>
      </c>
      <c r="L3144" s="95">
        <f>+VLOOKUP(E3144,MARGEN!A:B,2,FALSE)</f>
        <v>0.1</v>
      </c>
      <c r="M3144" s="112">
        <f t="shared" si="197"/>
        <v>6509.7621904799325</v>
      </c>
      <c r="N3144" s="113">
        <f t="shared" si="198"/>
        <v>260.3904876191973</v>
      </c>
      <c r="O3144" s="113">
        <f t="shared" si="199"/>
        <v>58327.469226700196</v>
      </c>
    </row>
    <row r="3145" spans="1:15" x14ac:dyDescent="0.25">
      <c r="A3145" s="13">
        <v>44461</v>
      </c>
      <c r="B3145" s="97">
        <v>2447</v>
      </c>
      <c r="C3145" t="s">
        <v>162</v>
      </c>
      <c r="D3145" t="s">
        <v>391</v>
      </c>
      <c r="E3145" t="s">
        <v>17</v>
      </c>
      <c r="F3145" t="s">
        <v>566</v>
      </c>
      <c r="G3145" s="50" t="s">
        <v>574</v>
      </c>
      <c r="H3145" s="50">
        <v>2</v>
      </c>
      <c r="I3145" s="100">
        <v>6.7391919697301583</v>
      </c>
      <c r="J3145" s="52">
        <v>3834.68</v>
      </c>
      <c r="K3145" s="67">
        <f t="shared" ref="K3145:K3208" si="200">+B3145*I3145*J3145/1000</f>
        <v>63236.951489100415</v>
      </c>
      <c r="L3145" s="95">
        <f>+VLOOKUP(E3145,MARGEN!A:B,2,FALSE)</f>
        <v>0.1</v>
      </c>
      <c r="M3145" s="112">
        <f t="shared" si="197"/>
        <v>6323.695148910042</v>
      </c>
      <c r="N3145" s="113">
        <f t="shared" si="198"/>
        <v>252.94780595640165</v>
      </c>
      <c r="O3145" s="113">
        <f t="shared" si="199"/>
        <v>56660.308534233976</v>
      </c>
    </row>
    <row r="3146" spans="1:15" x14ac:dyDescent="0.25">
      <c r="A3146" s="13">
        <v>44461</v>
      </c>
      <c r="B3146" s="97">
        <v>2423</v>
      </c>
      <c r="C3146" t="s">
        <v>281</v>
      </c>
      <c r="D3146" t="s">
        <v>495</v>
      </c>
      <c r="E3146" t="s">
        <v>17</v>
      </c>
      <c r="F3146" t="s">
        <v>573</v>
      </c>
      <c r="G3146" s="50" t="s">
        <v>574</v>
      </c>
      <c r="H3146" s="50">
        <v>2</v>
      </c>
      <c r="I3146" s="100">
        <v>6.7391919697301583</v>
      </c>
      <c r="J3146" s="52">
        <v>3834.68</v>
      </c>
      <c r="K3146" s="67">
        <f t="shared" si="200"/>
        <v>62616.728017200774</v>
      </c>
      <c r="L3146" s="95">
        <f>+VLOOKUP(E3146,MARGEN!A:B,2,FALSE)</f>
        <v>0.1</v>
      </c>
      <c r="M3146" s="112">
        <f t="shared" si="197"/>
        <v>6261.6728017200776</v>
      </c>
      <c r="N3146" s="113">
        <f t="shared" si="198"/>
        <v>250.46691206880308</v>
      </c>
      <c r="O3146" s="113">
        <f t="shared" si="199"/>
        <v>56104.588303411889</v>
      </c>
    </row>
    <row r="3147" spans="1:15" x14ac:dyDescent="0.25">
      <c r="A3147" s="13">
        <v>44461</v>
      </c>
      <c r="B3147" s="97">
        <v>2399</v>
      </c>
      <c r="C3147" t="s">
        <v>163</v>
      </c>
      <c r="D3147" t="s">
        <v>398</v>
      </c>
      <c r="E3147" t="s">
        <v>17</v>
      </c>
      <c r="F3147" t="s">
        <v>573</v>
      </c>
      <c r="G3147" s="50" t="s">
        <v>574</v>
      </c>
      <c r="H3147" s="50">
        <v>2</v>
      </c>
      <c r="I3147" s="100">
        <v>6.7391919697301583</v>
      </c>
      <c r="J3147" s="52">
        <v>3834.68</v>
      </c>
      <c r="K3147" s="67">
        <f t="shared" si="200"/>
        <v>61996.504545301133</v>
      </c>
      <c r="L3147" s="95">
        <f>+VLOOKUP(E3147,MARGEN!A:B,2,FALSE)</f>
        <v>0.1</v>
      </c>
      <c r="M3147" s="112">
        <f t="shared" si="197"/>
        <v>6199.6504545301141</v>
      </c>
      <c r="N3147" s="113">
        <f t="shared" si="198"/>
        <v>247.98601818120454</v>
      </c>
      <c r="O3147" s="113">
        <f t="shared" si="199"/>
        <v>55548.868072589816</v>
      </c>
    </row>
    <row r="3148" spans="1:15" x14ac:dyDescent="0.25">
      <c r="A3148" s="13">
        <v>44461</v>
      </c>
      <c r="B3148" s="97">
        <v>2327</v>
      </c>
      <c r="C3148" t="s">
        <v>283</v>
      </c>
      <c r="D3148" t="s">
        <v>543</v>
      </c>
      <c r="E3148" t="s">
        <v>17</v>
      </c>
      <c r="F3148" t="s">
        <v>566</v>
      </c>
      <c r="G3148" s="50" t="s">
        <v>574</v>
      </c>
      <c r="H3148" s="50">
        <v>2</v>
      </c>
      <c r="I3148" s="100">
        <v>6.7391919697301583</v>
      </c>
      <c r="J3148" s="52">
        <v>3834.68</v>
      </c>
      <c r="K3148" s="67">
        <f t="shared" si="200"/>
        <v>60135.834129602234</v>
      </c>
      <c r="L3148" s="95">
        <f>+VLOOKUP(E3148,MARGEN!A:B,2,FALSE)</f>
        <v>0.1</v>
      </c>
      <c r="M3148" s="112">
        <f t="shared" si="197"/>
        <v>6013.5834129602235</v>
      </c>
      <c r="N3148" s="113">
        <f t="shared" si="198"/>
        <v>240.54333651840892</v>
      </c>
      <c r="O3148" s="113">
        <f t="shared" si="199"/>
        <v>53881.707380123604</v>
      </c>
    </row>
    <row r="3149" spans="1:15" x14ac:dyDescent="0.25">
      <c r="A3149" s="13">
        <v>44461</v>
      </c>
      <c r="B3149" s="97">
        <v>2327</v>
      </c>
      <c r="C3149" t="s">
        <v>156</v>
      </c>
      <c r="D3149" t="s">
        <v>429</v>
      </c>
      <c r="E3149" t="s">
        <v>17</v>
      </c>
      <c r="F3149" t="s">
        <v>573</v>
      </c>
      <c r="G3149" s="50" t="s">
        <v>574</v>
      </c>
      <c r="H3149" s="50">
        <v>2</v>
      </c>
      <c r="I3149" s="100">
        <v>6.7391919697301583</v>
      </c>
      <c r="J3149" s="52">
        <v>3834.68</v>
      </c>
      <c r="K3149" s="67">
        <f t="shared" si="200"/>
        <v>60135.834129602234</v>
      </c>
      <c r="L3149" s="95">
        <f>+VLOOKUP(E3149,MARGEN!A:B,2,FALSE)</f>
        <v>0.1</v>
      </c>
      <c r="M3149" s="112">
        <f t="shared" si="197"/>
        <v>6013.5834129602235</v>
      </c>
      <c r="N3149" s="113">
        <f t="shared" si="198"/>
        <v>240.54333651840892</v>
      </c>
      <c r="O3149" s="113">
        <f t="shared" si="199"/>
        <v>53881.707380123604</v>
      </c>
    </row>
    <row r="3150" spans="1:15" x14ac:dyDescent="0.25">
      <c r="A3150" s="13">
        <v>44461</v>
      </c>
      <c r="B3150" s="97">
        <v>2303</v>
      </c>
      <c r="C3150" t="s">
        <v>128</v>
      </c>
      <c r="D3150" t="s">
        <v>416</v>
      </c>
      <c r="E3150" t="s">
        <v>17</v>
      </c>
      <c r="F3150" t="s">
        <v>573</v>
      </c>
      <c r="G3150" s="50" t="s">
        <v>574</v>
      </c>
      <c r="H3150" s="50">
        <v>2</v>
      </c>
      <c r="I3150" s="100">
        <v>6.7391919697301583</v>
      </c>
      <c r="J3150" s="52">
        <v>3834.68</v>
      </c>
      <c r="K3150" s="67">
        <f t="shared" si="200"/>
        <v>59515.610657702593</v>
      </c>
      <c r="L3150" s="95">
        <f>+VLOOKUP(E3150,MARGEN!A:B,2,FALSE)</f>
        <v>0.1</v>
      </c>
      <c r="M3150" s="112">
        <f t="shared" si="197"/>
        <v>5951.56106577026</v>
      </c>
      <c r="N3150" s="113">
        <f t="shared" si="198"/>
        <v>238.06244263081038</v>
      </c>
      <c r="O3150" s="113">
        <f t="shared" si="199"/>
        <v>53325.987149301516</v>
      </c>
    </row>
    <row r="3151" spans="1:15" x14ac:dyDescent="0.25">
      <c r="A3151" s="13">
        <v>44461</v>
      </c>
      <c r="B3151" s="97">
        <v>2303</v>
      </c>
      <c r="C3151" t="s">
        <v>130</v>
      </c>
      <c r="D3151" t="s">
        <v>367</v>
      </c>
      <c r="E3151" t="s">
        <v>17</v>
      </c>
      <c r="F3151" t="s">
        <v>573</v>
      </c>
      <c r="G3151" s="50" t="s">
        <v>574</v>
      </c>
      <c r="H3151" s="50">
        <v>2</v>
      </c>
      <c r="I3151" s="100">
        <v>6.7391919697301583</v>
      </c>
      <c r="J3151" s="52">
        <v>3834.68</v>
      </c>
      <c r="K3151" s="67">
        <f t="shared" si="200"/>
        <v>59515.610657702593</v>
      </c>
      <c r="L3151" s="95">
        <f>+VLOOKUP(E3151,MARGEN!A:B,2,FALSE)</f>
        <v>0.1</v>
      </c>
      <c r="M3151" s="112">
        <f t="shared" si="197"/>
        <v>5951.56106577026</v>
      </c>
      <c r="N3151" s="113">
        <f t="shared" si="198"/>
        <v>238.06244263081038</v>
      </c>
      <c r="O3151" s="113">
        <f t="shared" si="199"/>
        <v>53325.987149301516</v>
      </c>
    </row>
    <row r="3152" spans="1:15" x14ac:dyDescent="0.25">
      <c r="A3152" s="13">
        <v>44461</v>
      </c>
      <c r="B3152" s="97">
        <v>2279</v>
      </c>
      <c r="C3152" t="s">
        <v>122</v>
      </c>
      <c r="D3152" t="s">
        <v>446</v>
      </c>
      <c r="E3152" t="s">
        <v>17</v>
      </c>
      <c r="F3152" t="s">
        <v>573</v>
      </c>
      <c r="G3152" s="50" t="s">
        <v>574</v>
      </c>
      <c r="H3152" s="50">
        <v>2</v>
      </c>
      <c r="I3152" s="100">
        <v>6.7391919697301583</v>
      </c>
      <c r="J3152" s="52">
        <v>3834.68</v>
      </c>
      <c r="K3152" s="67">
        <f t="shared" si="200"/>
        <v>58895.387185802952</v>
      </c>
      <c r="L3152" s="95">
        <f>+VLOOKUP(E3152,MARGEN!A:B,2,FALSE)</f>
        <v>0.1</v>
      </c>
      <c r="M3152" s="112">
        <f t="shared" si="197"/>
        <v>5889.5387185802956</v>
      </c>
      <c r="N3152" s="113">
        <f t="shared" si="198"/>
        <v>235.58154874321181</v>
      </c>
      <c r="O3152" s="113">
        <f t="shared" si="199"/>
        <v>52770.266918479443</v>
      </c>
    </row>
    <row r="3153" spans="1:15" x14ac:dyDescent="0.25">
      <c r="A3153" s="13">
        <v>44461</v>
      </c>
      <c r="B3153" s="97">
        <v>2255</v>
      </c>
      <c r="C3153" t="s">
        <v>305</v>
      </c>
      <c r="D3153" t="s">
        <v>523</v>
      </c>
      <c r="E3153" t="s">
        <v>17</v>
      </c>
      <c r="F3153" t="s">
        <v>566</v>
      </c>
      <c r="G3153" s="50" t="s">
        <v>574</v>
      </c>
      <c r="H3153" s="50">
        <v>2</v>
      </c>
      <c r="I3153" s="100">
        <v>6.7391919697301583</v>
      </c>
      <c r="J3153" s="52">
        <v>3834.68</v>
      </c>
      <c r="K3153" s="67">
        <f t="shared" si="200"/>
        <v>58275.163713903326</v>
      </c>
      <c r="L3153" s="95">
        <f>+VLOOKUP(E3153,MARGEN!A:B,2,FALSE)</f>
        <v>0.1</v>
      </c>
      <c r="M3153" s="112">
        <f t="shared" si="197"/>
        <v>5827.516371390333</v>
      </c>
      <c r="N3153" s="113">
        <f t="shared" si="198"/>
        <v>233.1006548556133</v>
      </c>
      <c r="O3153" s="113">
        <f t="shared" si="199"/>
        <v>52214.546687657385</v>
      </c>
    </row>
    <row r="3154" spans="1:15" x14ac:dyDescent="0.25">
      <c r="A3154" s="13">
        <v>44461</v>
      </c>
      <c r="B3154" s="97">
        <v>2231</v>
      </c>
      <c r="C3154" t="s">
        <v>126</v>
      </c>
      <c r="D3154" t="s">
        <v>438</v>
      </c>
      <c r="E3154" t="s">
        <v>17</v>
      </c>
      <c r="F3154" t="s">
        <v>573</v>
      </c>
      <c r="G3154" s="50" t="s">
        <v>574</v>
      </c>
      <c r="H3154" s="50">
        <v>2</v>
      </c>
      <c r="I3154" s="100">
        <v>6.7391919697301583</v>
      </c>
      <c r="J3154" s="52">
        <v>3834.68</v>
      </c>
      <c r="K3154" s="67">
        <f t="shared" si="200"/>
        <v>57654.940242003679</v>
      </c>
      <c r="L3154" s="95">
        <f>+VLOOKUP(E3154,MARGEN!A:B,2,FALSE)</f>
        <v>0.1</v>
      </c>
      <c r="M3154" s="112">
        <f t="shared" si="197"/>
        <v>5765.4940242003686</v>
      </c>
      <c r="N3154" s="113">
        <f t="shared" si="198"/>
        <v>230.6197609680147</v>
      </c>
      <c r="O3154" s="113">
        <f t="shared" si="199"/>
        <v>51658.826456835297</v>
      </c>
    </row>
    <row r="3155" spans="1:15" x14ac:dyDescent="0.25">
      <c r="A3155" s="13">
        <v>44461</v>
      </c>
      <c r="B3155" s="97">
        <v>2231</v>
      </c>
      <c r="C3155" t="s">
        <v>157</v>
      </c>
      <c r="D3155" t="s">
        <v>435</v>
      </c>
      <c r="E3155" t="s">
        <v>17</v>
      </c>
      <c r="F3155" t="s">
        <v>573</v>
      </c>
      <c r="G3155" s="50" t="s">
        <v>574</v>
      </c>
      <c r="H3155" s="50">
        <v>2</v>
      </c>
      <c r="I3155" s="100">
        <v>6.7391919697301583</v>
      </c>
      <c r="J3155" s="52">
        <v>3834.68</v>
      </c>
      <c r="K3155" s="67">
        <f t="shared" si="200"/>
        <v>57654.940242003679</v>
      </c>
      <c r="L3155" s="95">
        <f>+VLOOKUP(E3155,MARGEN!A:B,2,FALSE)</f>
        <v>0.1</v>
      </c>
      <c r="M3155" s="112">
        <f t="shared" si="197"/>
        <v>5765.4940242003686</v>
      </c>
      <c r="N3155" s="113">
        <f t="shared" si="198"/>
        <v>230.6197609680147</v>
      </c>
      <c r="O3155" s="113">
        <f t="shared" si="199"/>
        <v>51658.826456835297</v>
      </c>
    </row>
    <row r="3156" spans="1:15" x14ac:dyDescent="0.25">
      <c r="A3156" s="13">
        <v>44461</v>
      </c>
      <c r="B3156" s="97">
        <v>2207</v>
      </c>
      <c r="C3156" t="s">
        <v>284</v>
      </c>
      <c r="D3156" t="s">
        <v>525</v>
      </c>
      <c r="E3156" t="s">
        <v>17</v>
      </c>
      <c r="F3156" t="s">
        <v>566</v>
      </c>
      <c r="G3156" s="50" t="s">
        <v>574</v>
      </c>
      <c r="H3156" s="50">
        <v>2</v>
      </c>
      <c r="I3156" s="100">
        <v>6.7391919697301583</v>
      </c>
      <c r="J3156" s="52">
        <v>3834.68</v>
      </c>
      <c r="K3156" s="67">
        <f t="shared" si="200"/>
        <v>57034.716770104053</v>
      </c>
      <c r="L3156" s="95">
        <f>+VLOOKUP(E3156,MARGEN!A:B,2,FALSE)</f>
        <v>0.1</v>
      </c>
      <c r="M3156" s="112">
        <f t="shared" si="197"/>
        <v>5703.471677010406</v>
      </c>
      <c r="N3156" s="113">
        <f t="shared" si="198"/>
        <v>228.13886708041622</v>
      </c>
      <c r="O3156" s="113">
        <f t="shared" si="199"/>
        <v>51103.106226013231</v>
      </c>
    </row>
    <row r="3157" spans="1:15" x14ac:dyDescent="0.25">
      <c r="A3157" s="13">
        <v>44461</v>
      </c>
      <c r="B3157" s="97">
        <v>2135</v>
      </c>
      <c r="C3157" t="s">
        <v>306</v>
      </c>
      <c r="D3157" t="s">
        <v>524</v>
      </c>
      <c r="E3157" t="s">
        <v>17</v>
      </c>
      <c r="F3157" t="s">
        <v>566</v>
      </c>
      <c r="G3157" s="50" t="s">
        <v>574</v>
      </c>
      <c r="H3157" s="50">
        <v>2</v>
      </c>
      <c r="I3157" s="100">
        <v>6.7391919697301583</v>
      </c>
      <c r="J3157" s="52">
        <v>3834.68</v>
      </c>
      <c r="K3157" s="67">
        <f t="shared" si="200"/>
        <v>55174.046354405145</v>
      </c>
      <c r="L3157" s="95">
        <f>+VLOOKUP(E3157,MARGEN!A:B,2,FALSE)</f>
        <v>0.1</v>
      </c>
      <c r="M3157" s="112">
        <f t="shared" si="197"/>
        <v>5517.4046354405145</v>
      </c>
      <c r="N3157" s="113">
        <f t="shared" si="198"/>
        <v>220.69618541762057</v>
      </c>
      <c r="O3157" s="113">
        <f t="shared" si="199"/>
        <v>49435.945533547012</v>
      </c>
    </row>
    <row r="3158" spans="1:15" x14ac:dyDescent="0.25">
      <c r="A3158" s="13">
        <v>44461</v>
      </c>
      <c r="B3158" s="97">
        <v>2135</v>
      </c>
      <c r="C3158" t="s">
        <v>312</v>
      </c>
      <c r="D3158" t="s">
        <v>542</v>
      </c>
      <c r="E3158" t="s">
        <v>17</v>
      </c>
      <c r="F3158" t="s">
        <v>573</v>
      </c>
      <c r="G3158" s="50" t="s">
        <v>574</v>
      </c>
      <c r="H3158" s="50">
        <v>2</v>
      </c>
      <c r="I3158" s="100">
        <v>6.7391919697301583</v>
      </c>
      <c r="J3158" s="52">
        <v>3834.68</v>
      </c>
      <c r="K3158" s="67">
        <f t="shared" si="200"/>
        <v>55174.046354405145</v>
      </c>
      <c r="L3158" s="95">
        <f>+VLOOKUP(E3158,MARGEN!A:B,2,FALSE)</f>
        <v>0.1</v>
      </c>
      <c r="M3158" s="112">
        <f t="shared" si="197"/>
        <v>5517.4046354405145</v>
      </c>
      <c r="N3158" s="113">
        <f t="shared" si="198"/>
        <v>220.69618541762057</v>
      </c>
      <c r="O3158" s="113">
        <f t="shared" si="199"/>
        <v>49435.945533547012</v>
      </c>
    </row>
    <row r="3159" spans="1:15" x14ac:dyDescent="0.25">
      <c r="A3159" s="13">
        <v>44461</v>
      </c>
      <c r="B3159" s="97">
        <v>2135</v>
      </c>
      <c r="C3159" t="s">
        <v>282</v>
      </c>
      <c r="D3159" t="s">
        <v>494</v>
      </c>
      <c r="E3159" t="s">
        <v>17</v>
      </c>
      <c r="F3159" t="s">
        <v>558</v>
      </c>
      <c r="G3159" s="50" t="s">
        <v>574</v>
      </c>
      <c r="H3159" s="50">
        <v>2</v>
      </c>
      <c r="I3159" s="100">
        <v>6.7391919697301583</v>
      </c>
      <c r="J3159" s="52">
        <v>3834.68</v>
      </c>
      <c r="K3159" s="67">
        <f t="shared" si="200"/>
        <v>55174.046354405145</v>
      </c>
      <c r="L3159" s="95">
        <f>+VLOOKUP(E3159,MARGEN!A:B,2,FALSE)</f>
        <v>0.1</v>
      </c>
      <c r="M3159" s="112">
        <f t="shared" si="197"/>
        <v>5517.4046354405145</v>
      </c>
      <c r="N3159" s="113">
        <f t="shared" si="198"/>
        <v>220.69618541762057</v>
      </c>
      <c r="O3159" s="113">
        <f t="shared" si="199"/>
        <v>49435.945533547012</v>
      </c>
    </row>
    <row r="3160" spans="1:15" x14ac:dyDescent="0.25">
      <c r="A3160" s="13">
        <v>44461</v>
      </c>
      <c r="B3160" s="97">
        <v>2015</v>
      </c>
      <c r="C3160" t="s">
        <v>123</v>
      </c>
      <c r="D3160" t="s">
        <v>396</v>
      </c>
      <c r="E3160" t="s">
        <v>17</v>
      </c>
      <c r="F3160" t="s">
        <v>573</v>
      </c>
      <c r="G3160" s="50" t="s">
        <v>574</v>
      </c>
      <c r="H3160" s="50">
        <v>2</v>
      </c>
      <c r="I3160" s="100">
        <v>6.7391919697301583</v>
      </c>
      <c r="J3160" s="52">
        <v>3834.68</v>
      </c>
      <c r="K3160" s="67">
        <f t="shared" si="200"/>
        <v>52072.928994906957</v>
      </c>
      <c r="L3160" s="95">
        <f>+VLOOKUP(E3160,MARGEN!A:B,2,FALSE)</f>
        <v>0.1</v>
      </c>
      <c r="M3160" s="112">
        <f t="shared" si="197"/>
        <v>5207.2928994906961</v>
      </c>
      <c r="N3160" s="113">
        <f t="shared" si="198"/>
        <v>208.29171597962784</v>
      </c>
      <c r="O3160" s="113">
        <f t="shared" si="199"/>
        <v>46657.344379436632</v>
      </c>
    </row>
    <row r="3161" spans="1:15" x14ac:dyDescent="0.25">
      <c r="A3161" s="13">
        <v>44461</v>
      </c>
      <c r="B3161" s="97">
        <v>1991</v>
      </c>
      <c r="C3161" t="s">
        <v>295</v>
      </c>
      <c r="D3161" t="s">
        <v>532</v>
      </c>
      <c r="E3161" t="s">
        <v>17</v>
      </c>
      <c r="F3161" t="s">
        <v>573</v>
      </c>
      <c r="G3161" s="50" t="s">
        <v>574</v>
      </c>
      <c r="H3161" s="50">
        <v>2</v>
      </c>
      <c r="I3161" s="100">
        <v>6.7391919697301583</v>
      </c>
      <c r="J3161" s="52">
        <v>3834.68</v>
      </c>
      <c r="K3161" s="67">
        <f t="shared" si="200"/>
        <v>51452.705523007324</v>
      </c>
      <c r="L3161" s="95">
        <f>+VLOOKUP(E3161,MARGEN!A:B,2,FALSE)</f>
        <v>0.1</v>
      </c>
      <c r="M3161" s="112">
        <f t="shared" si="197"/>
        <v>5145.2705523007326</v>
      </c>
      <c r="N3161" s="113">
        <f t="shared" si="198"/>
        <v>205.8108220920293</v>
      </c>
      <c r="O3161" s="113">
        <f t="shared" si="199"/>
        <v>46101.624148614566</v>
      </c>
    </row>
    <row r="3162" spans="1:15" x14ac:dyDescent="0.25">
      <c r="A3162" s="13">
        <v>44461</v>
      </c>
      <c r="B3162" s="97">
        <v>1967</v>
      </c>
      <c r="C3162" t="s">
        <v>155</v>
      </c>
      <c r="D3162" t="s">
        <v>399</v>
      </c>
      <c r="E3162" t="s">
        <v>17</v>
      </c>
      <c r="F3162" t="s">
        <v>573</v>
      </c>
      <c r="G3162" s="50" t="s">
        <v>574</v>
      </c>
      <c r="H3162" s="50">
        <v>2</v>
      </c>
      <c r="I3162" s="100">
        <v>6.7391919697301583</v>
      </c>
      <c r="J3162" s="52">
        <v>3834.68</v>
      </c>
      <c r="K3162" s="67">
        <f t="shared" si="200"/>
        <v>50832.482051107683</v>
      </c>
      <c r="L3162" s="95">
        <f>+VLOOKUP(E3162,MARGEN!A:B,2,FALSE)</f>
        <v>0.1</v>
      </c>
      <c r="M3162" s="112">
        <f t="shared" si="197"/>
        <v>5083.248205110769</v>
      </c>
      <c r="N3162" s="113">
        <f t="shared" si="198"/>
        <v>203.32992820443073</v>
      </c>
      <c r="O3162" s="113">
        <f t="shared" si="199"/>
        <v>45545.903917792486</v>
      </c>
    </row>
    <row r="3163" spans="1:15" x14ac:dyDescent="0.25">
      <c r="A3163" s="13">
        <v>44461</v>
      </c>
      <c r="B3163" s="97">
        <v>1871</v>
      </c>
      <c r="C3163" t="s">
        <v>304</v>
      </c>
      <c r="D3163" t="s">
        <v>522</v>
      </c>
      <c r="E3163" t="s">
        <v>17</v>
      </c>
      <c r="F3163" t="s">
        <v>573</v>
      </c>
      <c r="G3163" s="50" t="s">
        <v>574</v>
      </c>
      <c r="H3163" s="50">
        <v>2</v>
      </c>
      <c r="I3163" s="100">
        <v>6.7391919697301583</v>
      </c>
      <c r="J3163" s="52">
        <v>3834.68</v>
      </c>
      <c r="K3163" s="67">
        <f t="shared" si="200"/>
        <v>48351.588163509143</v>
      </c>
      <c r="L3163" s="95">
        <f>+VLOOKUP(E3163,MARGEN!A:B,2,FALSE)</f>
        <v>0.1</v>
      </c>
      <c r="M3163" s="112">
        <f t="shared" si="197"/>
        <v>4835.1588163509141</v>
      </c>
      <c r="N3163" s="113">
        <f t="shared" si="198"/>
        <v>193.40635265403657</v>
      </c>
      <c r="O3163" s="113">
        <f t="shared" si="199"/>
        <v>43323.022994504194</v>
      </c>
    </row>
    <row r="3164" spans="1:15" x14ac:dyDescent="0.25">
      <c r="A3164" s="13">
        <v>44461</v>
      </c>
      <c r="B3164" s="97">
        <v>1871</v>
      </c>
      <c r="C3164" t="s">
        <v>125</v>
      </c>
      <c r="D3164" t="s">
        <v>341</v>
      </c>
      <c r="E3164" t="s">
        <v>17</v>
      </c>
      <c r="F3164" t="s">
        <v>573</v>
      </c>
      <c r="G3164" s="50" t="s">
        <v>574</v>
      </c>
      <c r="H3164" s="50">
        <v>2</v>
      </c>
      <c r="I3164" s="100">
        <v>6.7391919697301583</v>
      </c>
      <c r="J3164" s="52">
        <v>3834.68</v>
      </c>
      <c r="K3164" s="67">
        <f t="shared" si="200"/>
        <v>48351.588163509143</v>
      </c>
      <c r="L3164" s="95">
        <f>+VLOOKUP(E3164,MARGEN!A:B,2,FALSE)</f>
        <v>0.1</v>
      </c>
      <c r="M3164" s="112">
        <f t="shared" si="197"/>
        <v>4835.1588163509141</v>
      </c>
      <c r="N3164" s="113">
        <f t="shared" si="198"/>
        <v>193.40635265403657</v>
      </c>
      <c r="O3164" s="113">
        <f t="shared" si="199"/>
        <v>43323.022994504194</v>
      </c>
    </row>
    <row r="3165" spans="1:15" x14ac:dyDescent="0.25">
      <c r="A3165" s="13">
        <v>44461</v>
      </c>
      <c r="B3165" s="97">
        <v>1847</v>
      </c>
      <c r="C3165" t="s">
        <v>159</v>
      </c>
      <c r="D3165" t="s">
        <v>360</v>
      </c>
      <c r="E3165" t="s">
        <v>17</v>
      </c>
      <c r="F3165" t="s">
        <v>562</v>
      </c>
      <c r="G3165" s="50" t="s">
        <v>574</v>
      </c>
      <c r="H3165" s="50">
        <v>2</v>
      </c>
      <c r="I3165" s="100">
        <v>6.7391919697301583</v>
      </c>
      <c r="J3165" s="52">
        <v>3834.68</v>
      </c>
      <c r="K3165" s="67">
        <f t="shared" si="200"/>
        <v>47731.364691609502</v>
      </c>
      <c r="L3165" s="95">
        <f>+VLOOKUP(E3165,MARGEN!A:B,2,FALSE)</f>
        <v>0.1</v>
      </c>
      <c r="M3165" s="112">
        <f t="shared" si="197"/>
        <v>4773.1364691609506</v>
      </c>
      <c r="N3165" s="113">
        <f t="shared" si="198"/>
        <v>190.925458766438</v>
      </c>
      <c r="O3165" s="113">
        <f t="shared" si="199"/>
        <v>42767.302763682113</v>
      </c>
    </row>
    <row r="3166" spans="1:15" x14ac:dyDescent="0.25">
      <c r="A3166" s="13">
        <v>44461</v>
      </c>
      <c r="B3166" s="97">
        <v>1823</v>
      </c>
      <c r="C3166" t="s">
        <v>124</v>
      </c>
      <c r="D3166" t="s">
        <v>388</v>
      </c>
      <c r="E3166" t="s">
        <v>17</v>
      </c>
      <c r="F3166" t="s">
        <v>562</v>
      </c>
      <c r="G3166" s="50" t="s">
        <v>574</v>
      </c>
      <c r="H3166" s="50">
        <v>2</v>
      </c>
      <c r="I3166" s="100">
        <v>6.7391919697301583</v>
      </c>
      <c r="J3166" s="52">
        <v>3834.68</v>
      </c>
      <c r="K3166" s="67">
        <f t="shared" si="200"/>
        <v>47111.141219709876</v>
      </c>
      <c r="L3166" s="95">
        <f>+VLOOKUP(E3166,MARGEN!A:B,2,FALSE)</f>
        <v>0.1</v>
      </c>
      <c r="M3166" s="112">
        <f t="shared" si="197"/>
        <v>4711.114121970988</v>
      </c>
      <c r="N3166" s="113">
        <f t="shared" si="198"/>
        <v>188.44456487883951</v>
      </c>
      <c r="O3166" s="113">
        <f t="shared" si="199"/>
        <v>42211.582532860048</v>
      </c>
    </row>
    <row r="3167" spans="1:15" x14ac:dyDescent="0.25">
      <c r="A3167" s="13">
        <v>44461</v>
      </c>
      <c r="B3167" s="97">
        <v>1799</v>
      </c>
      <c r="C3167" t="s">
        <v>223</v>
      </c>
      <c r="D3167" t="s">
        <v>389</v>
      </c>
      <c r="E3167" t="s">
        <v>17</v>
      </c>
      <c r="F3167" t="s">
        <v>562</v>
      </c>
      <c r="G3167" s="50" t="s">
        <v>574</v>
      </c>
      <c r="H3167" s="50">
        <v>2</v>
      </c>
      <c r="I3167" s="100">
        <v>6.7391919697301583</v>
      </c>
      <c r="J3167" s="52">
        <v>3834.68</v>
      </c>
      <c r="K3167" s="67">
        <f t="shared" si="200"/>
        <v>46490.917747810228</v>
      </c>
      <c r="L3167" s="95">
        <f>+VLOOKUP(E3167,MARGEN!A:B,2,FALSE)</f>
        <v>0.1</v>
      </c>
      <c r="M3167" s="112">
        <f t="shared" si="197"/>
        <v>4649.0917747810227</v>
      </c>
      <c r="N3167" s="113">
        <f t="shared" si="198"/>
        <v>185.96367099124092</v>
      </c>
      <c r="O3167" s="113">
        <f t="shared" si="199"/>
        <v>41655.862302037967</v>
      </c>
    </row>
    <row r="3168" spans="1:15" x14ac:dyDescent="0.25">
      <c r="A3168" s="13">
        <v>44461</v>
      </c>
      <c r="B3168" s="97">
        <v>1799</v>
      </c>
      <c r="C3168" t="s">
        <v>172</v>
      </c>
      <c r="D3168" t="s">
        <v>371</v>
      </c>
      <c r="E3168" t="s">
        <v>17</v>
      </c>
      <c r="F3168" t="s">
        <v>573</v>
      </c>
      <c r="G3168" s="50" t="s">
        <v>574</v>
      </c>
      <c r="H3168" s="50">
        <v>2</v>
      </c>
      <c r="I3168" s="100">
        <v>6.7391919697301583</v>
      </c>
      <c r="J3168" s="52">
        <v>3834.68</v>
      </c>
      <c r="K3168" s="67">
        <f t="shared" si="200"/>
        <v>46490.917747810228</v>
      </c>
      <c r="L3168" s="95">
        <f>+VLOOKUP(E3168,MARGEN!A:B,2,FALSE)</f>
        <v>0.1</v>
      </c>
      <c r="M3168" s="112">
        <f t="shared" si="197"/>
        <v>4649.0917747810227</v>
      </c>
      <c r="N3168" s="113">
        <f t="shared" si="198"/>
        <v>185.96367099124092</v>
      </c>
      <c r="O3168" s="113">
        <f t="shared" si="199"/>
        <v>41655.862302037967</v>
      </c>
    </row>
    <row r="3169" spans="1:15" x14ac:dyDescent="0.25">
      <c r="A3169" s="13">
        <v>44461</v>
      </c>
      <c r="B3169" s="97">
        <v>1751</v>
      </c>
      <c r="C3169" t="s">
        <v>154</v>
      </c>
      <c r="D3169" t="s">
        <v>419</v>
      </c>
      <c r="E3169" t="s">
        <v>17</v>
      </c>
      <c r="F3169" t="s">
        <v>573</v>
      </c>
      <c r="G3169" s="50" t="s">
        <v>574</v>
      </c>
      <c r="H3169" s="50">
        <v>2</v>
      </c>
      <c r="I3169" s="100">
        <v>6.7391919697301583</v>
      </c>
      <c r="J3169" s="52">
        <v>3834.68</v>
      </c>
      <c r="K3169" s="67">
        <f t="shared" si="200"/>
        <v>45250.470804010954</v>
      </c>
      <c r="L3169" s="95">
        <f>+VLOOKUP(E3169,MARGEN!A:B,2,FALSE)</f>
        <v>0.1</v>
      </c>
      <c r="M3169" s="112">
        <f t="shared" si="197"/>
        <v>4525.0470804010956</v>
      </c>
      <c r="N3169" s="113">
        <f t="shared" si="198"/>
        <v>181.00188321604381</v>
      </c>
      <c r="O3169" s="113">
        <f t="shared" si="199"/>
        <v>40544.421840393814</v>
      </c>
    </row>
    <row r="3170" spans="1:15" x14ac:dyDescent="0.25">
      <c r="A3170" s="13">
        <v>44461</v>
      </c>
      <c r="B3170" s="97">
        <v>1727</v>
      </c>
      <c r="C3170" t="s">
        <v>158</v>
      </c>
      <c r="D3170" t="s">
        <v>442</v>
      </c>
      <c r="E3170" t="s">
        <v>17</v>
      </c>
      <c r="F3170" t="s">
        <v>562</v>
      </c>
      <c r="G3170" s="50" t="s">
        <v>574</v>
      </c>
      <c r="H3170" s="50">
        <v>2</v>
      </c>
      <c r="I3170" s="100">
        <v>6.7391919697301583</v>
      </c>
      <c r="J3170" s="52">
        <v>3834.68</v>
      </c>
      <c r="K3170" s="67">
        <f t="shared" si="200"/>
        <v>44630.247332111321</v>
      </c>
      <c r="L3170" s="95">
        <f>+VLOOKUP(E3170,MARGEN!A:B,2,FALSE)</f>
        <v>0.1</v>
      </c>
      <c r="M3170" s="112">
        <f t="shared" si="197"/>
        <v>4463.0247332111321</v>
      </c>
      <c r="N3170" s="113">
        <f t="shared" si="198"/>
        <v>178.5209893284453</v>
      </c>
      <c r="O3170" s="113">
        <f t="shared" si="199"/>
        <v>39988.701609571741</v>
      </c>
    </row>
    <row r="3171" spans="1:15" x14ac:dyDescent="0.25">
      <c r="A3171" s="13">
        <v>44461</v>
      </c>
      <c r="B3171" s="97">
        <v>1727</v>
      </c>
      <c r="C3171" t="s">
        <v>174</v>
      </c>
      <c r="D3171" t="s">
        <v>395</v>
      </c>
      <c r="E3171" t="s">
        <v>17</v>
      </c>
      <c r="F3171" t="s">
        <v>573</v>
      </c>
      <c r="G3171" s="50" t="s">
        <v>574</v>
      </c>
      <c r="H3171" s="50">
        <v>2</v>
      </c>
      <c r="I3171" s="100">
        <v>6.7391919697301583</v>
      </c>
      <c r="J3171" s="52">
        <v>3834.68</v>
      </c>
      <c r="K3171" s="67">
        <f t="shared" si="200"/>
        <v>44630.247332111321</v>
      </c>
      <c r="L3171" s="95">
        <f>+VLOOKUP(E3171,MARGEN!A:B,2,FALSE)</f>
        <v>0.1</v>
      </c>
      <c r="M3171" s="112">
        <f t="shared" si="197"/>
        <v>4463.0247332111321</v>
      </c>
      <c r="N3171" s="113">
        <f t="shared" si="198"/>
        <v>178.5209893284453</v>
      </c>
      <c r="O3171" s="113">
        <f t="shared" si="199"/>
        <v>39988.701609571741</v>
      </c>
    </row>
    <row r="3172" spans="1:15" x14ac:dyDescent="0.25">
      <c r="A3172" s="13">
        <v>44461</v>
      </c>
      <c r="B3172" s="97">
        <v>1727</v>
      </c>
      <c r="C3172" t="s">
        <v>170</v>
      </c>
      <c r="D3172" t="s">
        <v>437</v>
      </c>
      <c r="E3172" t="s">
        <v>17</v>
      </c>
      <c r="F3172" t="s">
        <v>573</v>
      </c>
      <c r="G3172" s="50" t="s">
        <v>574</v>
      </c>
      <c r="H3172" s="50">
        <v>2</v>
      </c>
      <c r="I3172" s="100">
        <v>6.7391919697301583</v>
      </c>
      <c r="J3172" s="52">
        <v>3834.68</v>
      </c>
      <c r="K3172" s="67">
        <f t="shared" si="200"/>
        <v>44630.247332111321</v>
      </c>
      <c r="L3172" s="95">
        <f>+VLOOKUP(E3172,MARGEN!A:B,2,FALSE)</f>
        <v>0.1</v>
      </c>
      <c r="M3172" s="112">
        <f t="shared" si="197"/>
        <v>4463.0247332111321</v>
      </c>
      <c r="N3172" s="113">
        <f t="shared" si="198"/>
        <v>178.5209893284453</v>
      </c>
      <c r="O3172" s="113">
        <f t="shared" si="199"/>
        <v>39988.701609571741</v>
      </c>
    </row>
    <row r="3173" spans="1:15" x14ac:dyDescent="0.25">
      <c r="A3173" s="13">
        <v>44461</v>
      </c>
      <c r="B3173" s="97">
        <v>1727</v>
      </c>
      <c r="C3173" t="s">
        <v>188</v>
      </c>
      <c r="D3173" t="s">
        <v>397</v>
      </c>
      <c r="E3173" t="s">
        <v>17</v>
      </c>
      <c r="F3173" t="s">
        <v>558</v>
      </c>
      <c r="G3173" s="50" t="s">
        <v>574</v>
      </c>
      <c r="H3173" s="50">
        <v>2</v>
      </c>
      <c r="I3173" s="100">
        <v>6.7391919697301583</v>
      </c>
      <c r="J3173" s="52">
        <v>3834.68</v>
      </c>
      <c r="K3173" s="67">
        <f t="shared" si="200"/>
        <v>44630.247332111321</v>
      </c>
      <c r="L3173" s="95">
        <f>+VLOOKUP(E3173,MARGEN!A:B,2,FALSE)</f>
        <v>0.1</v>
      </c>
      <c r="M3173" s="112">
        <f t="shared" si="197"/>
        <v>4463.0247332111321</v>
      </c>
      <c r="N3173" s="113">
        <f t="shared" si="198"/>
        <v>178.5209893284453</v>
      </c>
      <c r="O3173" s="113">
        <f t="shared" si="199"/>
        <v>39988.701609571741</v>
      </c>
    </row>
    <row r="3174" spans="1:15" x14ac:dyDescent="0.25">
      <c r="A3174" s="13">
        <v>44461</v>
      </c>
      <c r="B3174" s="97">
        <v>1703</v>
      </c>
      <c r="C3174" t="s">
        <v>286</v>
      </c>
      <c r="D3174" t="s">
        <v>531</v>
      </c>
      <c r="E3174" t="s">
        <v>17</v>
      </c>
      <c r="F3174" t="s">
        <v>562</v>
      </c>
      <c r="G3174" s="50" t="s">
        <v>574</v>
      </c>
      <c r="H3174" s="50">
        <v>2</v>
      </c>
      <c r="I3174" s="100">
        <v>6.7391919697301583</v>
      </c>
      <c r="J3174" s="52">
        <v>3834.68</v>
      </c>
      <c r="K3174" s="67">
        <f t="shared" si="200"/>
        <v>44010.023860211688</v>
      </c>
      <c r="L3174" s="95">
        <f>+VLOOKUP(E3174,MARGEN!A:B,2,FALSE)</f>
        <v>0.1</v>
      </c>
      <c r="M3174" s="112">
        <f t="shared" si="197"/>
        <v>4401.0023860211686</v>
      </c>
      <c r="N3174" s="113">
        <f t="shared" si="198"/>
        <v>176.04009544084676</v>
      </c>
      <c r="O3174" s="113">
        <f t="shared" si="199"/>
        <v>39432.981378749675</v>
      </c>
    </row>
    <row r="3175" spans="1:15" x14ac:dyDescent="0.25">
      <c r="A3175" s="13">
        <v>44461</v>
      </c>
      <c r="B3175" s="97">
        <v>1703</v>
      </c>
      <c r="C3175" t="s">
        <v>238</v>
      </c>
      <c r="D3175" t="s">
        <v>427</v>
      </c>
      <c r="E3175" t="s">
        <v>17</v>
      </c>
      <c r="F3175" t="s">
        <v>562</v>
      </c>
      <c r="G3175" s="50" t="s">
        <v>574</v>
      </c>
      <c r="H3175" s="50">
        <v>2</v>
      </c>
      <c r="I3175" s="100">
        <v>6.7391919697301583</v>
      </c>
      <c r="J3175" s="52">
        <v>3834.68</v>
      </c>
      <c r="K3175" s="67">
        <f t="shared" si="200"/>
        <v>44010.023860211688</v>
      </c>
      <c r="L3175" s="95">
        <f>+VLOOKUP(E3175,MARGEN!A:B,2,FALSE)</f>
        <v>0.1</v>
      </c>
      <c r="M3175" s="112">
        <f t="shared" si="197"/>
        <v>4401.0023860211686</v>
      </c>
      <c r="N3175" s="113">
        <f t="shared" si="198"/>
        <v>176.04009544084676</v>
      </c>
      <c r="O3175" s="113">
        <f t="shared" si="199"/>
        <v>39432.981378749675</v>
      </c>
    </row>
    <row r="3176" spans="1:15" x14ac:dyDescent="0.25">
      <c r="A3176" s="13">
        <v>44461</v>
      </c>
      <c r="B3176" s="97">
        <v>1703</v>
      </c>
      <c r="C3176" t="s">
        <v>296</v>
      </c>
      <c r="D3176" t="s">
        <v>498</v>
      </c>
      <c r="E3176" t="s">
        <v>17</v>
      </c>
      <c r="F3176" t="s">
        <v>573</v>
      </c>
      <c r="G3176" s="50" t="s">
        <v>574</v>
      </c>
      <c r="H3176" s="50">
        <v>2</v>
      </c>
      <c r="I3176" s="100">
        <v>6.7391919697301583</v>
      </c>
      <c r="J3176" s="52">
        <v>3834.68</v>
      </c>
      <c r="K3176" s="67">
        <f t="shared" si="200"/>
        <v>44010.023860211688</v>
      </c>
      <c r="L3176" s="95">
        <f>+VLOOKUP(E3176,MARGEN!A:B,2,FALSE)</f>
        <v>0.1</v>
      </c>
      <c r="M3176" s="112">
        <f t="shared" si="197"/>
        <v>4401.0023860211686</v>
      </c>
      <c r="N3176" s="113">
        <f t="shared" si="198"/>
        <v>176.04009544084676</v>
      </c>
      <c r="O3176" s="113">
        <f t="shared" si="199"/>
        <v>39432.981378749675</v>
      </c>
    </row>
    <row r="3177" spans="1:15" x14ac:dyDescent="0.25">
      <c r="A3177" s="13">
        <v>44461</v>
      </c>
      <c r="B3177" s="97">
        <v>1703</v>
      </c>
      <c r="C3177" t="s">
        <v>120</v>
      </c>
      <c r="D3177" t="s">
        <v>452</v>
      </c>
      <c r="E3177" t="s">
        <v>17</v>
      </c>
      <c r="F3177" t="s">
        <v>573</v>
      </c>
      <c r="G3177" s="50" t="s">
        <v>574</v>
      </c>
      <c r="H3177" s="50">
        <v>2</v>
      </c>
      <c r="I3177" s="100">
        <v>6.7391919697301583</v>
      </c>
      <c r="J3177" s="52">
        <v>3834.68</v>
      </c>
      <c r="K3177" s="67">
        <f t="shared" si="200"/>
        <v>44010.023860211688</v>
      </c>
      <c r="L3177" s="95">
        <f>+VLOOKUP(E3177,MARGEN!A:B,2,FALSE)</f>
        <v>0.1</v>
      </c>
      <c r="M3177" s="112">
        <f t="shared" si="197"/>
        <v>4401.0023860211686</v>
      </c>
      <c r="N3177" s="113">
        <f t="shared" si="198"/>
        <v>176.04009544084676</v>
      </c>
      <c r="O3177" s="113">
        <f t="shared" si="199"/>
        <v>39432.981378749675</v>
      </c>
    </row>
    <row r="3178" spans="1:15" x14ac:dyDescent="0.25">
      <c r="A3178" s="13">
        <v>44461</v>
      </c>
      <c r="B3178" s="97">
        <v>1679</v>
      </c>
      <c r="C3178" t="s">
        <v>194</v>
      </c>
      <c r="D3178" t="s">
        <v>417</v>
      </c>
      <c r="E3178" t="s">
        <v>17</v>
      </c>
      <c r="F3178" t="s">
        <v>573</v>
      </c>
      <c r="G3178" s="50" t="s">
        <v>574</v>
      </c>
      <c r="H3178" s="50">
        <v>2</v>
      </c>
      <c r="I3178" s="100">
        <v>6.7391919697301583</v>
      </c>
      <c r="J3178" s="52">
        <v>3834.68</v>
      </c>
      <c r="K3178" s="67">
        <f t="shared" si="200"/>
        <v>43389.800388312047</v>
      </c>
      <c r="L3178" s="95">
        <f>+VLOOKUP(E3178,MARGEN!A:B,2,FALSE)</f>
        <v>0.1</v>
      </c>
      <c r="M3178" s="112">
        <f t="shared" si="197"/>
        <v>4338.9800388312051</v>
      </c>
      <c r="N3178" s="113">
        <f t="shared" si="198"/>
        <v>173.55920155324819</v>
      </c>
      <c r="O3178" s="113">
        <f t="shared" si="199"/>
        <v>38877.261147927595</v>
      </c>
    </row>
    <row r="3179" spans="1:15" x14ac:dyDescent="0.25">
      <c r="A3179" s="13">
        <v>44461</v>
      </c>
      <c r="B3179" s="97">
        <v>1679</v>
      </c>
      <c r="C3179" t="s">
        <v>287</v>
      </c>
      <c r="D3179" t="s">
        <v>496</v>
      </c>
      <c r="E3179" t="s">
        <v>17</v>
      </c>
      <c r="F3179" t="s">
        <v>573</v>
      </c>
      <c r="G3179" s="50" t="s">
        <v>574</v>
      </c>
      <c r="H3179" s="50">
        <v>2</v>
      </c>
      <c r="I3179" s="100">
        <v>6.7391919697301583</v>
      </c>
      <c r="J3179" s="52">
        <v>3834.68</v>
      </c>
      <c r="K3179" s="67">
        <f t="shared" si="200"/>
        <v>43389.800388312047</v>
      </c>
      <c r="L3179" s="95">
        <f>+VLOOKUP(E3179,MARGEN!A:B,2,FALSE)</f>
        <v>0.1</v>
      </c>
      <c r="M3179" s="112">
        <f t="shared" si="197"/>
        <v>4338.9800388312051</v>
      </c>
      <c r="N3179" s="113">
        <f t="shared" si="198"/>
        <v>173.55920155324819</v>
      </c>
      <c r="O3179" s="113">
        <f t="shared" si="199"/>
        <v>38877.261147927595</v>
      </c>
    </row>
    <row r="3180" spans="1:15" x14ac:dyDescent="0.25">
      <c r="A3180" s="13">
        <v>44461</v>
      </c>
      <c r="B3180" s="97">
        <v>1679</v>
      </c>
      <c r="C3180" t="s">
        <v>121</v>
      </c>
      <c r="D3180" t="s">
        <v>381</v>
      </c>
      <c r="E3180" t="s">
        <v>17</v>
      </c>
      <c r="F3180" t="s">
        <v>573</v>
      </c>
      <c r="G3180" s="50" t="s">
        <v>574</v>
      </c>
      <c r="H3180" s="50">
        <v>2</v>
      </c>
      <c r="I3180" s="100">
        <v>6.7391919697301583</v>
      </c>
      <c r="J3180" s="52">
        <v>3834.68</v>
      </c>
      <c r="K3180" s="67">
        <f t="shared" si="200"/>
        <v>43389.800388312047</v>
      </c>
      <c r="L3180" s="95">
        <f>+VLOOKUP(E3180,MARGEN!A:B,2,FALSE)</f>
        <v>0.1</v>
      </c>
      <c r="M3180" s="112">
        <f t="shared" si="197"/>
        <v>4338.9800388312051</v>
      </c>
      <c r="N3180" s="113">
        <f t="shared" si="198"/>
        <v>173.55920155324819</v>
      </c>
      <c r="O3180" s="113">
        <f t="shared" si="199"/>
        <v>38877.261147927595</v>
      </c>
    </row>
    <row r="3181" spans="1:15" x14ac:dyDescent="0.25">
      <c r="A3181" s="13">
        <v>44461</v>
      </c>
      <c r="B3181" s="97">
        <v>1679</v>
      </c>
      <c r="C3181" t="s">
        <v>175</v>
      </c>
      <c r="D3181" t="s">
        <v>432</v>
      </c>
      <c r="E3181" t="s">
        <v>17</v>
      </c>
      <c r="F3181" t="s">
        <v>558</v>
      </c>
      <c r="G3181" s="50" t="s">
        <v>574</v>
      </c>
      <c r="H3181" s="50">
        <v>2</v>
      </c>
      <c r="I3181" s="100">
        <v>6.7391919697301583</v>
      </c>
      <c r="J3181" s="52">
        <v>3834.68</v>
      </c>
      <c r="K3181" s="67">
        <f t="shared" si="200"/>
        <v>43389.800388312047</v>
      </c>
      <c r="L3181" s="95">
        <f>+VLOOKUP(E3181,MARGEN!A:B,2,FALSE)</f>
        <v>0.1</v>
      </c>
      <c r="M3181" s="112">
        <f t="shared" si="197"/>
        <v>4338.9800388312051</v>
      </c>
      <c r="N3181" s="113">
        <f t="shared" si="198"/>
        <v>173.55920155324819</v>
      </c>
      <c r="O3181" s="113">
        <f t="shared" si="199"/>
        <v>38877.261147927595</v>
      </c>
    </row>
    <row r="3182" spans="1:15" x14ac:dyDescent="0.25">
      <c r="A3182" s="13">
        <v>44461</v>
      </c>
      <c r="B3182" s="97">
        <v>1655</v>
      </c>
      <c r="C3182" t="s">
        <v>288</v>
      </c>
      <c r="D3182" t="s">
        <v>530</v>
      </c>
      <c r="E3182" t="s">
        <v>17</v>
      </c>
      <c r="F3182" t="s">
        <v>573</v>
      </c>
      <c r="G3182" s="50" t="s">
        <v>574</v>
      </c>
      <c r="H3182" s="50">
        <v>2</v>
      </c>
      <c r="I3182" s="100">
        <v>6.7391919697301583</v>
      </c>
      <c r="J3182" s="52">
        <v>3834.68</v>
      </c>
      <c r="K3182" s="67">
        <f t="shared" si="200"/>
        <v>42769.576916412421</v>
      </c>
      <c r="L3182" s="95">
        <f>+VLOOKUP(E3182,MARGEN!A:B,2,FALSE)</f>
        <v>0.1</v>
      </c>
      <c r="M3182" s="112">
        <f t="shared" si="197"/>
        <v>4276.9576916412425</v>
      </c>
      <c r="N3182" s="113">
        <f t="shared" si="198"/>
        <v>171.07830766564967</v>
      </c>
      <c r="O3182" s="113">
        <f t="shared" si="199"/>
        <v>38321.540917105529</v>
      </c>
    </row>
    <row r="3183" spans="1:15" x14ac:dyDescent="0.25">
      <c r="A3183" s="13">
        <v>44461</v>
      </c>
      <c r="B3183" s="97">
        <v>1631</v>
      </c>
      <c r="C3183" t="s">
        <v>171</v>
      </c>
      <c r="D3183" t="s">
        <v>387</v>
      </c>
      <c r="E3183" t="s">
        <v>17</v>
      </c>
      <c r="F3183" t="s">
        <v>562</v>
      </c>
      <c r="G3183" s="50" t="s">
        <v>574</v>
      </c>
      <c r="H3183" s="50">
        <v>2</v>
      </c>
      <c r="I3183" s="100">
        <v>6.7391919697301583</v>
      </c>
      <c r="J3183" s="52">
        <v>3834.68</v>
      </c>
      <c r="K3183" s="67">
        <f t="shared" si="200"/>
        <v>42149.353444512773</v>
      </c>
      <c r="L3183" s="95">
        <f>+VLOOKUP(E3183,MARGEN!A:B,2,FALSE)</f>
        <v>0.1</v>
      </c>
      <c r="M3183" s="112">
        <f t="shared" si="197"/>
        <v>4214.9353444512772</v>
      </c>
      <c r="N3183" s="113">
        <f t="shared" si="198"/>
        <v>168.59741377805111</v>
      </c>
      <c r="O3183" s="113">
        <f t="shared" si="199"/>
        <v>37765.820686283449</v>
      </c>
    </row>
    <row r="3184" spans="1:15" x14ac:dyDescent="0.25">
      <c r="A3184" s="13">
        <v>44461</v>
      </c>
      <c r="B3184" s="97">
        <v>1631</v>
      </c>
      <c r="C3184" t="s">
        <v>285</v>
      </c>
      <c r="D3184" t="s">
        <v>534</v>
      </c>
      <c r="E3184" t="s">
        <v>17</v>
      </c>
      <c r="F3184" t="s">
        <v>562</v>
      </c>
      <c r="G3184" s="50" t="s">
        <v>574</v>
      </c>
      <c r="H3184" s="50">
        <v>2</v>
      </c>
      <c r="I3184" s="100">
        <v>6.7391919697301583</v>
      </c>
      <c r="J3184" s="52">
        <v>3834.68</v>
      </c>
      <c r="K3184" s="67">
        <f t="shared" si="200"/>
        <v>42149.353444512773</v>
      </c>
      <c r="L3184" s="95">
        <f>+VLOOKUP(E3184,MARGEN!A:B,2,FALSE)</f>
        <v>0.1</v>
      </c>
      <c r="M3184" s="112">
        <f t="shared" si="197"/>
        <v>4214.9353444512772</v>
      </c>
      <c r="N3184" s="113">
        <f t="shared" si="198"/>
        <v>168.59741377805111</v>
      </c>
      <c r="O3184" s="113">
        <f t="shared" si="199"/>
        <v>37765.820686283449</v>
      </c>
    </row>
    <row r="3185" spans="1:15" x14ac:dyDescent="0.25">
      <c r="A3185" s="13">
        <v>44461</v>
      </c>
      <c r="B3185" s="97">
        <v>1631</v>
      </c>
      <c r="C3185" t="s">
        <v>196</v>
      </c>
      <c r="D3185" t="s">
        <v>413</v>
      </c>
      <c r="E3185" t="s">
        <v>17</v>
      </c>
      <c r="F3185" t="s">
        <v>573</v>
      </c>
      <c r="G3185" s="50" t="s">
        <v>574</v>
      </c>
      <c r="H3185" s="50">
        <v>2</v>
      </c>
      <c r="I3185" s="100">
        <v>6.7391919697301583</v>
      </c>
      <c r="J3185" s="52">
        <v>3834.68</v>
      </c>
      <c r="K3185" s="67">
        <f t="shared" si="200"/>
        <v>42149.353444512773</v>
      </c>
      <c r="L3185" s="95">
        <f>+VLOOKUP(E3185,MARGEN!A:B,2,FALSE)</f>
        <v>0.1</v>
      </c>
      <c r="M3185" s="112">
        <f t="shared" si="197"/>
        <v>4214.9353444512772</v>
      </c>
      <c r="N3185" s="113">
        <f t="shared" si="198"/>
        <v>168.59741377805111</v>
      </c>
      <c r="O3185" s="113">
        <f t="shared" si="199"/>
        <v>37765.820686283449</v>
      </c>
    </row>
    <row r="3186" spans="1:15" x14ac:dyDescent="0.25">
      <c r="A3186" s="13">
        <v>44461</v>
      </c>
      <c r="B3186" s="97">
        <v>1631</v>
      </c>
      <c r="C3186" t="s">
        <v>209</v>
      </c>
      <c r="D3186" t="s">
        <v>441</v>
      </c>
      <c r="E3186" t="s">
        <v>17</v>
      </c>
      <c r="F3186" t="s">
        <v>573</v>
      </c>
      <c r="G3186" s="50" t="s">
        <v>574</v>
      </c>
      <c r="H3186" s="50">
        <v>2</v>
      </c>
      <c r="I3186" s="100">
        <v>6.7391919697301583</v>
      </c>
      <c r="J3186" s="52">
        <v>3834.68</v>
      </c>
      <c r="K3186" s="67">
        <f t="shared" si="200"/>
        <v>42149.353444512773</v>
      </c>
      <c r="L3186" s="95">
        <f>+VLOOKUP(E3186,MARGEN!A:B,2,FALSE)</f>
        <v>0.1</v>
      </c>
      <c r="M3186" s="112">
        <f t="shared" si="197"/>
        <v>4214.9353444512772</v>
      </c>
      <c r="N3186" s="113">
        <f t="shared" si="198"/>
        <v>168.59741377805111</v>
      </c>
      <c r="O3186" s="113">
        <f t="shared" si="199"/>
        <v>37765.820686283449</v>
      </c>
    </row>
    <row r="3187" spans="1:15" x14ac:dyDescent="0.25">
      <c r="A3187" s="13">
        <v>44461</v>
      </c>
      <c r="B3187" s="97">
        <v>1607</v>
      </c>
      <c r="C3187" t="s">
        <v>180</v>
      </c>
      <c r="D3187" t="s">
        <v>447</v>
      </c>
      <c r="E3187" t="s">
        <v>17</v>
      </c>
      <c r="F3187" t="s">
        <v>573</v>
      </c>
      <c r="G3187" s="50" t="s">
        <v>574</v>
      </c>
      <c r="H3187" s="50">
        <v>2</v>
      </c>
      <c r="I3187" s="100">
        <v>6.7391919697301583</v>
      </c>
      <c r="J3187" s="52">
        <v>3834.68</v>
      </c>
      <c r="K3187" s="67">
        <f t="shared" si="200"/>
        <v>41529.12997261314</v>
      </c>
      <c r="L3187" s="95">
        <f>+VLOOKUP(E3187,MARGEN!A:B,2,FALSE)</f>
        <v>0.1</v>
      </c>
      <c r="M3187" s="112">
        <f t="shared" si="197"/>
        <v>4152.9129972613146</v>
      </c>
      <c r="N3187" s="113">
        <f t="shared" si="198"/>
        <v>166.11651989045257</v>
      </c>
      <c r="O3187" s="113">
        <f t="shared" si="199"/>
        <v>37210.100455461376</v>
      </c>
    </row>
    <row r="3188" spans="1:15" x14ac:dyDescent="0.25">
      <c r="A3188" s="13">
        <v>44461</v>
      </c>
      <c r="B3188" s="97">
        <v>1559</v>
      </c>
      <c r="C3188" t="s">
        <v>176</v>
      </c>
      <c r="D3188" t="s">
        <v>430</v>
      </c>
      <c r="E3188" t="s">
        <v>17</v>
      </c>
      <c r="F3188" t="s">
        <v>573</v>
      </c>
      <c r="G3188" s="50" t="s">
        <v>574</v>
      </c>
      <c r="H3188" s="50">
        <v>2</v>
      </c>
      <c r="I3188" s="100">
        <v>6.7391919697301583</v>
      </c>
      <c r="J3188" s="52">
        <v>3834.68</v>
      </c>
      <c r="K3188" s="67">
        <f t="shared" si="200"/>
        <v>40288.683028813866</v>
      </c>
      <c r="L3188" s="95">
        <f>+VLOOKUP(E3188,MARGEN!A:B,2,FALSE)</f>
        <v>0.1</v>
      </c>
      <c r="M3188" s="112">
        <f t="shared" si="197"/>
        <v>4028.8683028813866</v>
      </c>
      <c r="N3188" s="113">
        <f t="shared" si="198"/>
        <v>161.15473211525546</v>
      </c>
      <c r="O3188" s="113">
        <f t="shared" si="199"/>
        <v>36098.659993817222</v>
      </c>
    </row>
    <row r="3189" spans="1:15" x14ac:dyDescent="0.25">
      <c r="A3189" s="13">
        <v>44461</v>
      </c>
      <c r="B3189" s="97">
        <v>1559</v>
      </c>
      <c r="C3189" t="s">
        <v>552</v>
      </c>
      <c r="D3189" t="s">
        <v>563</v>
      </c>
      <c r="E3189" t="s">
        <v>17</v>
      </c>
      <c r="F3189" t="s">
        <v>558</v>
      </c>
      <c r="G3189" s="50" t="s">
        <v>574</v>
      </c>
      <c r="H3189" s="50">
        <v>2</v>
      </c>
      <c r="I3189" s="100">
        <v>6.7391919697301583</v>
      </c>
      <c r="J3189" s="52">
        <v>3834.68</v>
      </c>
      <c r="K3189" s="67">
        <f t="shared" si="200"/>
        <v>40288.683028813866</v>
      </c>
      <c r="L3189" s="95">
        <f>+VLOOKUP(E3189,MARGEN!A:B,2,FALSE)</f>
        <v>0.1</v>
      </c>
      <c r="M3189" s="112">
        <f t="shared" si="197"/>
        <v>4028.8683028813866</v>
      </c>
      <c r="N3189" s="113">
        <f t="shared" si="198"/>
        <v>161.15473211525546</v>
      </c>
      <c r="O3189" s="113">
        <f t="shared" si="199"/>
        <v>36098.659993817222</v>
      </c>
    </row>
    <row r="3190" spans="1:15" x14ac:dyDescent="0.25">
      <c r="A3190" s="13">
        <v>44461</v>
      </c>
      <c r="B3190" s="97">
        <v>1535</v>
      </c>
      <c r="C3190" t="s">
        <v>137</v>
      </c>
      <c r="D3190" t="s">
        <v>418</v>
      </c>
      <c r="E3190" t="s">
        <v>17</v>
      </c>
      <c r="F3190" t="s">
        <v>573</v>
      </c>
      <c r="G3190" s="50" t="s">
        <v>574</v>
      </c>
      <c r="H3190" s="50">
        <v>2</v>
      </c>
      <c r="I3190" s="100">
        <v>6.7391919697301583</v>
      </c>
      <c r="J3190" s="52">
        <v>3834.68</v>
      </c>
      <c r="K3190" s="67">
        <f t="shared" si="200"/>
        <v>39668.459556914233</v>
      </c>
      <c r="L3190" s="95">
        <f>+VLOOKUP(E3190,MARGEN!A:B,2,FALSE)</f>
        <v>0.1</v>
      </c>
      <c r="M3190" s="112">
        <f t="shared" si="197"/>
        <v>3966.8459556914236</v>
      </c>
      <c r="N3190" s="113">
        <f t="shared" si="198"/>
        <v>158.67383822765694</v>
      </c>
      <c r="O3190" s="113">
        <f t="shared" si="199"/>
        <v>35542.939762995149</v>
      </c>
    </row>
    <row r="3191" spans="1:15" x14ac:dyDescent="0.25">
      <c r="A3191" s="13">
        <v>44461</v>
      </c>
      <c r="B3191" s="97">
        <v>1535</v>
      </c>
      <c r="C3191" t="s">
        <v>152</v>
      </c>
      <c r="D3191" t="s">
        <v>425</v>
      </c>
      <c r="E3191" t="s">
        <v>17</v>
      </c>
      <c r="F3191" t="s">
        <v>573</v>
      </c>
      <c r="G3191" s="50" t="s">
        <v>574</v>
      </c>
      <c r="H3191" s="50">
        <v>2</v>
      </c>
      <c r="I3191" s="100">
        <v>6.7391919697301583</v>
      </c>
      <c r="J3191" s="52">
        <v>3834.68</v>
      </c>
      <c r="K3191" s="67">
        <f t="shared" si="200"/>
        <v>39668.459556914233</v>
      </c>
      <c r="L3191" s="95">
        <f>+VLOOKUP(E3191,MARGEN!A:B,2,FALSE)</f>
        <v>0.1</v>
      </c>
      <c r="M3191" s="112">
        <f t="shared" si="197"/>
        <v>3966.8459556914236</v>
      </c>
      <c r="N3191" s="113">
        <f t="shared" si="198"/>
        <v>158.67383822765694</v>
      </c>
      <c r="O3191" s="113">
        <f t="shared" si="199"/>
        <v>35542.939762995149</v>
      </c>
    </row>
    <row r="3192" spans="1:15" x14ac:dyDescent="0.25">
      <c r="A3192" s="13">
        <v>44461</v>
      </c>
      <c r="B3192" s="97">
        <v>1535</v>
      </c>
      <c r="C3192" t="s">
        <v>294</v>
      </c>
      <c r="D3192" t="s">
        <v>527</v>
      </c>
      <c r="E3192" t="s">
        <v>17</v>
      </c>
      <c r="F3192" t="s">
        <v>573</v>
      </c>
      <c r="G3192" s="50" t="s">
        <v>574</v>
      </c>
      <c r="H3192" s="50">
        <v>2</v>
      </c>
      <c r="I3192" s="100">
        <v>6.7391919697301583</v>
      </c>
      <c r="J3192" s="52">
        <v>3834.68</v>
      </c>
      <c r="K3192" s="67">
        <f t="shared" si="200"/>
        <v>39668.459556914233</v>
      </c>
      <c r="L3192" s="95">
        <f>+VLOOKUP(E3192,MARGEN!A:B,2,FALSE)</f>
        <v>0.1</v>
      </c>
      <c r="M3192" s="112">
        <f t="shared" si="197"/>
        <v>3966.8459556914236</v>
      </c>
      <c r="N3192" s="113">
        <f t="shared" si="198"/>
        <v>158.67383822765694</v>
      </c>
      <c r="O3192" s="113">
        <f t="shared" si="199"/>
        <v>35542.939762995149</v>
      </c>
    </row>
    <row r="3193" spans="1:15" x14ac:dyDescent="0.25">
      <c r="A3193" s="13">
        <v>44461</v>
      </c>
      <c r="B3193" s="97">
        <v>1511</v>
      </c>
      <c r="C3193" t="s">
        <v>119</v>
      </c>
      <c r="D3193" t="s">
        <v>377</v>
      </c>
      <c r="E3193" t="s">
        <v>17</v>
      </c>
      <c r="F3193" t="s">
        <v>573</v>
      </c>
      <c r="G3193" s="50" t="s">
        <v>574</v>
      </c>
      <c r="H3193" s="50">
        <v>2</v>
      </c>
      <c r="I3193" s="100">
        <v>6.7391919697301583</v>
      </c>
      <c r="J3193" s="52">
        <v>3834.68</v>
      </c>
      <c r="K3193" s="67">
        <f t="shared" si="200"/>
        <v>39048.2360850146</v>
      </c>
      <c r="L3193" s="95">
        <f>+VLOOKUP(E3193,MARGEN!A:B,2,FALSE)</f>
        <v>0.1</v>
      </c>
      <c r="M3193" s="112">
        <f t="shared" si="197"/>
        <v>3904.8236085014601</v>
      </c>
      <c r="N3193" s="113">
        <f t="shared" si="198"/>
        <v>156.1929443400584</v>
      </c>
      <c r="O3193" s="113">
        <f t="shared" si="199"/>
        <v>34987.219532173083</v>
      </c>
    </row>
    <row r="3194" spans="1:15" x14ac:dyDescent="0.25">
      <c r="A3194" s="13">
        <v>44461</v>
      </c>
      <c r="B3194" s="97">
        <v>1511</v>
      </c>
      <c r="C3194" t="s">
        <v>291</v>
      </c>
      <c r="D3194" t="s">
        <v>492</v>
      </c>
      <c r="E3194" t="s">
        <v>17</v>
      </c>
      <c r="F3194" t="s">
        <v>573</v>
      </c>
      <c r="G3194" s="50" t="s">
        <v>574</v>
      </c>
      <c r="H3194" s="50">
        <v>2</v>
      </c>
      <c r="I3194" s="100">
        <v>6.7391919697301583</v>
      </c>
      <c r="J3194" s="52">
        <v>3834.68</v>
      </c>
      <c r="K3194" s="67">
        <f t="shared" si="200"/>
        <v>39048.2360850146</v>
      </c>
      <c r="L3194" s="95">
        <f>+VLOOKUP(E3194,MARGEN!A:B,2,FALSE)</f>
        <v>0.1</v>
      </c>
      <c r="M3194" s="112">
        <f t="shared" si="197"/>
        <v>3904.8236085014601</v>
      </c>
      <c r="N3194" s="113">
        <f t="shared" si="198"/>
        <v>156.1929443400584</v>
      </c>
      <c r="O3194" s="113">
        <f t="shared" si="199"/>
        <v>34987.219532173083</v>
      </c>
    </row>
    <row r="3195" spans="1:15" x14ac:dyDescent="0.25">
      <c r="A3195" s="13">
        <v>44461</v>
      </c>
      <c r="B3195" s="97">
        <v>1511</v>
      </c>
      <c r="C3195" t="s">
        <v>202</v>
      </c>
      <c r="D3195" t="s">
        <v>436</v>
      </c>
      <c r="E3195" t="s">
        <v>17</v>
      </c>
      <c r="F3195" t="s">
        <v>562</v>
      </c>
      <c r="G3195" s="50" t="s">
        <v>574</v>
      </c>
      <c r="H3195" s="50">
        <v>2</v>
      </c>
      <c r="I3195" s="100">
        <v>6.7391919697301583</v>
      </c>
      <c r="J3195" s="52">
        <v>3834.68</v>
      </c>
      <c r="K3195" s="67">
        <f t="shared" si="200"/>
        <v>39048.2360850146</v>
      </c>
      <c r="L3195" s="95">
        <f>+VLOOKUP(E3195,MARGEN!A:B,2,FALSE)</f>
        <v>0.1</v>
      </c>
      <c r="M3195" s="112">
        <f t="shared" si="197"/>
        <v>3904.8236085014601</v>
      </c>
      <c r="N3195" s="113">
        <f t="shared" si="198"/>
        <v>156.1929443400584</v>
      </c>
      <c r="O3195" s="113">
        <f t="shared" si="199"/>
        <v>34987.219532173083</v>
      </c>
    </row>
    <row r="3196" spans="1:15" x14ac:dyDescent="0.25">
      <c r="A3196" s="13">
        <v>44461</v>
      </c>
      <c r="B3196" s="97">
        <v>1487</v>
      </c>
      <c r="C3196" t="s">
        <v>169</v>
      </c>
      <c r="D3196" t="s">
        <v>351</v>
      </c>
      <c r="E3196" t="s">
        <v>17</v>
      </c>
      <c r="F3196" t="s">
        <v>573</v>
      </c>
      <c r="G3196" s="50" t="s">
        <v>574</v>
      </c>
      <c r="H3196" s="50">
        <v>2</v>
      </c>
      <c r="I3196" s="100">
        <v>6.7391919697301583</v>
      </c>
      <c r="J3196" s="52">
        <v>3834.68</v>
      </c>
      <c r="K3196" s="67">
        <f t="shared" si="200"/>
        <v>38428.012613114959</v>
      </c>
      <c r="L3196" s="95">
        <f>+VLOOKUP(E3196,MARGEN!A:B,2,FALSE)</f>
        <v>0.1</v>
      </c>
      <c r="M3196" s="112">
        <f t="shared" si="197"/>
        <v>3842.8012613114961</v>
      </c>
      <c r="N3196" s="113">
        <f t="shared" si="198"/>
        <v>153.71205045245983</v>
      </c>
      <c r="O3196" s="113">
        <f t="shared" si="199"/>
        <v>34431.499301351003</v>
      </c>
    </row>
    <row r="3197" spans="1:15" x14ac:dyDescent="0.25">
      <c r="A3197" s="13">
        <v>44461</v>
      </c>
      <c r="B3197" s="97">
        <v>1463</v>
      </c>
      <c r="C3197" t="s">
        <v>297</v>
      </c>
      <c r="D3197" t="s">
        <v>526</v>
      </c>
      <c r="E3197" t="s">
        <v>17</v>
      </c>
      <c r="F3197" t="s">
        <v>573</v>
      </c>
      <c r="G3197" s="50" t="s">
        <v>574</v>
      </c>
      <c r="H3197" s="50">
        <v>2</v>
      </c>
      <c r="I3197" s="100">
        <v>6.7391919697301583</v>
      </c>
      <c r="J3197" s="52">
        <v>3834.68</v>
      </c>
      <c r="K3197" s="67">
        <f t="shared" si="200"/>
        <v>37807.789141215326</v>
      </c>
      <c r="L3197" s="95">
        <f>+VLOOKUP(E3197,MARGEN!A:B,2,FALSE)</f>
        <v>0.1</v>
      </c>
      <c r="M3197" s="112">
        <f t="shared" si="197"/>
        <v>3780.7789141215326</v>
      </c>
      <c r="N3197" s="113">
        <f t="shared" si="198"/>
        <v>151.23115656486129</v>
      </c>
      <c r="O3197" s="113">
        <f t="shared" si="199"/>
        <v>33875.77907052893</v>
      </c>
    </row>
    <row r="3198" spans="1:15" x14ac:dyDescent="0.25">
      <c r="A3198" s="13">
        <v>44461</v>
      </c>
      <c r="B3198" s="97">
        <v>1439</v>
      </c>
      <c r="C3198" t="s">
        <v>168</v>
      </c>
      <c r="D3198" t="s">
        <v>352</v>
      </c>
      <c r="E3198" t="s">
        <v>17</v>
      </c>
      <c r="F3198" t="s">
        <v>573</v>
      </c>
      <c r="G3198" s="50" t="s">
        <v>574</v>
      </c>
      <c r="H3198" s="50">
        <v>2</v>
      </c>
      <c r="I3198" s="100">
        <v>6.7391919697301583</v>
      </c>
      <c r="J3198" s="52">
        <v>3834.68</v>
      </c>
      <c r="K3198" s="67">
        <f t="shared" si="200"/>
        <v>37187.565669315685</v>
      </c>
      <c r="L3198" s="95">
        <f>+VLOOKUP(E3198,MARGEN!A:B,2,FALSE)</f>
        <v>0.1</v>
      </c>
      <c r="M3198" s="112">
        <f t="shared" si="197"/>
        <v>3718.7565669315686</v>
      </c>
      <c r="N3198" s="113">
        <f t="shared" si="198"/>
        <v>148.75026267726275</v>
      </c>
      <c r="O3198" s="113">
        <f t="shared" si="199"/>
        <v>33320.058839706857</v>
      </c>
    </row>
    <row r="3199" spans="1:15" x14ac:dyDescent="0.25">
      <c r="A3199" s="13">
        <v>44461</v>
      </c>
      <c r="B3199" s="97">
        <v>1439</v>
      </c>
      <c r="C3199" t="s">
        <v>210</v>
      </c>
      <c r="D3199" t="s">
        <v>402</v>
      </c>
      <c r="E3199" t="s">
        <v>17</v>
      </c>
      <c r="F3199" t="s">
        <v>573</v>
      </c>
      <c r="G3199" s="50" t="s">
        <v>574</v>
      </c>
      <c r="H3199" s="50">
        <v>2</v>
      </c>
      <c r="I3199" s="100">
        <v>6.7391919697301583</v>
      </c>
      <c r="J3199" s="52">
        <v>3834.68</v>
      </c>
      <c r="K3199" s="67">
        <f t="shared" si="200"/>
        <v>37187.565669315685</v>
      </c>
      <c r="L3199" s="95">
        <f>+VLOOKUP(E3199,MARGEN!A:B,2,FALSE)</f>
        <v>0.1</v>
      </c>
      <c r="M3199" s="112">
        <f t="shared" si="197"/>
        <v>3718.7565669315686</v>
      </c>
      <c r="N3199" s="113">
        <f t="shared" si="198"/>
        <v>148.75026267726275</v>
      </c>
      <c r="O3199" s="113">
        <f t="shared" si="199"/>
        <v>33320.058839706857</v>
      </c>
    </row>
    <row r="3200" spans="1:15" x14ac:dyDescent="0.25">
      <c r="A3200" s="13">
        <v>44461</v>
      </c>
      <c r="B3200" s="97">
        <v>1439</v>
      </c>
      <c r="C3200" t="s">
        <v>200</v>
      </c>
      <c r="D3200" t="s">
        <v>428</v>
      </c>
      <c r="E3200" t="s">
        <v>17</v>
      </c>
      <c r="F3200" t="s">
        <v>573</v>
      </c>
      <c r="G3200" s="50" t="s">
        <v>574</v>
      </c>
      <c r="H3200" s="50">
        <v>2</v>
      </c>
      <c r="I3200" s="100">
        <v>6.7391919697301583</v>
      </c>
      <c r="J3200" s="52">
        <v>3834.68</v>
      </c>
      <c r="K3200" s="67">
        <f t="shared" si="200"/>
        <v>37187.565669315685</v>
      </c>
      <c r="L3200" s="95">
        <f>+VLOOKUP(E3200,MARGEN!A:B,2,FALSE)</f>
        <v>0.1</v>
      </c>
      <c r="M3200" s="112">
        <f t="shared" si="197"/>
        <v>3718.7565669315686</v>
      </c>
      <c r="N3200" s="113">
        <f t="shared" si="198"/>
        <v>148.75026267726275</v>
      </c>
      <c r="O3200" s="113">
        <f t="shared" si="199"/>
        <v>33320.058839706857</v>
      </c>
    </row>
    <row r="3201" spans="1:15" x14ac:dyDescent="0.25">
      <c r="A3201" s="13">
        <v>44461</v>
      </c>
      <c r="B3201" s="97">
        <v>1367</v>
      </c>
      <c r="C3201" t="s">
        <v>289</v>
      </c>
      <c r="D3201" t="s">
        <v>528</v>
      </c>
      <c r="E3201" t="s">
        <v>17</v>
      </c>
      <c r="F3201" t="s">
        <v>566</v>
      </c>
      <c r="G3201" s="50" t="s">
        <v>574</v>
      </c>
      <c r="H3201" s="50">
        <v>2</v>
      </c>
      <c r="I3201" s="100">
        <v>6.7391919697301583</v>
      </c>
      <c r="J3201" s="52">
        <v>3834.68</v>
      </c>
      <c r="K3201" s="67">
        <f t="shared" si="200"/>
        <v>35326.895253616778</v>
      </c>
      <c r="L3201" s="95">
        <f>+VLOOKUP(E3201,MARGEN!A:B,2,FALSE)</f>
        <v>0.1</v>
      </c>
      <c r="M3201" s="112">
        <f t="shared" si="197"/>
        <v>3532.6895253616781</v>
      </c>
      <c r="N3201" s="113">
        <f t="shared" si="198"/>
        <v>141.3075810144671</v>
      </c>
      <c r="O3201" s="113">
        <f t="shared" si="199"/>
        <v>31652.898147240634</v>
      </c>
    </row>
    <row r="3202" spans="1:15" x14ac:dyDescent="0.25">
      <c r="A3202" s="13">
        <v>44461</v>
      </c>
      <c r="B3202" s="97">
        <v>1367</v>
      </c>
      <c r="C3202" t="s">
        <v>173</v>
      </c>
      <c r="D3202" t="s">
        <v>451</v>
      </c>
      <c r="E3202" t="s">
        <v>17</v>
      </c>
      <c r="F3202" t="s">
        <v>573</v>
      </c>
      <c r="G3202" s="50" t="s">
        <v>574</v>
      </c>
      <c r="H3202" s="50">
        <v>2</v>
      </c>
      <c r="I3202" s="100">
        <v>6.7391919697301583</v>
      </c>
      <c r="J3202" s="52">
        <v>3834.68</v>
      </c>
      <c r="K3202" s="67">
        <f t="shared" si="200"/>
        <v>35326.895253616778</v>
      </c>
      <c r="L3202" s="95">
        <f>+VLOOKUP(E3202,MARGEN!A:B,2,FALSE)</f>
        <v>0.1</v>
      </c>
      <c r="M3202" s="112">
        <f t="shared" si="197"/>
        <v>3532.6895253616781</v>
      </c>
      <c r="N3202" s="113">
        <f t="shared" si="198"/>
        <v>141.3075810144671</v>
      </c>
      <c r="O3202" s="113">
        <f t="shared" si="199"/>
        <v>31652.898147240634</v>
      </c>
    </row>
    <row r="3203" spans="1:15" x14ac:dyDescent="0.25">
      <c r="A3203" s="13">
        <v>44461</v>
      </c>
      <c r="B3203" s="97">
        <v>1343</v>
      </c>
      <c r="C3203" t="s">
        <v>292</v>
      </c>
      <c r="D3203" t="s">
        <v>535</v>
      </c>
      <c r="E3203" t="s">
        <v>17</v>
      </c>
      <c r="F3203" t="s">
        <v>573</v>
      </c>
      <c r="G3203" s="50" t="s">
        <v>574</v>
      </c>
      <c r="H3203" s="50">
        <v>2</v>
      </c>
      <c r="I3203" s="100">
        <v>6.7391919697301583</v>
      </c>
      <c r="J3203" s="52">
        <v>3834.68</v>
      </c>
      <c r="K3203" s="67">
        <f t="shared" si="200"/>
        <v>34706.671781717145</v>
      </c>
      <c r="L3203" s="95">
        <f>+VLOOKUP(E3203,MARGEN!A:B,2,FALSE)</f>
        <v>0.1</v>
      </c>
      <c r="M3203" s="112">
        <f t="shared" ref="M3203:M3266" si="201">+K3203*L3203</f>
        <v>3470.6671781717146</v>
      </c>
      <c r="N3203" s="113">
        <f t="shared" ref="N3203:N3266" si="202">+K3203*4/1000</f>
        <v>138.82668712686859</v>
      </c>
      <c r="O3203" s="113">
        <f t="shared" ref="O3203:O3266" si="203">+K3203-M3203-N3203</f>
        <v>31097.177916418561</v>
      </c>
    </row>
    <row r="3204" spans="1:15" x14ac:dyDescent="0.25">
      <c r="A3204" s="13">
        <v>44461</v>
      </c>
      <c r="B3204" s="97">
        <v>1319</v>
      </c>
      <c r="C3204" t="s">
        <v>166</v>
      </c>
      <c r="D3204" t="s">
        <v>426</v>
      </c>
      <c r="E3204" t="s">
        <v>17</v>
      </c>
      <c r="F3204" t="s">
        <v>566</v>
      </c>
      <c r="G3204" s="50" t="s">
        <v>574</v>
      </c>
      <c r="H3204" s="50">
        <v>2</v>
      </c>
      <c r="I3204" s="100">
        <v>6.7391919697301583</v>
      </c>
      <c r="J3204" s="52">
        <v>3834.68</v>
      </c>
      <c r="K3204" s="67">
        <f t="shared" si="200"/>
        <v>34086.448309817511</v>
      </c>
      <c r="L3204" s="95">
        <f>+VLOOKUP(E3204,MARGEN!A:B,2,FALSE)</f>
        <v>0.1</v>
      </c>
      <c r="M3204" s="112">
        <f t="shared" si="201"/>
        <v>3408.6448309817515</v>
      </c>
      <c r="N3204" s="113">
        <f t="shared" si="202"/>
        <v>136.34579323927005</v>
      </c>
      <c r="O3204" s="113">
        <f t="shared" si="203"/>
        <v>30541.457685596492</v>
      </c>
    </row>
    <row r="3205" spans="1:15" x14ac:dyDescent="0.25">
      <c r="A3205" s="13">
        <v>44461</v>
      </c>
      <c r="B3205" s="97">
        <v>1319</v>
      </c>
      <c r="C3205" t="s">
        <v>141</v>
      </c>
      <c r="D3205" t="s">
        <v>450</v>
      </c>
      <c r="E3205" t="s">
        <v>17</v>
      </c>
      <c r="F3205" t="s">
        <v>573</v>
      </c>
      <c r="G3205" s="50" t="s">
        <v>574</v>
      </c>
      <c r="H3205" s="50">
        <v>2</v>
      </c>
      <c r="I3205" s="100">
        <v>6.7391919697301583</v>
      </c>
      <c r="J3205" s="52">
        <v>3834.68</v>
      </c>
      <c r="K3205" s="67">
        <f t="shared" si="200"/>
        <v>34086.448309817511</v>
      </c>
      <c r="L3205" s="95">
        <f>+VLOOKUP(E3205,MARGEN!A:B,2,FALSE)</f>
        <v>0.1</v>
      </c>
      <c r="M3205" s="112">
        <f t="shared" si="201"/>
        <v>3408.6448309817515</v>
      </c>
      <c r="N3205" s="113">
        <f t="shared" si="202"/>
        <v>136.34579323927005</v>
      </c>
      <c r="O3205" s="113">
        <f t="shared" si="203"/>
        <v>30541.457685596492</v>
      </c>
    </row>
    <row r="3206" spans="1:15" x14ac:dyDescent="0.25">
      <c r="A3206" s="13">
        <v>44461</v>
      </c>
      <c r="B3206" s="97">
        <v>1319</v>
      </c>
      <c r="C3206" t="s">
        <v>118</v>
      </c>
      <c r="D3206" t="s">
        <v>329</v>
      </c>
      <c r="E3206" t="s">
        <v>17</v>
      </c>
      <c r="F3206" t="s">
        <v>573</v>
      </c>
      <c r="G3206" s="50" t="s">
        <v>574</v>
      </c>
      <c r="H3206" s="50">
        <v>2</v>
      </c>
      <c r="I3206" s="100">
        <v>6.7391919697301583</v>
      </c>
      <c r="J3206" s="52">
        <v>3834.68</v>
      </c>
      <c r="K3206" s="67">
        <f t="shared" si="200"/>
        <v>34086.448309817511</v>
      </c>
      <c r="L3206" s="95">
        <f>+VLOOKUP(E3206,MARGEN!A:B,2,FALSE)</f>
        <v>0.1</v>
      </c>
      <c r="M3206" s="112">
        <f t="shared" si="201"/>
        <v>3408.6448309817515</v>
      </c>
      <c r="N3206" s="113">
        <f t="shared" si="202"/>
        <v>136.34579323927005</v>
      </c>
      <c r="O3206" s="113">
        <f t="shared" si="203"/>
        <v>30541.457685596492</v>
      </c>
    </row>
    <row r="3207" spans="1:15" x14ac:dyDescent="0.25">
      <c r="A3207" s="13">
        <v>44461</v>
      </c>
      <c r="B3207" s="97">
        <v>1295</v>
      </c>
      <c r="C3207" t="s">
        <v>303</v>
      </c>
      <c r="D3207" t="s">
        <v>539</v>
      </c>
      <c r="E3207" t="s">
        <v>17</v>
      </c>
      <c r="F3207" t="s">
        <v>573</v>
      </c>
      <c r="G3207" s="50" t="s">
        <v>574</v>
      </c>
      <c r="H3207" s="50">
        <v>2</v>
      </c>
      <c r="I3207" s="100">
        <v>6.7391919697301583</v>
      </c>
      <c r="J3207" s="52">
        <v>3834.68</v>
      </c>
      <c r="K3207" s="67">
        <f t="shared" si="200"/>
        <v>33466.224837917871</v>
      </c>
      <c r="L3207" s="95">
        <f>+VLOOKUP(E3207,MARGEN!A:B,2,FALSE)</f>
        <v>0.1</v>
      </c>
      <c r="M3207" s="112">
        <f t="shared" si="201"/>
        <v>3346.6224837917871</v>
      </c>
      <c r="N3207" s="113">
        <f t="shared" si="202"/>
        <v>133.86489935167148</v>
      </c>
      <c r="O3207" s="113">
        <f t="shared" si="203"/>
        <v>29985.737454774411</v>
      </c>
    </row>
    <row r="3208" spans="1:15" x14ac:dyDescent="0.25">
      <c r="A3208" s="13">
        <v>44461</v>
      </c>
      <c r="B3208" s="97">
        <v>1295</v>
      </c>
      <c r="C3208" t="s">
        <v>211</v>
      </c>
      <c r="D3208" t="s">
        <v>382</v>
      </c>
      <c r="E3208" t="s">
        <v>17</v>
      </c>
      <c r="F3208" t="s">
        <v>566</v>
      </c>
      <c r="G3208" s="50" t="s">
        <v>574</v>
      </c>
      <c r="H3208" s="50">
        <v>2</v>
      </c>
      <c r="I3208" s="100">
        <v>6.7391919697301583</v>
      </c>
      <c r="J3208" s="52">
        <v>3834.68</v>
      </c>
      <c r="K3208" s="67">
        <f t="shared" si="200"/>
        <v>33466.224837917871</v>
      </c>
      <c r="L3208" s="95">
        <f>+VLOOKUP(E3208,MARGEN!A:B,2,FALSE)</f>
        <v>0.1</v>
      </c>
      <c r="M3208" s="112">
        <f t="shared" si="201"/>
        <v>3346.6224837917871</v>
      </c>
      <c r="N3208" s="113">
        <f t="shared" si="202"/>
        <v>133.86489935167148</v>
      </c>
      <c r="O3208" s="113">
        <f t="shared" si="203"/>
        <v>29985.737454774411</v>
      </c>
    </row>
    <row r="3209" spans="1:15" x14ac:dyDescent="0.25">
      <c r="A3209" s="13">
        <v>44461</v>
      </c>
      <c r="B3209" s="97">
        <v>1295</v>
      </c>
      <c r="C3209" t="s">
        <v>151</v>
      </c>
      <c r="D3209" t="s">
        <v>394</v>
      </c>
      <c r="E3209" t="s">
        <v>17</v>
      </c>
      <c r="F3209" t="s">
        <v>573</v>
      </c>
      <c r="G3209" s="50" t="s">
        <v>574</v>
      </c>
      <c r="H3209" s="50">
        <v>2</v>
      </c>
      <c r="I3209" s="100">
        <v>6.7391919697301583</v>
      </c>
      <c r="J3209" s="52">
        <v>3834.68</v>
      </c>
      <c r="K3209" s="67">
        <f t="shared" ref="K3209:K3272" si="204">+B3209*I3209*J3209/1000</f>
        <v>33466.224837917871</v>
      </c>
      <c r="L3209" s="95">
        <f>+VLOOKUP(E3209,MARGEN!A:B,2,FALSE)</f>
        <v>0.1</v>
      </c>
      <c r="M3209" s="112">
        <f t="shared" si="201"/>
        <v>3346.6224837917871</v>
      </c>
      <c r="N3209" s="113">
        <f t="shared" si="202"/>
        <v>133.86489935167148</v>
      </c>
      <c r="O3209" s="113">
        <f t="shared" si="203"/>
        <v>29985.737454774411</v>
      </c>
    </row>
    <row r="3210" spans="1:15" x14ac:dyDescent="0.25">
      <c r="A3210" s="13">
        <v>44461</v>
      </c>
      <c r="B3210" s="97">
        <v>1295</v>
      </c>
      <c r="C3210" t="s">
        <v>183</v>
      </c>
      <c r="D3210" t="s">
        <v>390</v>
      </c>
      <c r="E3210" t="s">
        <v>17</v>
      </c>
      <c r="F3210" t="s">
        <v>573</v>
      </c>
      <c r="G3210" s="50" t="s">
        <v>574</v>
      </c>
      <c r="H3210" s="50">
        <v>2</v>
      </c>
      <c r="I3210" s="100">
        <v>6.7391919697301583</v>
      </c>
      <c r="J3210" s="52">
        <v>3834.68</v>
      </c>
      <c r="K3210" s="67">
        <f t="shared" si="204"/>
        <v>33466.224837917871</v>
      </c>
      <c r="L3210" s="95">
        <f>+VLOOKUP(E3210,MARGEN!A:B,2,FALSE)</f>
        <v>0.1</v>
      </c>
      <c r="M3210" s="112">
        <f t="shared" si="201"/>
        <v>3346.6224837917871</v>
      </c>
      <c r="N3210" s="113">
        <f t="shared" si="202"/>
        <v>133.86489935167148</v>
      </c>
      <c r="O3210" s="113">
        <f t="shared" si="203"/>
        <v>29985.737454774411</v>
      </c>
    </row>
    <row r="3211" spans="1:15" x14ac:dyDescent="0.25">
      <c r="A3211" s="13">
        <v>44461</v>
      </c>
      <c r="B3211" s="97">
        <v>1295</v>
      </c>
      <c r="C3211" t="s">
        <v>298</v>
      </c>
      <c r="D3211" t="s">
        <v>536</v>
      </c>
      <c r="E3211" t="s">
        <v>17</v>
      </c>
      <c r="F3211" t="s">
        <v>573</v>
      </c>
      <c r="G3211" s="50" t="s">
        <v>574</v>
      </c>
      <c r="H3211" s="50">
        <v>2</v>
      </c>
      <c r="I3211" s="100">
        <v>6.7391919697301583</v>
      </c>
      <c r="J3211" s="52">
        <v>3834.68</v>
      </c>
      <c r="K3211" s="67">
        <f t="shared" si="204"/>
        <v>33466.224837917871</v>
      </c>
      <c r="L3211" s="95">
        <f>+VLOOKUP(E3211,MARGEN!A:B,2,FALSE)</f>
        <v>0.1</v>
      </c>
      <c r="M3211" s="112">
        <f t="shared" si="201"/>
        <v>3346.6224837917871</v>
      </c>
      <c r="N3211" s="113">
        <f t="shared" si="202"/>
        <v>133.86489935167148</v>
      </c>
      <c r="O3211" s="113">
        <f t="shared" si="203"/>
        <v>29985.737454774411</v>
      </c>
    </row>
    <row r="3212" spans="1:15" x14ac:dyDescent="0.25">
      <c r="A3212" s="13">
        <v>44461</v>
      </c>
      <c r="B3212" s="97">
        <v>1295</v>
      </c>
      <c r="C3212" t="s">
        <v>302</v>
      </c>
      <c r="D3212" t="s">
        <v>538</v>
      </c>
      <c r="E3212" t="s">
        <v>17</v>
      </c>
      <c r="F3212" t="s">
        <v>573</v>
      </c>
      <c r="G3212" s="50" t="s">
        <v>574</v>
      </c>
      <c r="H3212" s="50">
        <v>2</v>
      </c>
      <c r="I3212" s="100">
        <v>6.7391919697301583</v>
      </c>
      <c r="J3212" s="52">
        <v>3834.68</v>
      </c>
      <c r="K3212" s="67">
        <f t="shared" si="204"/>
        <v>33466.224837917871</v>
      </c>
      <c r="L3212" s="95">
        <f>+VLOOKUP(E3212,MARGEN!A:B,2,FALSE)</f>
        <v>0.1</v>
      </c>
      <c r="M3212" s="112">
        <f t="shared" si="201"/>
        <v>3346.6224837917871</v>
      </c>
      <c r="N3212" s="113">
        <f t="shared" si="202"/>
        <v>133.86489935167148</v>
      </c>
      <c r="O3212" s="113">
        <f t="shared" si="203"/>
        <v>29985.737454774411</v>
      </c>
    </row>
    <row r="3213" spans="1:15" x14ac:dyDescent="0.25">
      <c r="A3213" s="13">
        <v>44461</v>
      </c>
      <c r="B3213" s="97">
        <v>1247</v>
      </c>
      <c r="C3213" t="s">
        <v>300</v>
      </c>
      <c r="D3213" t="s">
        <v>529</v>
      </c>
      <c r="E3213" t="s">
        <v>17</v>
      </c>
      <c r="F3213" t="s">
        <v>566</v>
      </c>
      <c r="G3213" s="50" t="s">
        <v>574</v>
      </c>
      <c r="H3213" s="50">
        <v>2</v>
      </c>
      <c r="I3213" s="100">
        <v>6.7391919697301583</v>
      </c>
      <c r="J3213" s="52">
        <v>3834.68</v>
      </c>
      <c r="K3213" s="67">
        <f t="shared" si="204"/>
        <v>32225.777894118601</v>
      </c>
      <c r="L3213" s="95">
        <f>+VLOOKUP(E3213,MARGEN!A:B,2,FALSE)</f>
        <v>0.1</v>
      </c>
      <c r="M3213" s="112">
        <f t="shared" si="201"/>
        <v>3222.5777894118601</v>
      </c>
      <c r="N3213" s="113">
        <f t="shared" si="202"/>
        <v>128.9031115764744</v>
      </c>
      <c r="O3213" s="113">
        <f t="shared" si="203"/>
        <v>28874.296993130265</v>
      </c>
    </row>
    <row r="3214" spans="1:15" x14ac:dyDescent="0.25">
      <c r="A3214" s="13">
        <v>44461</v>
      </c>
      <c r="B3214" s="97">
        <v>1223</v>
      </c>
      <c r="C3214" t="s">
        <v>199</v>
      </c>
      <c r="D3214" t="s">
        <v>414</v>
      </c>
      <c r="E3214" t="s">
        <v>17</v>
      </c>
      <c r="F3214" t="s">
        <v>573</v>
      </c>
      <c r="G3214" s="50" t="s">
        <v>574</v>
      </c>
      <c r="H3214" s="50">
        <v>2</v>
      </c>
      <c r="I3214" s="100">
        <v>6.7391919697301583</v>
      </c>
      <c r="J3214" s="52">
        <v>3834.68</v>
      </c>
      <c r="K3214" s="67">
        <f t="shared" si="204"/>
        <v>31605.55442221896</v>
      </c>
      <c r="L3214" s="95">
        <f>+VLOOKUP(E3214,MARGEN!A:B,2,FALSE)</f>
        <v>0.1</v>
      </c>
      <c r="M3214" s="112">
        <f t="shared" si="201"/>
        <v>3160.5554422218961</v>
      </c>
      <c r="N3214" s="113">
        <f t="shared" si="202"/>
        <v>126.42221768887585</v>
      </c>
      <c r="O3214" s="113">
        <f t="shared" si="203"/>
        <v>28318.576762308188</v>
      </c>
    </row>
    <row r="3215" spans="1:15" x14ac:dyDescent="0.25">
      <c r="A3215" s="13">
        <v>44461</v>
      </c>
      <c r="B3215" s="97">
        <v>1199</v>
      </c>
      <c r="C3215" t="s">
        <v>308</v>
      </c>
      <c r="D3215" t="s">
        <v>500</v>
      </c>
      <c r="E3215" t="s">
        <v>17</v>
      </c>
      <c r="F3215" t="s">
        <v>566</v>
      </c>
      <c r="G3215" s="50" t="s">
        <v>574</v>
      </c>
      <c r="H3215" s="50">
        <v>2</v>
      </c>
      <c r="I3215" s="100">
        <v>6.7391919697301583</v>
      </c>
      <c r="J3215" s="52">
        <v>3834.68</v>
      </c>
      <c r="K3215" s="67">
        <f t="shared" si="204"/>
        <v>30985.330950319327</v>
      </c>
      <c r="L3215" s="95">
        <f>+VLOOKUP(E3215,MARGEN!A:B,2,FALSE)</f>
        <v>0.1</v>
      </c>
      <c r="M3215" s="112">
        <f t="shared" si="201"/>
        <v>3098.533095031933</v>
      </c>
      <c r="N3215" s="113">
        <f t="shared" si="202"/>
        <v>123.94132380127731</v>
      </c>
      <c r="O3215" s="113">
        <f t="shared" si="203"/>
        <v>27762.856531486115</v>
      </c>
    </row>
    <row r="3216" spans="1:15" x14ac:dyDescent="0.25">
      <c r="A3216" s="13">
        <v>44461</v>
      </c>
      <c r="B3216" s="97">
        <v>1199</v>
      </c>
      <c r="C3216" t="s">
        <v>299</v>
      </c>
      <c r="D3216" t="s">
        <v>537</v>
      </c>
      <c r="E3216" t="s">
        <v>17</v>
      </c>
      <c r="F3216" t="s">
        <v>562</v>
      </c>
      <c r="G3216" s="50" t="s">
        <v>574</v>
      </c>
      <c r="H3216" s="50">
        <v>2</v>
      </c>
      <c r="I3216" s="100">
        <v>6.7391919697301583</v>
      </c>
      <c r="J3216" s="52">
        <v>3834.68</v>
      </c>
      <c r="K3216" s="67">
        <f t="shared" si="204"/>
        <v>30985.330950319327</v>
      </c>
      <c r="L3216" s="95">
        <f>+VLOOKUP(E3216,MARGEN!A:B,2,FALSE)</f>
        <v>0.1</v>
      </c>
      <c r="M3216" s="112">
        <f t="shared" si="201"/>
        <v>3098.533095031933</v>
      </c>
      <c r="N3216" s="113">
        <f t="shared" si="202"/>
        <v>123.94132380127731</v>
      </c>
      <c r="O3216" s="113">
        <f t="shared" si="203"/>
        <v>27762.856531486115</v>
      </c>
    </row>
    <row r="3217" spans="1:15" x14ac:dyDescent="0.25">
      <c r="A3217" s="13">
        <v>44461</v>
      </c>
      <c r="B3217" s="97">
        <v>1175</v>
      </c>
      <c r="C3217" t="s">
        <v>201</v>
      </c>
      <c r="D3217" t="s">
        <v>374</v>
      </c>
      <c r="E3217" t="s">
        <v>17</v>
      </c>
      <c r="F3217" t="s">
        <v>573</v>
      </c>
      <c r="G3217" s="50" t="s">
        <v>574</v>
      </c>
      <c r="H3217" s="50">
        <v>2</v>
      </c>
      <c r="I3217" s="100">
        <v>6.7391919697301583</v>
      </c>
      <c r="J3217" s="52">
        <v>3834.68</v>
      </c>
      <c r="K3217" s="67">
        <f t="shared" si="204"/>
        <v>30365.10747841969</v>
      </c>
      <c r="L3217" s="95">
        <f>+VLOOKUP(E3217,MARGEN!A:B,2,FALSE)</f>
        <v>0.1</v>
      </c>
      <c r="M3217" s="112">
        <f t="shared" si="201"/>
        <v>3036.5107478419691</v>
      </c>
      <c r="N3217" s="113">
        <f t="shared" si="202"/>
        <v>121.46042991367877</v>
      </c>
      <c r="O3217" s="113">
        <f t="shared" si="203"/>
        <v>27207.136300664042</v>
      </c>
    </row>
    <row r="3218" spans="1:15" x14ac:dyDescent="0.25">
      <c r="A3218" s="13">
        <v>44461</v>
      </c>
      <c r="B3218" s="97">
        <v>1151</v>
      </c>
      <c r="C3218" t="s">
        <v>184</v>
      </c>
      <c r="D3218" t="s">
        <v>443</v>
      </c>
      <c r="E3218" t="s">
        <v>17</v>
      </c>
      <c r="F3218" t="s">
        <v>558</v>
      </c>
      <c r="G3218" s="50" t="s">
        <v>574</v>
      </c>
      <c r="H3218" s="50">
        <v>2</v>
      </c>
      <c r="I3218" s="100">
        <v>6.7391919697301583</v>
      </c>
      <c r="J3218" s="52">
        <v>3834.68</v>
      </c>
      <c r="K3218" s="67">
        <f t="shared" si="204"/>
        <v>29744.884006520053</v>
      </c>
      <c r="L3218" s="95">
        <f>+VLOOKUP(E3218,MARGEN!A:B,2,FALSE)</f>
        <v>0.1</v>
      </c>
      <c r="M3218" s="112">
        <f t="shared" si="201"/>
        <v>2974.4884006520056</v>
      </c>
      <c r="N3218" s="113">
        <f t="shared" si="202"/>
        <v>118.97953602608021</v>
      </c>
      <c r="O3218" s="113">
        <f t="shared" si="203"/>
        <v>26651.416069841969</v>
      </c>
    </row>
    <row r="3219" spans="1:15" x14ac:dyDescent="0.25">
      <c r="A3219" s="13">
        <v>44461</v>
      </c>
      <c r="B3219" s="97">
        <v>1127</v>
      </c>
      <c r="C3219" t="s">
        <v>153</v>
      </c>
      <c r="D3219" t="s">
        <v>444</v>
      </c>
      <c r="E3219" t="s">
        <v>17</v>
      </c>
      <c r="F3219" t="s">
        <v>573</v>
      </c>
      <c r="G3219" s="50" t="s">
        <v>574</v>
      </c>
      <c r="H3219" s="50">
        <v>2</v>
      </c>
      <c r="I3219" s="100">
        <v>6.7391919697301583</v>
      </c>
      <c r="J3219" s="52">
        <v>3834.68</v>
      </c>
      <c r="K3219" s="67">
        <f t="shared" si="204"/>
        <v>29124.660534620416</v>
      </c>
      <c r="L3219" s="95">
        <f>+VLOOKUP(E3219,MARGEN!A:B,2,FALSE)</f>
        <v>0.1</v>
      </c>
      <c r="M3219" s="112">
        <f t="shared" si="201"/>
        <v>2912.4660534620416</v>
      </c>
      <c r="N3219" s="113">
        <f t="shared" si="202"/>
        <v>116.49864213848167</v>
      </c>
      <c r="O3219" s="113">
        <f t="shared" si="203"/>
        <v>26095.695839019892</v>
      </c>
    </row>
    <row r="3220" spans="1:15" x14ac:dyDescent="0.25">
      <c r="A3220" s="13">
        <v>44461</v>
      </c>
      <c r="B3220" s="97">
        <v>1055</v>
      </c>
      <c r="C3220" t="s">
        <v>195</v>
      </c>
      <c r="D3220" t="s">
        <v>392</v>
      </c>
      <c r="E3220" t="s">
        <v>17</v>
      </c>
      <c r="F3220" t="s">
        <v>562</v>
      </c>
      <c r="G3220" s="50" t="s">
        <v>574</v>
      </c>
      <c r="H3220" s="50">
        <v>2</v>
      </c>
      <c r="I3220" s="100">
        <v>6.7391919697301583</v>
      </c>
      <c r="J3220" s="52">
        <v>3834.68</v>
      </c>
      <c r="K3220" s="67">
        <f t="shared" si="204"/>
        <v>27263.990118921512</v>
      </c>
      <c r="L3220" s="95">
        <f>+VLOOKUP(E3220,MARGEN!A:B,2,FALSE)</f>
        <v>0.1</v>
      </c>
      <c r="M3220" s="112">
        <f t="shared" si="201"/>
        <v>2726.3990118921515</v>
      </c>
      <c r="N3220" s="113">
        <f t="shared" si="202"/>
        <v>109.05596047568605</v>
      </c>
      <c r="O3220" s="113">
        <f t="shared" si="203"/>
        <v>24428.535146553677</v>
      </c>
    </row>
    <row r="3221" spans="1:15" x14ac:dyDescent="0.25">
      <c r="A3221" s="13">
        <v>44461</v>
      </c>
      <c r="B3221" s="97">
        <v>911</v>
      </c>
      <c r="C3221" t="s">
        <v>182</v>
      </c>
      <c r="D3221" t="s">
        <v>455</v>
      </c>
      <c r="E3221" t="s">
        <v>17</v>
      </c>
      <c r="F3221" t="s">
        <v>562</v>
      </c>
      <c r="G3221" s="50" t="s">
        <v>574</v>
      </c>
      <c r="H3221" s="50">
        <v>2</v>
      </c>
      <c r="I3221" s="100">
        <v>6.7391919697301583</v>
      </c>
      <c r="J3221" s="52">
        <v>3834.68</v>
      </c>
      <c r="K3221" s="67">
        <f t="shared" si="204"/>
        <v>23542.649287523691</v>
      </c>
      <c r="L3221" s="95">
        <f>+VLOOKUP(E3221,MARGEN!A:B,2,FALSE)</f>
        <v>0.1</v>
      </c>
      <c r="M3221" s="112">
        <f t="shared" si="201"/>
        <v>2354.2649287523691</v>
      </c>
      <c r="N3221" s="113">
        <f t="shared" si="202"/>
        <v>94.170597150094764</v>
      </c>
      <c r="O3221" s="113">
        <f t="shared" si="203"/>
        <v>21094.213761621224</v>
      </c>
    </row>
    <row r="3222" spans="1:15" x14ac:dyDescent="0.25">
      <c r="A3222" s="13">
        <v>44461</v>
      </c>
      <c r="B3222" s="97">
        <v>791</v>
      </c>
      <c r="C3222" t="s">
        <v>307</v>
      </c>
      <c r="D3222" t="s">
        <v>497</v>
      </c>
      <c r="E3222" t="s">
        <v>17</v>
      </c>
      <c r="F3222" t="s">
        <v>558</v>
      </c>
      <c r="G3222" s="50" t="s">
        <v>574</v>
      </c>
      <c r="H3222" s="50">
        <v>2</v>
      </c>
      <c r="I3222" s="100">
        <v>6.7391919697301583</v>
      </c>
      <c r="J3222" s="52">
        <v>3834.68</v>
      </c>
      <c r="K3222" s="67">
        <f t="shared" si="204"/>
        <v>20441.53192802551</v>
      </c>
      <c r="L3222" s="95">
        <f>+VLOOKUP(E3222,MARGEN!A:B,2,FALSE)</f>
        <v>0.1</v>
      </c>
      <c r="M3222" s="112">
        <f t="shared" si="201"/>
        <v>2044.1531928025511</v>
      </c>
      <c r="N3222" s="113">
        <f t="shared" si="202"/>
        <v>81.766127712102033</v>
      </c>
      <c r="O3222" s="113">
        <f t="shared" si="203"/>
        <v>18315.612607510859</v>
      </c>
    </row>
    <row r="3223" spans="1:15" x14ac:dyDescent="0.25">
      <c r="A3223" s="13">
        <v>44461</v>
      </c>
      <c r="B3223" s="97">
        <v>767</v>
      </c>
      <c r="C3223" t="s">
        <v>181</v>
      </c>
      <c r="D3223" t="s">
        <v>415</v>
      </c>
      <c r="E3223" t="s">
        <v>17</v>
      </c>
      <c r="F3223" t="s">
        <v>573</v>
      </c>
      <c r="G3223" s="50" t="s">
        <v>574</v>
      </c>
      <c r="H3223" s="50">
        <v>2</v>
      </c>
      <c r="I3223" s="100">
        <v>6.7391919697301583</v>
      </c>
      <c r="J3223" s="52">
        <v>3834.68</v>
      </c>
      <c r="K3223" s="67">
        <f t="shared" si="204"/>
        <v>19821.308456125873</v>
      </c>
      <c r="L3223" s="95">
        <f>+VLOOKUP(E3223,MARGEN!A:B,2,FALSE)</f>
        <v>0.1</v>
      </c>
      <c r="M3223" s="112">
        <f t="shared" si="201"/>
        <v>1982.1308456125873</v>
      </c>
      <c r="N3223" s="113">
        <f t="shared" si="202"/>
        <v>79.285233824503493</v>
      </c>
      <c r="O3223" s="113">
        <f t="shared" si="203"/>
        <v>17759.892376688782</v>
      </c>
    </row>
    <row r="3224" spans="1:15" x14ac:dyDescent="0.25">
      <c r="A3224" s="13">
        <v>44462</v>
      </c>
      <c r="B3224" s="97">
        <v>5303</v>
      </c>
      <c r="C3224" t="s">
        <v>278</v>
      </c>
      <c r="D3224" t="s">
        <v>453</v>
      </c>
      <c r="E3224" t="s">
        <v>17</v>
      </c>
      <c r="F3224" t="s">
        <v>573</v>
      </c>
      <c r="G3224" s="50" t="s">
        <v>574</v>
      </c>
      <c r="H3224" s="50">
        <v>2</v>
      </c>
      <c r="I3224" s="100">
        <v>6.7391919697301583</v>
      </c>
      <c r="J3224" s="52">
        <v>3834.68</v>
      </c>
      <c r="K3224" s="67">
        <f t="shared" si="204"/>
        <v>137043.54464515712</v>
      </c>
      <c r="L3224" s="95">
        <f>+VLOOKUP(E3224,MARGEN!A:B,2,FALSE)</f>
        <v>0.1</v>
      </c>
      <c r="M3224" s="112">
        <f t="shared" si="201"/>
        <v>13704.354464515713</v>
      </c>
      <c r="N3224" s="113">
        <f t="shared" si="202"/>
        <v>548.17417858062845</v>
      </c>
      <c r="O3224" s="113">
        <f t="shared" si="203"/>
        <v>122791.01600206079</v>
      </c>
    </row>
    <row r="3225" spans="1:15" x14ac:dyDescent="0.25">
      <c r="A3225" s="13">
        <v>44462</v>
      </c>
      <c r="B3225" s="97">
        <v>4631</v>
      </c>
      <c r="C3225" t="s">
        <v>136</v>
      </c>
      <c r="D3225" t="s">
        <v>359</v>
      </c>
      <c r="E3225" t="s">
        <v>17</v>
      </c>
      <c r="F3225" t="s">
        <v>573</v>
      </c>
      <c r="G3225" s="50" t="s">
        <v>574</v>
      </c>
      <c r="H3225" s="50">
        <v>2</v>
      </c>
      <c r="I3225" s="100">
        <v>6.7391919697301583</v>
      </c>
      <c r="J3225" s="52">
        <v>3834.68</v>
      </c>
      <c r="K3225" s="67">
        <f t="shared" si="204"/>
        <v>119677.28743196731</v>
      </c>
      <c r="L3225" s="95">
        <f>+VLOOKUP(E3225,MARGEN!A:B,2,FALSE)</f>
        <v>0.1</v>
      </c>
      <c r="M3225" s="112">
        <f t="shared" si="201"/>
        <v>11967.728743196732</v>
      </c>
      <c r="N3225" s="113">
        <f t="shared" si="202"/>
        <v>478.70914972786926</v>
      </c>
      <c r="O3225" s="113">
        <f t="shared" si="203"/>
        <v>107230.84953904271</v>
      </c>
    </row>
    <row r="3226" spans="1:15" x14ac:dyDescent="0.25">
      <c r="A3226" s="13">
        <v>44462</v>
      </c>
      <c r="B3226" s="97">
        <v>4271</v>
      </c>
      <c r="C3226" t="s">
        <v>193</v>
      </c>
      <c r="D3226" t="s">
        <v>380</v>
      </c>
      <c r="E3226" t="s">
        <v>17</v>
      </c>
      <c r="F3226" t="s">
        <v>573</v>
      </c>
      <c r="G3226" s="50" t="s">
        <v>574</v>
      </c>
      <c r="H3226" s="50">
        <v>2</v>
      </c>
      <c r="I3226" s="100">
        <v>6.7391919697301583</v>
      </c>
      <c r="J3226" s="52">
        <v>3834.68</v>
      </c>
      <c r="K3226" s="67">
        <f t="shared" si="204"/>
        <v>110373.93535347277</v>
      </c>
      <c r="L3226" s="95">
        <f>+VLOOKUP(E3226,MARGEN!A:B,2,FALSE)</f>
        <v>0.1</v>
      </c>
      <c r="M3226" s="112">
        <f t="shared" si="201"/>
        <v>11037.393535347277</v>
      </c>
      <c r="N3226" s="113">
        <f t="shared" si="202"/>
        <v>441.4957414138911</v>
      </c>
      <c r="O3226" s="113">
        <f t="shared" si="203"/>
        <v>98895.046076711602</v>
      </c>
    </row>
    <row r="3227" spans="1:15" x14ac:dyDescent="0.25">
      <c r="A3227" s="13">
        <v>44462</v>
      </c>
      <c r="B3227" s="97">
        <v>4055</v>
      </c>
      <c r="C3227" t="s">
        <v>148</v>
      </c>
      <c r="D3227" t="s">
        <v>323</v>
      </c>
      <c r="E3227" t="s">
        <v>17</v>
      </c>
      <c r="F3227" t="s">
        <v>558</v>
      </c>
      <c r="G3227" s="50" t="s">
        <v>574</v>
      </c>
      <c r="H3227" s="50">
        <v>2</v>
      </c>
      <c r="I3227" s="100">
        <v>6.7391919697301583</v>
      </c>
      <c r="J3227" s="52">
        <v>3834.68</v>
      </c>
      <c r="K3227" s="67">
        <f t="shared" si="204"/>
        <v>104791.92410637604</v>
      </c>
      <c r="L3227" s="95">
        <f>+VLOOKUP(E3227,MARGEN!A:B,2,FALSE)</f>
        <v>0.1</v>
      </c>
      <c r="M3227" s="112">
        <f t="shared" si="201"/>
        <v>10479.192410637605</v>
      </c>
      <c r="N3227" s="113">
        <f t="shared" si="202"/>
        <v>419.16769642550418</v>
      </c>
      <c r="O3227" s="113">
        <f t="shared" si="203"/>
        <v>93893.56399931293</v>
      </c>
    </row>
    <row r="3228" spans="1:15" x14ac:dyDescent="0.25">
      <c r="A3228" s="13">
        <v>44462</v>
      </c>
      <c r="B3228" s="97">
        <v>3959</v>
      </c>
      <c r="C3228" t="s">
        <v>301</v>
      </c>
      <c r="D3228" t="s">
        <v>521</v>
      </c>
      <c r="E3228" t="s">
        <v>17</v>
      </c>
      <c r="F3228" t="s">
        <v>558</v>
      </c>
      <c r="G3228" s="50" t="s">
        <v>574</v>
      </c>
      <c r="H3228" s="50">
        <v>2</v>
      </c>
      <c r="I3228" s="100">
        <v>6.7391919697301583</v>
      </c>
      <c r="J3228" s="52">
        <v>3834.68</v>
      </c>
      <c r="K3228" s="67">
        <f t="shared" si="204"/>
        <v>102311.03021877749</v>
      </c>
      <c r="L3228" s="95">
        <f>+VLOOKUP(E3228,MARGEN!A:B,2,FALSE)</f>
        <v>0.1</v>
      </c>
      <c r="M3228" s="112">
        <f t="shared" si="201"/>
        <v>10231.103021877751</v>
      </c>
      <c r="N3228" s="113">
        <f t="shared" si="202"/>
        <v>409.24412087510996</v>
      </c>
      <c r="O3228" s="113">
        <f t="shared" si="203"/>
        <v>91670.683076024638</v>
      </c>
    </row>
    <row r="3229" spans="1:15" x14ac:dyDescent="0.25">
      <c r="A3229" s="13">
        <v>44462</v>
      </c>
      <c r="B3229" s="97">
        <v>3887</v>
      </c>
      <c r="C3229" t="s">
        <v>293</v>
      </c>
      <c r="D3229" t="s">
        <v>499</v>
      </c>
      <c r="E3229" t="s">
        <v>17</v>
      </c>
      <c r="F3229" t="s">
        <v>573</v>
      </c>
      <c r="G3229" s="50" t="s">
        <v>574</v>
      </c>
      <c r="H3229" s="50">
        <v>2</v>
      </c>
      <c r="I3229" s="100">
        <v>6.7391919697301583</v>
      </c>
      <c r="J3229" s="52">
        <v>3834.68</v>
      </c>
      <c r="K3229" s="67">
        <f t="shared" si="204"/>
        <v>100450.35980307858</v>
      </c>
      <c r="L3229" s="95">
        <f>+VLOOKUP(E3229,MARGEN!A:B,2,FALSE)</f>
        <v>0.1</v>
      </c>
      <c r="M3229" s="112">
        <f t="shared" si="201"/>
        <v>10045.035980307859</v>
      </c>
      <c r="N3229" s="113">
        <f t="shared" si="202"/>
        <v>401.80143921231434</v>
      </c>
      <c r="O3229" s="113">
        <f t="shared" si="203"/>
        <v>90003.522383558404</v>
      </c>
    </row>
    <row r="3230" spans="1:15" x14ac:dyDescent="0.25">
      <c r="A3230" s="13">
        <v>44462</v>
      </c>
      <c r="B3230" s="97">
        <v>3791</v>
      </c>
      <c r="C3230" t="s">
        <v>144</v>
      </c>
      <c r="D3230" t="s">
        <v>343</v>
      </c>
      <c r="E3230" t="s">
        <v>17</v>
      </c>
      <c r="F3230" t="s">
        <v>573</v>
      </c>
      <c r="G3230" s="50" t="s">
        <v>574</v>
      </c>
      <c r="H3230" s="50">
        <v>2</v>
      </c>
      <c r="I3230" s="100">
        <v>6.7391919697301583</v>
      </c>
      <c r="J3230" s="52">
        <v>3834.68</v>
      </c>
      <c r="K3230" s="67">
        <f t="shared" si="204"/>
        <v>97969.465915480032</v>
      </c>
      <c r="L3230" s="95">
        <f>+VLOOKUP(E3230,MARGEN!A:B,2,FALSE)</f>
        <v>0.1</v>
      </c>
      <c r="M3230" s="112">
        <f t="shared" si="201"/>
        <v>9796.9465915480032</v>
      </c>
      <c r="N3230" s="113">
        <f t="shared" si="202"/>
        <v>391.87786366192012</v>
      </c>
      <c r="O3230" s="113">
        <f t="shared" si="203"/>
        <v>87780.641460270112</v>
      </c>
    </row>
    <row r="3231" spans="1:15" x14ac:dyDescent="0.25">
      <c r="A3231" s="13">
        <v>44462</v>
      </c>
      <c r="B3231" s="97">
        <v>3623</v>
      </c>
      <c r="C3231" t="s">
        <v>149</v>
      </c>
      <c r="D3231" t="s">
        <v>325</v>
      </c>
      <c r="E3231" t="s">
        <v>17</v>
      </c>
      <c r="F3231" t="s">
        <v>573</v>
      </c>
      <c r="G3231" s="50" t="s">
        <v>574</v>
      </c>
      <c r="H3231" s="50">
        <v>2</v>
      </c>
      <c r="I3231" s="100">
        <v>6.7391919697301583</v>
      </c>
      <c r="J3231" s="52">
        <v>3834.68</v>
      </c>
      <c r="K3231" s="67">
        <f t="shared" si="204"/>
        <v>93627.901612182584</v>
      </c>
      <c r="L3231" s="95">
        <f>+VLOOKUP(E3231,MARGEN!A:B,2,FALSE)</f>
        <v>0.1</v>
      </c>
      <c r="M3231" s="112">
        <f t="shared" si="201"/>
        <v>9362.7901612182595</v>
      </c>
      <c r="N3231" s="113">
        <f t="shared" si="202"/>
        <v>374.51160644873033</v>
      </c>
      <c r="O3231" s="113">
        <f t="shared" si="203"/>
        <v>83890.599844515586</v>
      </c>
    </row>
    <row r="3232" spans="1:15" x14ac:dyDescent="0.25">
      <c r="A3232" s="13">
        <v>44462</v>
      </c>
      <c r="B3232" s="97">
        <v>3599</v>
      </c>
      <c r="C3232" t="s">
        <v>192</v>
      </c>
      <c r="D3232" t="s">
        <v>347</v>
      </c>
      <c r="E3232" t="s">
        <v>17</v>
      </c>
      <c r="F3232" t="s">
        <v>573</v>
      </c>
      <c r="G3232" s="50" t="s">
        <v>574</v>
      </c>
      <c r="H3232" s="50">
        <v>2</v>
      </c>
      <c r="I3232" s="100">
        <v>6.7391919697301583</v>
      </c>
      <c r="J3232" s="52">
        <v>3834.68</v>
      </c>
      <c r="K3232" s="67">
        <f t="shared" si="204"/>
        <v>93007.678140282951</v>
      </c>
      <c r="L3232" s="95">
        <f>+VLOOKUP(E3232,MARGEN!A:B,2,FALSE)</f>
        <v>0.1</v>
      </c>
      <c r="M3232" s="112">
        <f t="shared" si="201"/>
        <v>9300.7678140282951</v>
      </c>
      <c r="N3232" s="113">
        <f t="shared" si="202"/>
        <v>372.03071256113179</v>
      </c>
      <c r="O3232" s="113">
        <f t="shared" si="203"/>
        <v>83334.879613693527</v>
      </c>
    </row>
    <row r="3233" spans="1:15" x14ac:dyDescent="0.25">
      <c r="A3233" s="13">
        <v>44462</v>
      </c>
      <c r="B3233" s="97">
        <v>3479</v>
      </c>
      <c r="C3233" t="s">
        <v>165</v>
      </c>
      <c r="D3233" t="s">
        <v>375</v>
      </c>
      <c r="E3233" t="s">
        <v>17</v>
      </c>
      <c r="F3233" t="s">
        <v>573</v>
      </c>
      <c r="G3233" s="50" t="s">
        <v>574</v>
      </c>
      <c r="H3233" s="50">
        <v>2</v>
      </c>
      <c r="I3233" s="100">
        <v>6.7391919697301583</v>
      </c>
      <c r="J3233" s="52">
        <v>3834.68</v>
      </c>
      <c r="K3233" s="67">
        <f t="shared" si="204"/>
        <v>89906.56078078477</v>
      </c>
      <c r="L3233" s="95">
        <f>+VLOOKUP(E3233,MARGEN!A:B,2,FALSE)</f>
        <v>0.1</v>
      </c>
      <c r="M3233" s="112">
        <f t="shared" si="201"/>
        <v>8990.6560780784766</v>
      </c>
      <c r="N3233" s="113">
        <f t="shared" si="202"/>
        <v>359.62624312313909</v>
      </c>
      <c r="O3233" s="113">
        <f t="shared" si="203"/>
        <v>80556.278459583147</v>
      </c>
    </row>
    <row r="3234" spans="1:15" x14ac:dyDescent="0.25">
      <c r="A3234" s="13">
        <v>44462</v>
      </c>
      <c r="B3234" s="97">
        <v>3383</v>
      </c>
      <c r="C3234" t="s">
        <v>135</v>
      </c>
      <c r="D3234" t="s">
        <v>533</v>
      </c>
      <c r="E3234" t="s">
        <v>17</v>
      </c>
      <c r="F3234" t="s">
        <v>558</v>
      </c>
      <c r="G3234" s="50" t="s">
        <v>574</v>
      </c>
      <c r="H3234" s="50">
        <v>2</v>
      </c>
      <c r="I3234" s="100">
        <v>6.7391919697301583</v>
      </c>
      <c r="J3234" s="52">
        <v>3834.68</v>
      </c>
      <c r="K3234" s="67">
        <f t="shared" si="204"/>
        <v>87425.666893186222</v>
      </c>
      <c r="L3234" s="95">
        <f>+VLOOKUP(E3234,MARGEN!A:B,2,FALSE)</f>
        <v>0.1</v>
      </c>
      <c r="M3234" s="112">
        <f t="shared" si="201"/>
        <v>8742.5666893186226</v>
      </c>
      <c r="N3234" s="113">
        <f t="shared" si="202"/>
        <v>349.70266757274487</v>
      </c>
      <c r="O3234" s="113">
        <f t="shared" si="203"/>
        <v>78333.397536294855</v>
      </c>
    </row>
    <row r="3235" spans="1:15" x14ac:dyDescent="0.25">
      <c r="A3235" s="13">
        <v>44462</v>
      </c>
      <c r="B3235" s="97">
        <v>3359</v>
      </c>
      <c r="C3235" t="s">
        <v>309</v>
      </c>
      <c r="D3235" t="s">
        <v>544</v>
      </c>
      <c r="E3235" t="s">
        <v>17</v>
      </c>
      <c r="F3235" t="s">
        <v>573</v>
      </c>
      <c r="G3235" s="50" t="s">
        <v>574</v>
      </c>
      <c r="H3235" s="50">
        <v>2</v>
      </c>
      <c r="I3235" s="100">
        <v>6.7391919697301583</v>
      </c>
      <c r="J3235" s="52">
        <v>3834.68</v>
      </c>
      <c r="K3235" s="67">
        <f t="shared" si="204"/>
        <v>86805.443421286589</v>
      </c>
      <c r="L3235" s="95">
        <f>+VLOOKUP(E3235,MARGEN!A:B,2,FALSE)</f>
        <v>0.1</v>
      </c>
      <c r="M3235" s="112">
        <f t="shared" si="201"/>
        <v>8680.54434212866</v>
      </c>
      <c r="N3235" s="113">
        <f t="shared" si="202"/>
        <v>347.22177368514633</v>
      </c>
      <c r="O3235" s="113">
        <f t="shared" si="203"/>
        <v>77777.677305472782</v>
      </c>
    </row>
    <row r="3236" spans="1:15" x14ac:dyDescent="0.25">
      <c r="A3236" s="13">
        <v>44462</v>
      </c>
      <c r="B3236" s="97">
        <v>2903</v>
      </c>
      <c r="C3236" t="s">
        <v>134</v>
      </c>
      <c r="D3236" t="s">
        <v>362</v>
      </c>
      <c r="E3236" t="s">
        <v>17</v>
      </c>
      <c r="F3236" t="s">
        <v>573</v>
      </c>
      <c r="G3236" s="50" t="s">
        <v>574</v>
      </c>
      <c r="H3236" s="50">
        <v>2</v>
      </c>
      <c r="I3236" s="100">
        <v>6.7391919697301583</v>
      </c>
      <c r="J3236" s="52">
        <v>3834.68</v>
      </c>
      <c r="K3236" s="67">
        <f t="shared" si="204"/>
        <v>75021.197455193484</v>
      </c>
      <c r="L3236" s="95">
        <f>+VLOOKUP(E3236,MARGEN!A:B,2,FALSE)</f>
        <v>0.1</v>
      </c>
      <c r="M3236" s="112">
        <f t="shared" si="201"/>
        <v>7502.1197455193487</v>
      </c>
      <c r="N3236" s="113">
        <f t="shared" si="202"/>
        <v>300.08478982077395</v>
      </c>
      <c r="O3236" s="113">
        <f t="shared" si="203"/>
        <v>67218.992919853365</v>
      </c>
    </row>
    <row r="3237" spans="1:15" x14ac:dyDescent="0.25">
      <c r="A3237" s="13">
        <v>44462</v>
      </c>
      <c r="B3237" s="97">
        <v>2783</v>
      </c>
      <c r="C3237" t="s">
        <v>131</v>
      </c>
      <c r="D3237" t="s">
        <v>344</v>
      </c>
      <c r="E3237" t="s">
        <v>17</v>
      </c>
      <c r="F3237" t="s">
        <v>573</v>
      </c>
      <c r="G3237" s="50" t="s">
        <v>574</v>
      </c>
      <c r="H3237" s="50">
        <v>2</v>
      </c>
      <c r="I3237" s="100">
        <v>6.7391919697301583</v>
      </c>
      <c r="J3237" s="52">
        <v>3834.68</v>
      </c>
      <c r="K3237" s="67">
        <f t="shared" si="204"/>
        <v>71920.080095695317</v>
      </c>
      <c r="L3237" s="95">
        <f>+VLOOKUP(E3237,MARGEN!A:B,2,FALSE)</f>
        <v>0.1</v>
      </c>
      <c r="M3237" s="112">
        <f t="shared" si="201"/>
        <v>7192.0080095695321</v>
      </c>
      <c r="N3237" s="113">
        <f t="shared" si="202"/>
        <v>287.68032038278125</v>
      </c>
      <c r="O3237" s="113">
        <f t="shared" si="203"/>
        <v>64440.391765743007</v>
      </c>
    </row>
    <row r="3238" spans="1:15" x14ac:dyDescent="0.25">
      <c r="A3238" s="13">
        <v>44462</v>
      </c>
      <c r="B3238" s="97">
        <v>2783</v>
      </c>
      <c r="C3238" t="s">
        <v>189</v>
      </c>
      <c r="D3238" t="s">
        <v>431</v>
      </c>
      <c r="E3238" t="s">
        <v>17</v>
      </c>
      <c r="F3238" t="s">
        <v>558</v>
      </c>
      <c r="G3238" s="50" t="s">
        <v>574</v>
      </c>
      <c r="H3238" s="50">
        <v>2</v>
      </c>
      <c r="I3238" s="100">
        <v>6.7391919697301583</v>
      </c>
      <c r="J3238" s="52">
        <v>3834.68</v>
      </c>
      <c r="K3238" s="67">
        <f t="shared" si="204"/>
        <v>71920.080095695317</v>
      </c>
      <c r="L3238" s="95">
        <f>+VLOOKUP(E3238,MARGEN!A:B,2,FALSE)</f>
        <v>0.1</v>
      </c>
      <c r="M3238" s="112">
        <f t="shared" si="201"/>
        <v>7192.0080095695321</v>
      </c>
      <c r="N3238" s="113">
        <f t="shared" si="202"/>
        <v>287.68032038278125</v>
      </c>
      <c r="O3238" s="113">
        <f t="shared" si="203"/>
        <v>64440.391765743007</v>
      </c>
    </row>
    <row r="3239" spans="1:15" x14ac:dyDescent="0.25">
      <c r="A3239" s="13">
        <v>44462</v>
      </c>
      <c r="B3239" s="97">
        <v>2711</v>
      </c>
      <c r="C3239" t="s">
        <v>132</v>
      </c>
      <c r="D3239" t="s">
        <v>376</v>
      </c>
      <c r="E3239" t="s">
        <v>17</v>
      </c>
      <c r="F3239" t="s">
        <v>573</v>
      </c>
      <c r="G3239" s="50" t="s">
        <v>574</v>
      </c>
      <c r="H3239" s="50">
        <v>2</v>
      </c>
      <c r="I3239" s="100">
        <v>6.7391919697301583</v>
      </c>
      <c r="J3239" s="52">
        <v>3834.68</v>
      </c>
      <c r="K3239" s="67">
        <f t="shared" si="204"/>
        <v>70059.409679996417</v>
      </c>
      <c r="L3239" s="95">
        <f>+VLOOKUP(E3239,MARGEN!A:B,2,FALSE)</f>
        <v>0.1</v>
      </c>
      <c r="M3239" s="112">
        <f t="shared" si="201"/>
        <v>7005.9409679996425</v>
      </c>
      <c r="N3239" s="113">
        <f t="shared" si="202"/>
        <v>280.23763871998568</v>
      </c>
      <c r="O3239" s="113">
        <f t="shared" si="203"/>
        <v>62773.231073276787</v>
      </c>
    </row>
    <row r="3240" spans="1:15" x14ac:dyDescent="0.25">
      <c r="A3240" s="13">
        <v>44462</v>
      </c>
      <c r="B3240" s="97">
        <v>2663</v>
      </c>
      <c r="C3240" t="s">
        <v>186</v>
      </c>
      <c r="D3240" t="s">
        <v>440</v>
      </c>
      <c r="E3240" t="s">
        <v>17</v>
      </c>
      <c r="F3240" t="s">
        <v>573</v>
      </c>
      <c r="G3240" s="50" t="s">
        <v>574</v>
      </c>
      <c r="H3240" s="50">
        <v>2</v>
      </c>
      <c r="I3240" s="100">
        <v>6.7391919697301583</v>
      </c>
      <c r="J3240" s="52">
        <v>3834.68</v>
      </c>
      <c r="K3240" s="67">
        <f t="shared" si="204"/>
        <v>68818.962736197136</v>
      </c>
      <c r="L3240" s="95">
        <f>+VLOOKUP(E3240,MARGEN!A:B,2,FALSE)</f>
        <v>0.1</v>
      </c>
      <c r="M3240" s="112">
        <f t="shared" si="201"/>
        <v>6881.8962736197136</v>
      </c>
      <c r="N3240" s="113">
        <f t="shared" si="202"/>
        <v>275.27585094478854</v>
      </c>
      <c r="O3240" s="113">
        <f t="shared" si="203"/>
        <v>61661.790611632634</v>
      </c>
    </row>
    <row r="3241" spans="1:15" x14ac:dyDescent="0.25">
      <c r="A3241" s="13">
        <v>44462</v>
      </c>
      <c r="B3241" s="97">
        <v>2567</v>
      </c>
      <c r="C3241" t="s">
        <v>310</v>
      </c>
      <c r="D3241" t="s">
        <v>540</v>
      </c>
      <c r="E3241" t="s">
        <v>17</v>
      </c>
      <c r="F3241" t="s">
        <v>573</v>
      </c>
      <c r="G3241" s="50" t="s">
        <v>574</v>
      </c>
      <c r="H3241" s="50">
        <v>2</v>
      </c>
      <c r="I3241" s="100">
        <v>6.7391919697301583</v>
      </c>
      <c r="J3241" s="52">
        <v>3834.68</v>
      </c>
      <c r="K3241" s="67">
        <f t="shared" si="204"/>
        <v>66338.068848598588</v>
      </c>
      <c r="L3241" s="95">
        <f>+VLOOKUP(E3241,MARGEN!A:B,2,FALSE)</f>
        <v>0.1</v>
      </c>
      <c r="M3241" s="112">
        <f t="shared" si="201"/>
        <v>6633.8068848598596</v>
      </c>
      <c r="N3241" s="113">
        <f t="shared" si="202"/>
        <v>265.35227539439433</v>
      </c>
      <c r="O3241" s="113">
        <f t="shared" si="203"/>
        <v>59438.909688344334</v>
      </c>
    </row>
    <row r="3242" spans="1:15" x14ac:dyDescent="0.25">
      <c r="A3242" s="13">
        <v>44462</v>
      </c>
      <c r="B3242" s="97">
        <v>2567</v>
      </c>
      <c r="C3242" t="s">
        <v>146</v>
      </c>
      <c r="D3242" t="s">
        <v>348</v>
      </c>
      <c r="E3242" t="s">
        <v>17</v>
      </c>
      <c r="F3242" t="s">
        <v>573</v>
      </c>
      <c r="G3242" s="50" t="s">
        <v>574</v>
      </c>
      <c r="H3242" s="50">
        <v>2</v>
      </c>
      <c r="I3242" s="100">
        <v>6.7391919697301583</v>
      </c>
      <c r="J3242" s="52">
        <v>3834.68</v>
      </c>
      <c r="K3242" s="67">
        <f t="shared" si="204"/>
        <v>66338.068848598588</v>
      </c>
      <c r="L3242" s="95">
        <f>+VLOOKUP(E3242,MARGEN!A:B,2,FALSE)</f>
        <v>0.1</v>
      </c>
      <c r="M3242" s="112">
        <f t="shared" si="201"/>
        <v>6633.8068848598596</v>
      </c>
      <c r="N3242" s="113">
        <f t="shared" si="202"/>
        <v>265.35227539439433</v>
      </c>
      <c r="O3242" s="113">
        <f t="shared" si="203"/>
        <v>59438.909688344334</v>
      </c>
    </row>
    <row r="3243" spans="1:15" x14ac:dyDescent="0.25">
      <c r="A3243" s="13">
        <v>44462</v>
      </c>
      <c r="B3243" s="97">
        <v>2543</v>
      </c>
      <c r="C3243" t="s">
        <v>163</v>
      </c>
      <c r="D3243" t="s">
        <v>398</v>
      </c>
      <c r="E3243" t="s">
        <v>17</v>
      </c>
      <c r="F3243" t="s">
        <v>573</v>
      </c>
      <c r="G3243" s="50" t="s">
        <v>574</v>
      </c>
      <c r="H3243" s="50">
        <v>2</v>
      </c>
      <c r="I3243" s="100">
        <v>6.7391919697301583</v>
      </c>
      <c r="J3243" s="52">
        <v>3834.68</v>
      </c>
      <c r="K3243" s="67">
        <f t="shared" si="204"/>
        <v>65717.84537669897</v>
      </c>
      <c r="L3243" s="95">
        <f>+VLOOKUP(E3243,MARGEN!A:B,2,FALSE)</f>
        <v>0.1</v>
      </c>
      <c r="M3243" s="112">
        <f t="shared" si="201"/>
        <v>6571.784537669897</v>
      </c>
      <c r="N3243" s="113">
        <f t="shared" si="202"/>
        <v>262.8713815067959</v>
      </c>
      <c r="O3243" s="113">
        <f t="shared" si="203"/>
        <v>58883.189457522276</v>
      </c>
    </row>
    <row r="3244" spans="1:15" x14ac:dyDescent="0.25">
      <c r="A3244" s="13">
        <v>44462</v>
      </c>
      <c r="B3244" s="97">
        <v>2519</v>
      </c>
      <c r="C3244" t="s">
        <v>127</v>
      </c>
      <c r="D3244" t="s">
        <v>411</v>
      </c>
      <c r="E3244" t="s">
        <v>17</v>
      </c>
      <c r="F3244" t="s">
        <v>573</v>
      </c>
      <c r="G3244" s="50" t="s">
        <v>574</v>
      </c>
      <c r="H3244" s="50">
        <v>2</v>
      </c>
      <c r="I3244" s="100">
        <v>6.7391919697301583</v>
      </c>
      <c r="J3244" s="52">
        <v>3834.68</v>
      </c>
      <c r="K3244" s="67">
        <f t="shared" si="204"/>
        <v>65097.621904799322</v>
      </c>
      <c r="L3244" s="95">
        <f>+VLOOKUP(E3244,MARGEN!A:B,2,FALSE)</f>
        <v>0.1</v>
      </c>
      <c r="M3244" s="112">
        <f t="shared" si="201"/>
        <v>6509.7621904799325</v>
      </c>
      <c r="N3244" s="113">
        <f t="shared" si="202"/>
        <v>260.3904876191973</v>
      </c>
      <c r="O3244" s="113">
        <f t="shared" si="203"/>
        <v>58327.469226700196</v>
      </c>
    </row>
    <row r="3245" spans="1:15" x14ac:dyDescent="0.25">
      <c r="A3245" s="13">
        <v>44462</v>
      </c>
      <c r="B3245" s="97">
        <v>2447</v>
      </c>
      <c r="C3245" t="s">
        <v>162</v>
      </c>
      <c r="D3245" t="s">
        <v>391</v>
      </c>
      <c r="E3245" t="s">
        <v>17</v>
      </c>
      <c r="F3245" t="s">
        <v>558</v>
      </c>
      <c r="G3245" s="50" t="s">
        <v>574</v>
      </c>
      <c r="H3245" s="50">
        <v>2</v>
      </c>
      <c r="I3245" s="100">
        <v>6.7391919697301583</v>
      </c>
      <c r="J3245" s="52">
        <v>3834.68</v>
      </c>
      <c r="K3245" s="67">
        <f t="shared" si="204"/>
        <v>63236.951489100415</v>
      </c>
      <c r="L3245" s="95">
        <f>+VLOOKUP(E3245,MARGEN!A:B,2,FALSE)</f>
        <v>0.1</v>
      </c>
      <c r="M3245" s="112">
        <f t="shared" si="201"/>
        <v>6323.695148910042</v>
      </c>
      <c r="N3245" s="113">
        <f t="shared" si="202"/>
        <v>252.94780595640165</v>
      </c>
      <c r="O3245" s="113">
        <f t="shared" si="203"/>
        <v>56660.308534233976</v>
      </c>
    </row>
    <row r="3246" spans="1:15" x14ac:dyDescent="0.25">
      <c r="A3246" s="13">
        <v>44462</v>
      </c>
      <c r="B3246" s="97">
        <v>2423</v>
      </c>
      <c r="C3246" t="s">
        <v>281</v>
      </c>
      <c r="D3246" t="s">
        <v>495</v>
      </c>
      <c r="E3246" t="s">
        <v>17</v>
      </c>
      <c r="F3246" t="s">
        <v>573</v>
      </c>
      <c r="G3246" s="50" t="s">
        <v>574</v>
      </c>
      <c r="H3246" s="50">
        <v>2</v>
      </c>
      <c r="I3246" s="100">
        <v>6.7391919697301583</v>
      </c>
      <c r="J3246" s="52">
        <v>3834.68</v>
      </c>
      <c r="K3246" s="67">
        <f t="shared" si="204"/>
        <v>62616.728017200774</v>
      </c>
      <c r="L3246" s="95">
        <f>+VLOOKUP(E3246,MARGEN!A:B,2,FALSE)</f>
        <v>0.1</v>
      </c>
      <c r="M3246" s="112">
        <f t="shared" si="201"/>
        <v>6261.6728017200776</v>
      </c>
      <c r="N3246" s="113">
        <f t="shared" si="202"/>
        <v>250.46691206880308</v>
      </c>
      <c r="O3246" s="113">
        <f t="shared" si="203"/>
        <v>56104.588303411889</v>
      </c>
    </row>
    <row r="3247" spans="1:15" x14ac:dyDescent="0.25">
      <c r="A3247" s="13">
        <v>44462</v>
      </c>
      <c r="B3247" s="97">
        <v>2327</v>
      </c>
      <c r="C3247" t="s">
        <v>156</v>
      </c>
      <c r="D3247" t="s">
        <v>429</v>
      </c>
      <c r="E3247" t="s">
        <v>17</v>
      </c>
      <c r="F3247" t="s">
        <v>573</v>
      </c>
      <c r="G3247" s="50" t="s">
        <v>574</v>
      </c>
      <c r="H3247" s="50">
        <v>2</v>
      </c>
      <c r="I3247" s="100">
        <v>6.7391919697301583</v>
      </c>
      <c r="J3247" s="52">
        <v>3834.68</v>
      </c>
      <c r="K3247" s="67">
        <f t="shared" si="204"/>
        <v>60135.834129602234</v>
      </c>
      <c r="L3247" s="95">
        <f>+VLOOKUP(E3247,MARGEN!A:B,2,FALSE)</f>
        <v>0.1</v>
      </c>
      <c r="M3247" s="112">
        <f t="shared" si="201"/>
        <v>6013.5834129602235</v>
      </c>
      <c r="N3247" s="113">
        <f t="shared" si="202"/>
        <v>240.54333651840892</v>
      </c>
      <c r="O3247" s="113">
        <f t="shared" si="203"/>
        <v>53881.707380123604</v>
      </c>
    </row>
    <row r="3248" spans="1:15" x14ac:dyDescent="0.25">
      <c r="A3248" s="13">
        <v>44462</v>
      </c>
      <c r="B3248" s="97">
        <v>2303</v>
      </c>
      <c r="C3248" t="s">
        <v>128</v>
      </c>
      <c r="D3248" t="s">
        <v>416</v>
      </c>
      <c r="E3248" t="s">
        <v>17</v>
      </c>
      <c r="F3248" t="s">
        <v>573</v>
      </c>
      <c r="G3248" s="50" t="s">
        <v>574</v>
      </c>
      <c r="H3248" s="50">
        <v>2</v>
      </c>
      <c r="I3248" s="100">
        <v>6.7391919697301583</v>
      </c>
      <c r="J3248" s="52">
        <v>3834.68</v>
      </c>
      <c r="K3248" s="67">
        <f t="shared" si="204"/>
        <v>59515.610657702593</v>
      </c>
      <c r="L3248" s="95">
        <f>+VLOOKUP(E3248,MARGEN!A:B,2,FALSE)</f>
        <v>0.1</v>
      </c>
      <c r="M3248" s="112">
        <f t="shared" si="201"/>
        <v>5951.56106577026</v>
      </c>
      <c r="N3248" s="113">
        <f t="shared" si="202"/>
        <v>238.06244263081038</v>
      </c>
      <c r="O3248" s="113">
        <f t="shared" si="203"/>
        <v>53325.987149301516</v>
      </c>
    </row>
    <row r="3249" spans="1:15" x14ac:dyDescent="0.25">
      <c r="A3249" s="13">
        <v>44462</v>
      </c>
      <c r="B3249" s="97">
        <v>2303</v>
      </c>
      <c r="C3249" t="s">
        <v>130</v>
      </c>
      <c r="D3249" t="s">
        <v>367</v>
      </c>
      <c r="E3249" t="s">
        <v>17</v>
      </c>
      <c r="F3249" t="s">
        <v>573</v>
      </c>
      <c r="G3249" s="50" t="s">
        <v>574</v>
      </c>
      <c r="H3249" s="50">
        <v>2</v>
      </c>
      <c r="I3249" s="100">
        <v>6.7391919697301583</v>
      </c>
      <c r="J3249" s="52">
        <v>3834.68</v>
      </c>
      <c r="K3249" s="67">
        <f t="shared" si="204"/>
        <v>59515.610657702593</v>
      </c>
      <c r="L3249" s="95">
        <f>+VLOOKUP(E3249,MARGEN!A:B,2,FALSE)</f>
        <v>0.1</v>
      </c>
      <c r="M3249" s="112">
        <f t="shared" si="201"/>
        <v>5951.56106577026</v>
      </c>
      <c r="N3249" s="113">
        <f t="shared" si="202"/>
        <v>238.06244263081038</v>
      </c>
      <c r="O3249" s="113">
        <f t="shared" si="203"/>
        <v>53325.987149301516</v>
      </c>
    </row>
    <row r="3250" spans="1:15" x14ac:dyDescent="0.25">
      <c r="A3250" s="13">
        <v>44462</v>
      </c>
      <c r="B3250" s="97">
        <v>2255</v>
      </c>
      <c r="C3250" t="s">
        <v>305</v>
      </c>
      <c r="D3250" t="s">
        <v>523</v>
      </c>
      <c r="E3250" t="s">
        <v>17</v>
      </c>
      <c r="F3250" t="s">
        <v>558</v>
      </c>
      <c r="G3250" s="50" t="s">
        <v>574</v>
      </c>
      <c r="H3250" s="50">
        <v>2</v>
      </c>
      <c r="I3250" s="100">
        <v>6.7391919697301583</v>
      </c>
      <c r="J3250" s="52">
        <v>3834.68</v>
      </c>
      <c r="K3250" s="67">
        <f t="shared" si="204"/>
        <v>58275.163713903326</v>
      </c>
      <c r="L3250" s="95">
        <f>+VLOOKUP(E3250,MARGEN!A:B,2,FALSE)</f>
        <v>0.1</v>
      </c>
      <c r="M3250" s="112">
        <f t="shared" si="201"/>
        <v>5827.516371390333</v>
      </c>
      <c r="N3250" s="113">
        <f t="shared" si="202"/>
        <v>233.1006548556133</v>
      </c>
      <c r="O3250" s="113">
        <f t="shared" si="203"/>
        <v>52214.546687657385</v>
      </c>
    </row>
    <row r="3251" spans="1:15" x14ac:dyDescent="0.25">
      <c r="A3251" s="13">
        <v>44462</v>
      </c>
      <c r="B3251" s="97">
        <v>2255</v>
      </c>
      <c r="C3251" t="s">
        <v>283</v>
      </c>
      <c r="D3251" t="s">
        <v>543</v>
      </c>
      <c r="E3251" t="s">
        <v>17</v>
      </c>
      <c r="F3251" t="s">
        <v>558</v>
      </c>
      <c r="G3251" s="50" t="s">
        <v>574</v>
      </c>
      <c r="H3251" s="50">
        <v>2</v>
      </c>
      <c r="I3251" s="100">
        <v>6.7391919697301583</v>
      </c>
      <c r="J3251" s="52">
        <v>3834.68</v>
      </c>
      <c r="K3251" s="67">
        <f t="shared" si="204"/>
        <v>58275.163713903326</v>
      </c>
      <c r="L3251" s="95">
        <f>+VLOOKUP(E3251,MARGEN!A:B,2,FALSE)</f>
        <v>0.1</v>
      </c>
      <c r="M3251" s="112">
        <f t="shared" si="201"/>
        <v>5827.516371390333</v>
      </c>
      <c r="N3251" s="113">
        <f t="shared" si="202"/>
        <v>233.1006548556133</v>
      </c>
      <c r="O3251" s="113">
        <f t="shared" si="203"/>
        <v>52214.546687657385</v>
      </c>
    </row>
    <row r="3252" spans="1:15" x14ac:dyDescent="0.25">
      <c r="A3252" s="13">
        <v>44462</v>
      </c>
      <c r="B3252" s="97">
        <v>2255</v>
      </c>
      <c r="C3252" t="s">
        <v>122</v>
      </c>
      <c r="D3252" t="s">
        <v>446</v>
      </c>
      <c r="E3252" t="s">
        <v>17</v>
      </c>
      <c r="F3252" t="s">
        <v>573</v>
      </c>
      <c r="G3252" s="50" t="s">
        <v>574</v>
      </c>
      <c r="H3252" s="50">
        <v>2</v>
      </c>
      <c r="I3252" s="100">
        <v>6.7391919697301583</v>
      </c>
      <c r="J3252" s="52">
        <v>3834.68</v>
      </c>
      <c r="K3252" s="67">
        <f t="shared" si="204"/>
        <v>58275.163713903326</v>
      </c>
      <c r="L3252" s="95">
        <f>+VLOOKUP(E3252,MARGEN!A:B,2,FALSE)</f>
        <v>0.1</v>
      </c>
      <c r="M3252" s="112">
        <f t="shared" si="201"/>
        <v>5827.516371390333</v>
      </c>
      <c r="N3252" s="113">
        <f t="shared" si="202"/>
        <v>233.1006548556133</v>
      </c>
      <c r="O3252" s="113">
        <f t="shared" si="203"/>
        <v>52214.546687657385</v>
      </c>
    </row>
    <row r="3253" spans="1:15" x14ac:dyDescent="0.25">
      <c r="A3253" s="13">
        <v>44462</v>
      </c>
      <c r="B3253" s="97">
        <v>2231</v>
      </c>
      <c r="C3253" t="s">
        <v>284</v>
      </c>
      <c r="D3253" t="s">
        <v>525</v>
      </c>
      <c r="E3253" t="s">
        <v>17</v>
      </c>
      <c r="F3253" t="s">
        <v>558</v>
      </c>
      <c r="G3253" s="50" t="s">
        <v>574</v>
      </c>
      <c r="H3253" s="50">
        <v>2</v>
      </c>
      <c r="I3253" s="100">
        <v>6.7391919697301583</v>
      </c>
      <c r="J3253" s="52">
        <v>3834.68</v>
      </c>
      <c r="K3253" s="67">
        <f t="shared" si="204"/>
        <v>57654.940242003679</v>
      </c>
      <c r="L3253" s="95">
        <f>+VLOOKUP(E3253,MARGEN!A:B,2,FALSE)</f>
        <v>0.1</v>
      </c>
      <c r="M3253" s="112">
        <f t="shared" si="201"/>
        <v>5765.4940242003686</v>
      </c>
      <c r="N3253" s="113">
        <f t="shared" si="202"/>
        <v>230.6197609680147</v>
      </c>
      <c r="O3253" s="113">
        <f t="shared" si="203"/>
        <v>51658.826456835297</v>
      </c>
    </row>
    <row r="3254" spans="1:15" x14ac:dyDescent="0.25">
      <c r="A3254" s="13">
        <v>44462</v>
      </c>
      <c r="B3254" s="97">
        <v>2231</v>
      </c>
      <c r="C3254" t="s">
        <v>126</v>
      </c>
      <c r="D3254" t="s">
        <v>438</v>
      </c>
      <c r="E3254" t="s">
        <v>17</v>
      </c>
      <c r="F3254" t="s">
        <v>573</v>
      </c>
      <c r="G3254" s="50" t="s">
        <v>574</v>
      </c>
      <c r="H3254" s="50">
        <v>2</v>
      </c>
      <c r="I3254" s="100">
        <v>6.7391919697301583</v>
      </c>
      <c r="J3254" s="52">
        <v>3834.68</v>
      </c>
      <c r="K3254" s="67">
        <f t="shared" si="204"/>
        <v>57654.940242003679</v>
      </c>
      <c r="L3254" s="95">
        <f>+VLOOKUP(E3254,MARGEN!A:B,2,FALSE)</f>
        <v>0.1</v>
      </c>
      <c r="M3254" s="112">
        <f t="shared" si="201"/>
        <v>5765.4940242003686</v>
      </c>
      <c r="N3254" s="113">
        <f t="shared" si="202"/>
        <v>230.6197609680147</v>
      </c>
      <c r="O3254" s="113">
        <f t="shared" si="203"/>
        <v>51658.826456835297</v>
      </c>
    </row>
    <row r="3255" spans="1:15" x14ac:dyDescent="0.25">
      <c r="A3255" s="13">
        <v>44462</v>
      </c>
      <c r="B3255" s="97">
        <v>2231</v>
      </c>
      <c r="C3255" t="s">
        <v>157</v>
      </c>
      <c r="D3255" t="s">
        <v>435</v>
      </c>
      <c r="E3255" t="s">
        <v>17</v>
      </c>
      <c r="F3255" t="s">
        <v>573</v>
      </c>
      <c r="G3255" s="50" t="s">
        <v>574</v>
      </c>
      <c r="H3255" s="50">
        <v>2</v>
      </c>
      <c r="I3255" s="100">
        <v>6.7391919697301583</v>
      </c>
      <c r="J3255" s="52">
        <v>3834.68</v>
      </c>
      <c r="K3255" s="67">
        <f t="shared" si="204"/>
        <v>57654.940242003679</v>
      </c>
      <c r="L3255" s="95">
        <f>+VLOOKUP(E3255,MARGEN!A:B,2,FALSE)</f>
        <v>0.1</v>
      </c>
      <c r="M3255" s="112">
        <f t="shared" si="201"/>
        <v>5765.4940242003686</v>
      </c>
      <c r="N3255" s="113">
        <f t="shared" si="202"/>
        <v>230.6197609680147</v>
      </c>
      <c r="O3255" s="113">
        <f t="shared" si="203"/>
        <v>51658.826456835297</v>
      </c>
    </row>
    <row r="3256" spans="1:15" x14ac:dyDescent="0.25">
      <c r="A3256" s="13">
        <v>44462</v>
      </c>
      <c r="B3256" s="97">
        <v>2159</v>
      </c>
      <c r="C3256" t="s">
        <v>282</v>
      </c>
      <c r="D3256" t="s">
        <v>494</v>
      </c>
      <c r="E3256" t="s">
        <v>17</v>
      </c>
      <c r="F3256" t="s">
        <v>558</v>
      </c>
      <c r="G3256" s="50" t="s">
        <v>574</v>
      </c>
      <c r="H3256" s="50">
        <v>2</v>
      </c>
      <c r="I3256" s="100">
        <v>6.7391919697301583</v>
      </c>
      <c r="J3256" s="52">
        <v>3834.68</v>
      </c>
      <c r="K3256" s="67">
        <f t="shared" si="204"/>
        <v>55794.269826304779</v>
      </c>
      <c r="L3256" s="95">
        <f>+VLOOKUP(E3256,MARGEN!A:B,2,FALSE)</f>
        <v>0.1</v>
      </c>
      <c r="M3256" s="112">
        <f t="shared" si="201"/>
        <v>5579.4269826304781</v>
      </c>
      <c r="N3256" s="113">
        <f t="shared" si="202"/>
        <v>223.17707930521911</v>
      </c>
      <c r="O3256" s="113">
        <f t="shared" si="203"/>
        <v>49991.665764369078</v>
      </c>
    </row>
    <row r="3257" spans="1:15" x14ac:dyDescent="0.25">
      <c r="A3257" s="13">
        <v>44462</v>
      </c>
      <c r="B3257" s="97">
        <v>2135</v>
      </c>
      <c r="C3257" t="s">
        <v>312</v>
      </c>
      <c r="D3257" t="s">
        <v>542</v>
      </c>
      <c r="E3257" t="s">
        <v>17</v>
      </c>
      <c r="F3257" t="s">
        <v>573</v>
      </c>
      <c r="G3257" s="50" t="s">
        <v>574</v>
      </c>
      <c r="H3257" s="50">
        <v>2</v>
      </c>
      <c r="I3257" s="100">
        <v>6.7391919697301583</v>
      </c>
      <c r="J3257" s="52">
        <v>3834.68</v>
      </c>
      <c r="K3257" s="67">
        <f t="shared" si="204"/>
        <v>55174.046354405145</v>
      </c>
      <c r="L3257" s="95">
        <f>+VLOOKUP(E3257,MARGEN!A:B,2,FALSE)</f>
        <v>0.1</v>
      </c>
      <c r="M3257" s="112">
        <f t="shared" si="201"/>
        <v>5517.4046354405145</v>
      </c>
      <c r="N3257" s="113">
        <f t="shared" si="202"/>
        <v>220.69618541762057</v>
      </c>
      <c r="O3257" s="113">
        <f t="shared" si="203"/>
        <v>49435.945533547012</v>
      </c>
    </row>
    <row r="3258" spans="1:15" x14ac:dyDescent="0.25">
      <c r="A3258" s="13">
        <v>44462</v>
      </c>
      <c r="B3258" s="97">
        <v>2087</v>
      </c>
      <c r="C3258" t="s">
        <v>306</v>
      </c>
      <c r="D3258" t="s">
        <v>524</v>
      </c>
      <c r="E3258" t="s">
        <v>17</v>
      </c>
      <c r="F3258" t="s">
        <v>558</v>
      </c>
      <c r="G3258" s="50" t="s">
        <v>574</v>
      </c>
      <c r="H3258" s="50">
        <v>2</v>
      </c>
      <c r="I3258" s="100">
        <v>6.7391919697301583</v>
      </c>
      <c r="J3258" s="52">
        <v>3834.68</v>
      </c>
      <c r="K3258" s="67">
        <f t="shared" si="204"/>
        <v>53933.599410605872</v>
      </c>
      <c r="L3258" s="95">
        <f>+VLOOKUP(E3258,MARGEN!A:B,2,FALSE)</f>
        <v>0.1</v>
      </c>
      <c r="M3258" s="112">
        <f t="shared" si="201"/>
        <v>5393.3599410605875</v>
      </c>
      <c r="N3258" s="113">
        <f t="shared" si="202"/>
        <v>215.73439764242349</v>
      </c>
      <c r="O3258" s="113">
        <f t="shared" si="203"/>
        <v>48324.505071902859</v>
      </c>
    </row>
    <row r="3259" spans="1:15" x14ac:dyDescent="0.25">
      <c r="A3259" s="13">
        <v>44462</v>
      </c>
      <c r="B3259" s="97">
        <v>2015</v>
      </c>
      <c r="C3259" t="s">
        <v>123</v>
      </c>
      <c r="D3259" t="s">
        <v>396</v>
      </c>
      <c r="E3259" t="s">
        <v>17</v>
      </c>
      <c r="F3259" t="s">
        <v>573</v>
      </c>
      <c r="G3259" s="50" t="s">
        <v>574</v>
      </c>
      <c r="H3259" s="50">
        <v>2</v>
      </c>
      <c r="I3259" s="100">
        <v>6.7391919697301583</v>
      </c>
      <c r="J3259" s="52">
        <v>3834.68</v>
      </c>
      <c r="K3259" s="67">
        <f t="shared" si="204"/>
        <v>52072.928994906957</v>
      </c>
      <c r="L3259" s="95">
        <f>+VLOOKUP(E3259,MARGEN!A:B,2,FALSE)</f>
        <v>0.1</v>
      </c>
      <c r="M3259" s="112">
        <f t="shared" si="201"/>
        <v>5207.2928994906961</v>
      </c>
      <c r="N3259" s="113">
        <f t="shared" si="202"/>
        <v>208.29171597962784</v>
      </c>
      <c r="O3259" s="113">
        <f t="shared" si="203"/>
        <v>46657.344379436632</v>
      </c>
    </row>
    <row r="3260" spans="1:15" x14ac:dyDescent="0.25">
      <c r="A3260" s="13">
        <v>44462</v>
      </c>
      <c r="B3260" s="97">
        <v>1991</v>
      </c>
      <c r="C3260" t="s">
        <v>295</v>
      </c>
      <c r="D3260" t="s">
        <v>532</v>
      </c>
      <c r="E3260" t="s">
        <v>17</v>
      </c>
      <c r="F3260" t="s">
        <v>573</v>
      </c>
      <c r="G3260" s="50" t="s">
        <v>574</v>
      </c>
      <c r="H3260" s="50">
        <v>2</v>
      </c>
      <c r="I3260" s="100">
        <v>6.7391919697301583</v>
      </c>
      <c r="J3260" s="52">
        <v>3834.68</v>
      </c>
      <c r="K3260" s="67">
        <f t="shared" si="204"/>
        <v>51452.705523007324</v>
      </c>
      <c r="L3260" s="95">
        <f>+VLOOKUP(E3260,MARGEN!A:B,2,FALSE)</f>
        <v>0.1</v>
      </c>
      <c r="M3260" s="112">
        <f t="shared" si="201"/>
        <v>5145.2705523007326</v>
      </c>
      <c r="N3260" s="113">
        <f t="shared" si="202"/>
        <v>205.8108220920293</v>
      </c>
      <c r="O3260" s="113">
        <f t="shared" si="203"/>
        <v>46101.624148614566</v>
      </c>
    </row>
    <row r="3261" spans="1:15" x14ac:dyDescent="0.25">
      <c r="A3261" s="13">
        <v>44462</v>
      </c>
      <c r="B3261" s="97">
        <v>1967</v>
      </c>
      <c r="C3261" t="s">
        <v>155</v>
      </c>
      <c r="D3261" t="s">
        <v>399</v>
      </c>
      <c r="E3261" t="s">
        <v>17</v>
      </c>
      <c r="F3261" t="s">
        <v>573</v>
      </c>
      <c r="G3261" s="50" t="s">
        <v>574</v>
      </c>
      <c r="H3261" s="50">
        <v>2</v>
      </c>
      <c r="I3261" s="100">
        <v>6.7391919697301583</v>
      </c>
      <c r="J3261" s="52">
        <v>3834.68</v>
      </c>
      <c r="K3261" s="67">
        <f t="shared" si="204"/>
        <v>50832.482051107683</v>
      </c>
      <c r="L3261" s="95">
        <f>+VLOOKUP(E3261,MARGEN!A:B,2,FALSE)</f>
        <v>0.1</v>
      </c>
      <c r="M3261" s="112">
        <f t="shared" si="201"/>
        <v>5083.248205110769</v>
      </c>
      <c r="N3261" s="113">
        <f t="shared" si="202"/>
        <v>203.32992820443073</v>
      </c>
      <c r="O3261" s="113">
        <f t="shared" si="203"/>
        <v>45545.903917792486</v>
      </c>
    </row>
    <row r="3262" spans="1:15" x14ac:dyDescent="0.25">
      <c r="A3262" s="13">
        <v>44462</v>
      </c>
      <c r="B3262" s="97">
        <v>1847</v>
      </c>
      <c r="C3262" t="s">
        <v>125</v>
      </c>
      <c r="D3262" t="s">
        <v>341</v>
      </c>
      <c r="E3262" t="s">
        <v>17</v>
      </c>
      <c r="F3262" t="s">
        <v>573</v>
      </c>
      <c r="G3262" s="50" t="s">
        <v>574</v>
      </c>
      <c r="H3262" s="50">
        <v>2</v>
      </c>
      <c r="I3262" s="100">
        <v>6.7391919697301583</v>
      </c>
      <c r="J3262" s="52">
        <v>3834.68</v>
      </c>
      <c r="K3262" s="67">
        <f t="shared" si="204"/>
        <v>47731.364691609502</v>
      </c>
      <c r="L3262" s="95">
        <f>+VLOOKUP(E3262,MARGEN!A:B,2,FALSE)</f>
        <v>0.1</v>
      </c>
      <c r="M3262" s="112">
        <f t="shared" si="201"/>
        <v>4773.1364691609506</v>
      </c>
      <c r="N3262" s="113">
        <f t="shared" si="202"/>
        <v>190.925458766438</v>
      </c>
      <c r="O3262" s="113">
        <f t="shared" si="203"/>
        <v>42767.302763682113</v>
      </c>
    </row>
    <row r="3263" spans="1:15" x14ac:dyDescent="0.25">
      <c r="A3263" s="13">
        <v>44462</v>
      </c>
      <c r="B3263" s="97">
        <v>1847</v>
      </c>
      <c r="C3263" t="s">
        <v>159</v>
      </c>
      <c r="D3263" t="s">
        <v>360</v>
      </c>
      <c r="E3263" t="s">
        <v>17</v>
      </c>
      <c r="F3263" t="s">
        <v>558</v>
      </c>
      <c r="G3263" s="50" t="s">
        <v>574</v>
      </c>
      <c r="H3263" s="50">
        <v>2</v>
      </c>
      <c r="I3263" s="100">
        <v>6.7391919697301583</v>
      </c>
      <c r="J3263" s="52">
        <v>3834.68</v>
      </c>
      <c r="K3263" s="67">
        <f t="shared" si="204"/>
        <v>47731.364691609502</v>
      </c>
      <c r="L3263" s="95">
        <f>+VLOOKUP(E3263,MARGEN!A:B,2,FALSE)</f>
        <v>0.1</v>
      </c>
      <c r="M3263" s="112">
        <f t="shared" si="201"/>
        <v>4773.1364691609506</v>
      </c>
      <c r="N3263" s="113">
        <f t="shared" si="202"/>
        <v>190.925458766438</v>
      </c>
      <c r="O3263" s="113">
        <f t="shared" si="203"/>
        <v>42767.302763682113</v>
      </c>
    </row>
    <row r="3264" spans="1:15" x14ac:dyDescent="0.25">
      <c r="A3264" s="13">
        <v>44462</v>
      </c>
      <c r="B3264" s="97">
        <v>1823</v>
      </c>
      <c r="C3264" t="s">
        <v>304</v>
      </c>
      <c r="D3264" t="s">
        <v>522</v>
      </c>
      <c r="E3264" t="s">
        <v>17</v>
      </c>
      <c r="F3264" t="s">
        <v>573</v>
      </c>
      <c r="G3264" s="50" t="s">
        <v>574</v>
      </c>
      <c r="H3264" s="50">
        <v>2</v>
      </c>
      <c r="I3264" s="100">
        <v>6.7391919697301583</v>
      </c>
      <c r="J3264" s="52">
        <v>3834.68</v>
      </c>
      <c r="K3264" s="67">
        <f t="shared" si="204"/>
        <v>47111.141219709876</v>
      </c>
      <c r="L3264" s="95">
        <f>+VLOOKUP(E3264,MARGEN!A:B,2,FALSE)</f>
        <v>0.1</v>
      </c>
      <c r="M3264" s="112">
        <f t="shared" si="201"/>
        <v>4711.114121970988</v>
      </c>
      <c r="N3264" s="113">
        <f t="shared" si="202"/>
        <v>188.44456487883951</v>
      </c>
      <c r="O3264" s="113">
        <f t="shared" si="203"/>
        <v>42211.582532860048</v>
      </c>
    </row>
    <row r="3265" spans="1:15" x14ac:dyDescent="0.25">
      <c r="A3265" s="13">
        <v>44462</v>
      </c>
      <c r="B3265" s="97">
        <v>1823</v>
      </c>
      <c r="C3265" t="s">
        <v>124</v>
      </c>
      <c r="D3265" t="s">
        <v>388</v>
      </c>
      <c r="E3265" t="s">
        <v>17</v>
      </c>
      <c r="F3265" t="s">
        <v>558</v>
      </c>
      <c r="G3265" s="50" t="s">
        <v>574</v>
      </c>
      <c r="H3265" s="50">
        <v>2</v>
      </c>
      <c r="I3265" s="100">
        <v>6.7391919697301583</v>
      </c>
      <c r="J3265" s="52">
        <v>3834.68</v>
      </c>
      <c r="K3265" s="67">
        <f t="shared" si="204"/>
        <v>47111.141219709876</v>
      </c>
      <c r="L3265" s="95">
        <f>+VLOOKUP(E3265,MARGEN!A:B,2,FALSE)</f>
        <v>0.1</v>
      </c>
      <c r="M3265" s="112">
        <f t="shared" si="201"/>
        <v>4711.114121970988</v>
      </c>
      <c r="N3265" s="113">
        <f t="shared" si="202"/>
        <v>188.44456487883951</v>
      </c>
      <c r="O3265" s="113">
        <f t="shared" si="203"/>
        <v>42211.582532860048</v>
      </c>
    </row>
    <row r="3266" spans="1:15" x14ac:dyDescent="0.25">
      <c r="A3266" s="13">
        <v>44462</v>
      </c>
      <c r="B3266" s="97">
        <v>1751</v>
      </c>
      <c r="C3266" t="s">
        <v>154</v>
      </c>
      <c r="D3266" t="s">
        <v>419</v>
      </c>
      <c r="E3266" t="s">
        <v>17</v>
      </c>
      <c r="F3266" t="s">
        <v>573</v>
      </c>
      <c r="G3266" s="50" t="s">
        <v>574</v>
      </c>
      <c r="H3266" s="50">
        <v>2</v>
      </c>
      <c r="I3266" s="100">
        <v>6.7391919697301583</v>
      </c>
      <c r="J3266" s="52">
        <v>3834.68</v>
      </c>
      <c r="K3266" s="67">
        <f t="shared" si="204"/>
        <v>45250.470804010954</v>
      </c>
      <c r="L3266" s="95">
        <f>+VLOOKUP(E3266,MARGEN!A:B,2,FALSE)</f>
        <v>0.1</v>
      </c>
      <c r="M3266" s="112">
        <f t="shared" si="201"/>
        <v>4525.0470804010956</v>
      </c>
      <c r="N3266" s="113">
        <f t="shared" si="202"/>
        <v>181.00188321604381</v>
      </c>
      <c r="O3266" s="113">
        <f t="shared" si="203"/>
        <v>40544.421840393814</v>
      </c>
    </row>
    <row r="3267" spans="1:15" x14ac:dyDescent="0.25">
      <c r="A3267" s="13">
        <v>44462</v>
      </c>
      <c r="B3267" s="97">
        <v>1727</v>
      </c>
      <c r="C3267" t="s">
        <v>174</v>
      </c>
      <c r="D3267" t="s">
        <v>395</v>
      </c>
      <c r="E3267" t="s">
        <v>17</v>
      </c>
      <c r="F3267" t="s">
        <v>573</v>
      </c>
      <c r="G3267" s="50" t="s">
        <v>574</v>
      </c>
      <c r="H3267" s="50">
        <v>2</v>
      </c>
      <c r="I3267" s="100">
        <v>6.7391919697301583</v>
      </c>
      <c r="J3267" s="52">
        <v>3834.68</v>
      </c>
      <c r="K3267" s="67">
        <f t="shared" si="204"/>
        <v>44630.247332111321</v>
      </c>
      <c r="L3267" s="95">
        <f>+VLOOKUP(E3267,MARGEN!A:B,2,FALSE)</f>
        <v>0.1</v>
      </c>
      <c r="M3267" s="112">
        <f t="shared" ref="M3267:M3330" si="205">+K3267*L3267</f>
        <v>4463.0247332111321</v>
      </c>
      <c r="N3267" s="113">
        <f t="shared" ref="N3267:N3330" si="206">+K3267*4/1000</f>
        <v>178.5209893284453</v>
      </c>
      <c r="O3267" s="113">
        <f t="shared" ref="O3267:O3330" si="207">+K3267-M3267-N3267</f>
        <v>39988.701609571741</v>
      </c>
    </row>
    <row r="3268" spans="1:15" x14ac:dyDescent="0.25">
      <c r="A3268" s="13">
        <v>44462</v>
      </c>
      <c r="B3268" s="97">
        <v>1727</v>
      </c>
      <c r="C3268" t="s">
        <v>170</v>
      </c>
      <c r="D3268" t="s">
        <v>437</v>
      </c>
      <c r="E3268" t="s">
        <v>17</v>
      </c>
      <c r="F3268" t="s">
        <v>573</v>
      </c>
      <c r="G3268" s="50" t="s">
        <v>574</v>
      </c>
      <c r="H3268" s="50">
        <v>2</v>
      </c>
      <c r="I3268" s="100">
        <v>6.7391919697301583</v>
      </c>
      <c r="J3268" s="52">
        <v>3834.68</v>
      </c>
      <c r="K3268" s="67">
        <f t="shared" si="204"/>
        <v>44630.247332111321</v>
      </c>
      <c r="L3268" s="95">
        <f>+VLOOKUP(E3268,MARGEN!A:B,2,FALSE)</f>
        <v>0.1</v>
      </c>
      <c r="M3268" s="112">
        <f t="shared" si="205"/>
        <v>4463.0247332111321</v>
      </c>
      <c r="N3268" s="113">
        <f t="shared" si="206"/>
        <v>178.5209893284453</v>
      </c>
      <c r="O3268" s="113">
        <f t="shared" si="207"/>
        <v>39988.701609571741</v>
      </c>
    </row>
    <row r="3269" spans="1:15" x14ac:dyDescent="0.25">
      <c r="A3269" s="13">
        <v>44462</v>
      </c>
      <c r="B3269" s="97">
        <v>1727</v>
      </c>
      <c r="C3269" t="s">
        <v>188</v>
      </c>
      <c r="D3269" t="s">
        <v>397</v>
      </c>
      <c r="E3269" t="s">
        <v>17</v>
      </c>
      <c r="F3269" t="s">
        <v>566</v>
      </c>
      <c r="G3269" s="50" t="s">
        <v>574</v>
      </c>
      <c r="H3269" s="50">
        <v>2</v>
      </c>
      <c r="I3269" s="100">
        <v>6.7391919697301583</v>
      </c>
      <c r="J3269" s="52">
        <v>3834.68</v>
      </c>
      <c r="K3269" s="67">
        <f t="shared" si="204"/>
        <v>44630.247332111321</v>
      </c>
      <c r="L3269" s="95">
        <f>+VLOOKUP(E3269,MARGEN!A:B,2,FALSE)</f>
        <v>0.1</v>
      </c>
      <c r="M3269" s="112">
        <f t="shared" si="205"/>
        <v>4463.0247332111321</v>
      </c>
      <c r="N3269" s="113">
        <f t="shared" si="206"/>
        <v>178.5209893284453</v>
      </c>
      <c r="O3269" s="113">
        <f t="shared" si="207"/>
        <v>39988.701609571741</v>
      </c>
    </row>
    <row r="3270" spans="1:15" x14ac:dyDescent="0.25">
      <c r="A3270" s="13">
        <v>44462</v>
      </c>
      <c r="B3270" s="97">
        <v>1727</v>
      </c>
      <c r="C3270" t="s">
        <v>158</v>
      </c>
      <c r="D3270" t="s">
        <v>442</v>
      </c>
      <c r="E3270" t="s">
        <v>17</v>
      </c>
      <c r="F3270" t="s">
        <v>558</v>
      </c>
      <c r="G3270" s="50" t="s">
        <v>574</v>
      </c>
      <c r="H3270" s="50">
        <v>2</v>
      </c>
      <c r="I3270" s="100">
        <v>6.7391919697301583</v>
      </c>
      <c r="J3270" s="52">
        <v>3834.68</v>
      </c>
      <c r="K3270" s="67">
        <f t="shared" si="204"/>
        <v>44630.247332111321</v>
      </c>
      <c r="L3270" s="95">
        <f>+VLOOKUP(E3270,MARGEN!A:B,2,FALSE)</f>
        <v>0.1</v>
      </c>
      <c r="M3270" s="112">
        <f t="shared" si="205"/>
        <v>4463.0247332111321</v>
      </c>
      <c r="N3270" s="113">
        <f t="shared" si="206"/>
        <v>178.5209893284453</v>
      </c>
      <c r="O3270" s="113">
        <f t="shared" si="207"/>
        <v>39988.701609571741</v>
      </c>
    </row>
    <row r="3271" spans="1:15" x14ac:dyDescent="0.25">
      <c r="A3271" s="13">
        <v>44462</v>
      </c>
      <c r="B3271" s="97">
        <v>1727</v>
      </c>
      <c r="C3271" t="s">
        <v>238</v>
      </c>
      <c r="D3271" t="s">
        <v>427</v>
      </c>
      <c r="E3271" t="s">
        <v>17</v>
      </c>
      <c r="F3271" t="s">
        <v>558</v>
      </c>
      <c r="G3271" s="50" t="s">
        <v>574</v>
      </c>
      <c r="H3271" s="50">
        <v>2</v>
      </c>
      <c r="I3271" s="100">
        <v>6.7391919697301583</v>
      </c>
      <c r="J3271" s="52">
        <v>3834.68</v>
      </c>
      <c r="K3271" s="67">
        <f t="shared" si="204"/>
        <v>44630.247332111321</v>
      </c>
      <c r="L3271" s="95">
        <f>+VLOOKUP(E3271,MARGEN!A:B,2,FALSE)</f>
        <v>0.1</v>
      </c>
      <c r="M3271" s="112">
        <f t="shared" si="205"/>
        <v>4463.0247332111321</v>
      </c>
      <c r="N3271" s="113">
        <f t="shared" si="206"/>
        <v>178.5209893284453</v>
      </c>
      <c r="O3271" s="113">
        <f t="shared" si="207"/>
        <v>39988.701609571741</v>
      </c>
    </row>
    <row r="3272" spans="1:15" x14ac:dyDescent="0.25">
      <c r="A3272" s="13">
        <v>44462</v>
      </c>
      <c r="B3272" s="97">
        <v>1727</v>
      </c>
      <c r="C3272" t="s">
        <v>223</v>
      </c>
      <c r="D3272" t="s">
        <v>389</v>
      </c>
      <c r="E3272" t="s">
        <v>17</v>
      </c>
      <c r="F3272" t="s">
        <v>558</v>
      </c>
      <c r="G3272" s="50" t="s">
        <v>574</v>
      </c>
      <c r="H3272" s="50">
        <v>2</v>
      </c>
      <c r="I3272" s="100">
        <v>6.7391919697301583</v>
      </c>
      <c r="J3272" s="52">
        <v>3834.68</v>
      </c>
      <c r="K3272" s="67">
        <f t="shared" si="204"/>
        <v>44630.247332111321</v>
      </c>
      <c r="L3272" s="95">
        <f>+VLOOKUP(E3272,MARGEN!A:B,2,FALSE)</f>
        <v>0.1</v>
      </c>
      <c r="M3272" s="112">
        <f t="shared" si="205"/>
        <v>4463.0247332111321</v>
      </c>
      <c r="N3272" s="113">
        <f t="shared" si="206"/>
        <v>178.5209893284453</v>
      </c>
      <c r="O3272" s="113">
        <f t="shared" si="207"/>
        <v>39988.701609571741</v>
      </c>
    </row>
    <row r="3273" spans="1:15" x14ac:dyDescent="0.25">
      <c r="A3273" s="13">
        <v>44462</v>
      </c>
      <c r="B3273" s="97">
        <v>1703</v>
      </c>
      <c r="C3273" t="s">
        <v>296</v>
      </c>
      <c r="D3273" t="s">
        <v>498</v>
      </c>
      <c r="E3273" t="s">
        <v>17</v>
      </c>
      <c r="F3273" t="s">
        <v>573</v>
      </c>
      <c r="G3273" s="50" t="s">
        <v>574</v>
      </c>
      <c r="H3273" s="50">
        <v>2</v>
      </c>
      <c r="I3273" s="100">
        <v>6.7391919697301583</v>
      </c>
      <c r="J3273" s="52">
        <v>3834.68</v>
      </c>
      <c r="K3273" s="67">
        <f t="shared" ref="K3273:K3336" si="208">+B3273*I3273*J3273/1000</f>
        <v>44010.023860211688</v>
      </c>
      <c r="L3273" s="95">
        <f>+VLOOKUP(E3273,MARGEN!A:B,2,FALSE)</f>
        <v>0.1</v>
      </c>
      <c r="M3273" s="112">
        <f t="shared" si="205"/>
        <v>4401.0023860211686</v>
      </c>
      <c r="N3273" s="113">
        <f t="shared" si="206"/>
        <v>176.04009544084676</v>
      </c>
      <c r="O3273" s="113">
        <f t="shared" si="207"/>
        <v>39432.981378749675</v>
      </c>
    </row>
    <row r="3274" spans="1:15" x14ac:dyDescent="0.25">
      <c r="A3274" s="13">
        <v>44462</v>
      </c>
      <c r="B3274" s="97">
        <v>1703</v>
      </c>
      <c r="C3274" t="s">
        <v>120</v>
      </c>
      <c r="D3274" t="s">
        <v>452</v>
      </c>
      <c r="E3274" t="s">
        <v>17</v>
      </c>
      <c r="F3274" t="s">
        <v>573</v>
      </c>
      <c r="G3274" s="50" t="s">
        <v>574</v>
      </c>
      <c r="H3274" s="50">
        <v>2</v>
      </c>
      <c r="I3274" s="100">
        <v>6.7391919697301583</v>
      </c>
      <c r="J3274" s="52">
        <v>3834.68</v>
      </c>
      <c r="K3274" s="67">
        <f t="shared" si="208"/>
        <v>44010.023860211688</v>
      </c>
      <c r="L3274" s="95">
        <f>+VLOOKUP(E3274,MARGEN!A:B,2,FALSE)</f>
        <v>0.1</v>
      </c>
      <c r="M3274" s="112">
        <f t="shared" si="205"/>
        <v>4401.0023860211686</v>
      </c>
      <c r="N3274" s="113">
        <f t="shared" si="206"/>
        <v>176.04009544084676</v>
      </c>
      <c r="O3274" s="113">
        <f t="shared" si="207"/>
        <v>39432.981378749675</v>
      </c>
    </row>
    <row r="3275" spans="1:15" x14ac:dyDescent="0.25">
      <c r="A3275" s="13">
        <v>44462</v>
      </c>
      <c r="B3275" s="97">
        <v>1703</v>
      </c>
      <c r="C3275" t="s">
        <v>172</v>
      </c>
      <c r="D3275" t="s">
        <v>371</v>
      </c>
      <c r="E3275" t="s">
        <v>17</v>
      </c>
      <c r="F3275" t="s">
        <v>573</v>
      </c>
      <c r="G3275" s="50" t="s">
        <v>574</v>
      </c>
      <c r="H3275" s="50">
        <v>2</v>
      </c>
      <c r="I3275" s="100">
        <v>6.7391919697301583</v>
      </c>
      <c r="J3275" s="52">
        <v>3834.68</v>
      </c>
      <c r="K3275" s="67">
        <f t="shared" si="208"/>
        <v>44010.023860211688</v>
      </c>
      <c r="L3275" s="95">
        <f>+VLOOKUP(E3275,MARGEN!A:B,2,FALSE)</f>
        <v>0.1</v>
      </c>
      <c r="M3275" s="112">
        <f t="shared" si="205"/>
        <v>4401.0023860211686</v>
      </c>
      <c r="N3275" s="113">
        <f t="shared" si="206"/>
        <v>176.04009544084676</v>
      </c>
      <c r="O3275" s="113">
        <f t="shared" si="207"/>
        <v>39432.981378749675</v>
      </c>
    </row>
    <row r="3276" spans="1:15" x14ac:dyDescent="0.25">
      <c r="A3276" s="13">
        <v>44462</v>
      </c>
      <c r="B3276" s="97">
        <v>1703</v>
      </c>
      <c r="C3276" t="s">
        <v>286</v>
      </c>
      <c r="D3276" t="s">
        <v>531</v>
      </c>
      <c r="E3276" t="s">
        <v>17</v>
      </c>
      <c r="F3276" t="s">
        <v>558</v>
      </c>
      <c r="G3276" s="50" t="s">
        <v>574</v>
      </c>
      <c r="H3276" s="50">
        <v>2</v>
      </c>
      <c r="I3276" s="100">
        <v>6.7391919697301583</v>
      </c>
      <c r="J3276" s="52">
        <v>3834.68</v>
      </c>
      <c r="K3276" s="67">
        <f t="shared" si="208"/>
        <v>44010.023860211688</v>
      </c>
      <c r="L3276" s="95">
        <f>+VLOOKUP(E3276,MARGEN!A:B,2,FALSE)</f>
        <v>0.1</v>
      </c>
      <c r="M3276" s="112">
        <f t="shared" si="205"/>
        <v>4401.0023860211686</v>
      </c>
      <c r="N3276" s="113">
        <f t="shared" si="206"/>
        <v>176.04009544084676</v>
      </c>
      <c r="O3276" s="113">
        <f t="shared" si="207"/>
        <v>39432.981378749675</v>
      </c>
    </row>
    <row r="3277" spans="1:15" x14ac:dyDescent="0.25">
      <c r="A3277" s="13">
        <v>44462</v>
      </c>
      <c r="B3277" s="97">
        <v>1679</v>
      </c>
      <c r="C3277" t="s">
        <v>175</v>
      </c>
      <c r="D3277" t="s">
        <v>432</v>
      </c>
      <c r="E3277" t="s">
        <v>17</v>
      </c>
      <c r="F3277" t="s">
        <v>558</v>
      </c>
      <c r="G3277" s="50" t="s">
        <v>574</v>
      </c>
      <c r="H3277" s="50">
        <v>2</v>
      </c>
      <c r="I3277" s="100">
        <v>6.7391919697301583</v>
      </c>
      <c r="J3277" s="52">
        <v>3834.68</v>
      </c>
      <c r="K3277" s="67">
        <f t="shared" si="208"/>
        <v>43389.800388312047</v>
      </c>
      <c r="L3277" s="95">
        <f>+VLOOKUP(E3277,MARGEN!A:B,2,FALSE)</f>
        <v>0.1</v>
      </c>
      <c r="M3277" s="112">
        <f t="shared" si="205"/>
        <v>4338.9800388312051</v>
      </c>
      <c r="N3277" s="113">
        <f t="shared" si="206"/>
        <v>173.55920155324819</v>
      </c>
      <c r="O3277" s="113">
        <f t="shared" si="207"/>
        <v>38877.261147927595</v>
      </c>
    </row>
    <row r="3278" spans="1:15" x14ac:dyDescent="0.25">
      <c r="A3278" s="13">
        <v>44462</v>
      </c>
      <c r="B3278" s="97">
        <v>1679</v>
      </c>
      <c r="C3278" t="s">
        <v>288</v>
      </c>
      <c r="D3278" t="s">
        <v>530</v>
      </c>
      <c r="E3278" t="s">
        <v>17</v>
      </c>
      <c r="F3278" t="s">
        <v>573</v>
      </c>
      <c r="G3278" s="50" t="s">
        <v>574</v>
      </c>
      <c r="H3278" s="50">
        <v>2</v>
      </c>
      <c r="I3278" s="100">
        <v>6.7391919697301583</v>
      </c>
      <c r="J3278" s="52">
        <v>3834.68</v>
      </c>
      <c r="K3278" s="67">
        <f t="shared" si="208"/>
        <v>43389.800388312047</v>
      </c>
      <c r="L3278" s="95">
        <f>+VLOOKUP(E3278,MARGEN!A:B,2,FALSE)</f>
        <v>0.1</v>
      </c>
      <c r="M3278" s="112">
        <f t="shared" si="205"/>
        <v>4338.9800388312051</v>
      </c>
      <c r="N3278" s="113">
        <f t="shared" si="206"/>
        <v>173.55920155324819</v>
      </c>
      <c r="O3278" s="113">
        <f t="shared" si="207"/>
        <v>38877.261147927595</v>
      </c>
    </row>
    <row r="3279" spans="1:15" x14ac:dyDescent="0.25">
      <c r="A3279" s="13">
        <v>44462</v>
      </c>
      <c r="B3279" s="97">
        <v>1679</v>
      </c>
      <c r="C3279" t="s">
        <v>194</v>
      </c>
      <c r="D3279" t="s">
        <v>417</v>
      </c>
      <c r="E3279" t="s">
        <v>17</v>
      </c>
      <c r="F3279" t="s">
        <v>573</v>
      </c>
      <c r="G3279" s="50" t="s">
        <v>574</v>
      </c>
      <c r="H3279" s="50">
        <v>2</v>
      </c>
      <c r="I3279" s="100">
        <v>6.7391919697301583</v>
      </c>
      <c r="J3279" s="52">
        <v>3834.68</v>
      </c>
      <c r="K3279" s="67">
        <f t="shared" si="208"/>
        <v>43389.800388312047</v>
      </c>
      <c r="L3279" s="95">
        <f>+VLOOKUP(E3279,MARGEN!A:B,2,FALSE)</f>
        <v>0.1</v>
      </c>
      <c r="M3279" s="112">
        <f t="shared" si="205"/>
        <v>4338.9800388312051</v>
      </c>
      <c r="N3279" s="113">
        <f t="shared" si="206"/>
        <v>173.55920155324819</v>
      </c>
      <c r="O3279" s="113">
        <f t="shared" si="207"/>
        <v>38877.261147927595</v>
      </c>
    </row>
    <row r="3280" spans="1:15" x14ac:dyDescent="0.25">
      <c r="A3280" s="13">
        <v>44462</v>
      </c>
      <c r="B3280" s="97">
        <v>1679</v>
      </c>
      <c r="C3280" t="s">
        <v>287</v>
      </c>
      <c r="D3280" t="s">
        <v>496</v>
      </c>
      <c r="E3280" t="s">
        <v>17</v>
      </c>
      <c r="F3280" t="s">
        <v>573</v>
      </c>
      <c r="G3280" s="50" t="s">
        <v>574</v>
      </c>
      <c r="H3280" s="50">
        <v>2</v>
      </c>
      <c r="I3280" s="100">
        <v>6.7391919697301583</v>
      </c>
      <c r="J3280" s="52">
        <v>3834.68</v>
      </c>
      <c r="K3280" s="67">
        <f t="shared" si="208"/>
        <v>43389.800388312047</v>
      </c>
      <c r="L3280" s="95">
        <f>+VLOOKUP(E3280,MARGEN!A:B,2,FALSE)</f>
        <v>0.1</v>
      </c>
      <c r="M3280" s="112">
        <f t="shared" si="205"/>
        <v>4338.9800388312051</v>
      </c>
      <c r="N3280" s="113">
        <f t="shared" si="206"/>
        <v>173.55920155324819</v>
      </c>
      <c r="O3280" s="113">
        <f t="shared" si="207"/>
        <v>38877.261147927595</v>
      </c>
    </row>
    <row r="3281" spans="1:15" x14ac:dyDescent="0.25">
      <c r="A3281" s="13">
        <v>44462</v>
      </c>
      <c r="B3281" s="97">
        <v>1679</v>
      </c>
      <c r="C3281" t="s">
        <v>121</v>
      </c>
      <c r="D3281" t="s">
        <v>381</v>
      </c>
      <c r="E3281" t="s">
        <v>17</v>
      </c>
      <c r="F3281" t="s">
        <v>573</v>
      </c>
      <c r="G3281" s="50" t="s">
        <v>574</v>
      </c>
      <c r="H3281" s="50">
        <v>2</v>
      </c>
      <c r="I3281" s="100">
        <v>6.7391919697301583</v>
      </c>
      <c r="J3281" s="52">
        <v>3834.68</v>
      </c>
      <c r="K3281" s="67">
        <f t="shared" si="208"/>
        <v>43389.800388312047</v>
      </c>
      <c r="L3281" s="95">
        <f>+VLOOKUP(E3281,MARGEN!A:B,2,FALSE)</f>
        <v>0.1</v>
      </c>
      <c r="M3281" s="112">
        <f t="shared" si="205"/>
        <v>4338.9800388312051</v>
      </c>
      <c r="N3281" s="113">
        <f t="shared" si="206"/>
        <v>173.55920155324819</v>
      </c>
      <c r="O3281" s="113">
        <f t="shared" si="207"/>
        <v>38877.261147927595</v>
      </c>
    </row>
    <row r="3282" spans="1:15" x14ac:dyDescent="0.25">
      <c r="A3282" s="13">
        <v>44462</v>
      </c>
      <c r="B3282" s="97">
        <v>1655</v>
      </c>
      <c r="C3282" t="s">
        <v>285</v>
      </c>
      <c r="D3282" t="s">
        <v>534</v>
      </c>
      <c r="E3282" t="s">
        <v>17</v>
      </c>
      <c r="F3282" t="s">
        <v>558</v>
      </c>
      <c r="G3282" s="50" t="s">
        <v>574</v>
      </c>
      <c r="H3282" s="50">
        <v>2</v>
      </c>
      <c r="I3282" s="100">
        <v>6.7391919697301583</v>
      </c>
      <c r="J3282" s="52">
        <v>3834.68</v>
      </c>
      <c r="K3282" s="67">
        <f t="shared" si="208"/>
        <v>42769.576916412421</v>
      </c>
      <c r="L3282" s="95">
        <f>+VLOOKUP(E3282,MARGEN!A:B,2,FALSE)</f>
        <v>0.1</v>
      </c>
      <c r="M3282" s="112">
        <f t="shared" si="205"/>
        <v>4276.9576916412425</v>
      </c>
      <c r="N3282" s="113">
        <f t="shared" si="206"/>
        <v>171.07830766564967</v>
      </c>
      <c r="O3282" s="113">
        <f t="shared" si="207"/>
        <v>38321.540917105529</v>
      </c>
    </row>
    <row r="3283" spans="1:15" x14ac:dyDescent="0.25">
      <c r="A3283" s="13">
        <v>44462</v>
      </c>
      <c r="B3283" s="97">
        <v>1631</v>
      </c>
      <c r="C3283" t="s">
        <v>196</v>
      </c>
      <c r="D3283" t="s">
        <v>413</v>
      </c>
      <c r="E3283" t="s">
        <v>17</v>
      </c>
      <c r="F3283" t="s">
        <v>573</v>
      </c>
      <c r="G3283" s="50" t="s">
        <v>574</v>
      </c>
      <c r="H3283" s="50">
        <v>2</v>
      </c>
      <c r="I3283" s="100">
        <v>6.7391919697301583</v>
      </c>
      <c r="J3283" s="52">
        <v>3834.68</v>
      </c>
      <c r="K3283" s="67">
        <f t="shared" si="208"/>
        <v>42149.353444512773</v>
      </c>
      <c r="L3283" s="95">
        <f>+VLOOKUP(E3283,MARGEN!A:B,2,FALSE)</f>
        <v>0.1</v>
      </c>
      <c r="M3283" s="112">
        <f t="shared" si="205"/>
        <v>4214.9353444512772</v>
      </c>
      <c r="N3283" s="113">
        <f t="shared" si="206"/>
        <v>168.59741377805111</v>
      </c>
      <c r="O3283" s="113">
        <f t="shared" si="207"/>
        <v>37765.820686283449</v>
      </c>
    </row>
    <row r="3284" spans="1:15" x14ac:dyDescent="0.25">
      <c r="A3284" s="13">
        <v>44462</v>
      </c>
      <c r="B3284" s="97">
        <v>1631</v>
      </c>
      <c r="C3284" t="s">
        <v>209</v>
      </c>
      <c r="D3284" t="s">
        <v>441</v>
      </c>
      <c r="E3284" t="s">
        <v>17</v>
      </c>
      <c r="F3284" t="s">
        <v>573</v>
      </c>
      <c r="G3284" s="50" t="s">
        <v>574</v>
      </c>
      <c r="H3284" s="50">
        <v>2</v>
      </c>
      <c r="I3284" s="100">
        <v>6.7391919697301583</v>
      </c>
      <c r="J3284" s="52">
        <v>3834.68</v>
      </c>
      <c r="K3284" s="67">
        <f t="shared" si="208"/>
        <v>42149.353444512773</v>
      </c>
      <c r="L3284" s="95">
        <f>+VLOOKUP(E3284,MARGEN!A:B,2,FALSE)</f>
        <v>0.1</v>
      </c>
      <c r="M3284" s="112">
        <f t="shared" si="205"/>
        <v>4214.9353444512772</v>
      </c>
      <c r="N3284" s="113">
        <f t="shared" si="206"/>
        <v>168.59741377805111</v>
      </c>
      <c r="O3284" s="113">
        <f t="shared" si="207"/>
        <v>37765.820686283449</v>
      </c>
    </row>
    <row r="3285" spans="1:15" x14ac:dyDescent="0.25">
      <c r="A3285" s="13">
        <v>44462</v>
      </c>
      <c r="B3285" s="97">
        <v>1631</v>
      </c>
      <c r="C3285" t="s">
        <v>171</v>
      </c>
      <c r="D3285" t="s">
        <v>387</v>
      </c>
      <c r="E3285" t="s">
        <v>17</v>
      </c>
      <c r="F3285" t="s">
        <v>558</v>
      </c>
      <c r="G3285" s="50" t="s">
        <v>574</v>
      </c>
      <c r="H3285" s="50">
        <v>2</v>
      </c>
      <c r="I3285" s="100">
        <v>6.7391919697301583</v>
      </c>
      <c r="J3285" s="52">
        <v>3834.68</v>
      </c>
      <c r="K3285" s="67">
        <f t="shared" si="208"/>
        <v>42149.353444512773</v>
      </c>
      <c r="L3285" s="95">
        <f>+VLOOKUP(E3285,MARGEN!A:B,2,FALSE)</f>
        <v>0.1</v>
      </c>
      <c r="M3285" s="112">
        <f t="shared" si="205"/>
        <v>4214.9353444512772</v>
      </c>
      <c r="N3285" s="113">
        <f t="shared" si="206"/>
        <v>168.59741377805111</v>
      </c>
      <c r="O3285" s="113">
        <f t="shared" si="207"/>
        <v>37765.820686283449</v>
      </c>
    </row>
    <row r="3286" spans="1:15" x14ac:dyDescent="0.25">
      <c r="A3286" s="13">
        <v>44462</v>
      </c>
      <c r="B3286" s="97">
        <v>1607</v>
      </c>
      <c r="C3286" t="s">
        <v>180</v>
      </c>
      <c r="D3286" t="s">
        <v>447</v>
      </c>
      <c r="E3286" t="s">
        <v>17</v>
      </c>
      <c r="F3286" t="s">
        <v>573</v>
      </c>
      <c r="G3286" s="50" t="s">
        <v>574</v>
      </c>
      <c r="H3286" s="50">
        <v>2</v>
      </c>
      <c r="I3286" s="100">
        <v>6.7391919697301583</v>
      </c>
      <c r="J3286" s="52">
        <v>3834.68</v>
      </c>
      <c r="K3286" s="67">
        <f t="shared" si="208"/>
        <v>41529.12997261314</v>
      </c>
      <c r="L3286" s="95">
        <f>+VLOOKUP(E3286,MARGEN!A:B,2,FALSE)</f>
        <v>0.1</v>
      </c>
      <c r="M3286" s="112">
        <f t="shared" si="205"/>
        <v>4152.9129972613146</v>
      </c>
      <c r="N3286" s="113">
        <f t="shared" si="206"/>
        <v>166.11651989045257</v>
      </c>
      <c r="O3286" s="113">
        <f t="shared" si="207"/>
        <v>37210.100455461376</v>
      </c>
    </row>
    <row r="3287" spans="1:15" x14ac:dyDescent="0.25">
      <c r="A3287" s="13">
        <v>44462</v>
      </c>
      <c r="B3287" s="97">
        <v>1559</v>
      </c>
      <c r="C3287" t="s">
        <v>119</v>
      </c>
      <c r="D3287" t="s">
        <v>377</v>
      </c>
      <c r="E3287" t="s">
        <v>17</v>
      </c>
      <c r="F3287" t="s">
        <v>573</v>
      </c>
      <c r="G3287" s="50" t="s">
        <v>574</v>
      </c>
      <c r="H3287" s="50">
        <v>2</v>
      </c>
      <c r="I3287" s="100">
        <v>6.7391919697301583</v>
      </c>
      <c r="J3287" s="52">
        <v>3834.68</v>
      </c>
      <c r="K3287" s="67">
        <f t="shared" si="208"/>
        <v>40288.683028813866</v>
      </c>
      <c r="L3287" s="95">
        <f>+VLOOKUP(E3287,MARGEN!A:B,2,FALSE)</f>
        <v>0.1</v>
      </c>
      <c r="M3287" s="112">
        <f t="shared" si="205"/>
        <v>4028.8683028813866</v>
      </c>
      <c r="N3287" s="113">
        <f t="shared" si="206"/>
        <v>161.15473211525546</v>
      </c>
      <c r="O3287" s="113">
        <f t="shared" si="207"/>
        <v>36098.659993817222</v>
      </c>
    </row>
    <row r="3288" spans="1:15" x14ac:dyDescent="0.25">
      <c r="A3288" s="13">
        <v>44462</v>
      </c>
      <c r="B3288" s="97">
        <v>1559</v>
      </c>
      <c r="C3288" t="s">
        <v>294</v>
      </c>
      <c r="D3288" t="s">
        <v>527</v>
      </c>
      <c r="E3288" t="s">
        <v>17</v>
      </c>
      <c r="F3288" t="s">
        <v>573</v>
      </c>
      <c r="G3288" s="50" t="s">
        <v>574</v>
      </c>
      <c r="H3288" s="50">
        <v>2</v>
      </c>
      <c r="I3288" s="100">
        <v>6.7391919697301583</v>
      </c>
      <c r="J3288" s="52">
        <v>3834.68</v>
      </c>
      <c r="K3288" s="67">
        <f t="shared" si="208"/>
        <v>40288.683028813866</v>
      </c>
      <c r="L3288" s="95">
        <f>+VLOOKUP(E3288,MARGEN!A:B,2,FALSE)</f>
        <v>0.1</v>
      </c>
      <c r="M3288" s="112">
        <f t="shared" si="205"/>
        <v>4028.8683028813866</v>
      </c>
      <c r="N3288" s="113">
        <f t="shared" si="206"/>
        <v>161.15473211525546</v>
      </c>
      <c r="O3288" s="113">
        <f t="shared" si="207"/>
        <v>36098.659993817222</v>
      </c>
    </row>
    <row r="3289" spans="1:15" x14ac:dyDescent="0.25">
      <c r="A3289" s="13">
        <v>44462</v>
      </c>
      <c r="B3289" s="97">
        <v>1559</v>
      </c>
      <c r="C3289" t="s">
        <v>176</v>
      </c>
      <c r="D3289" t="s">
        <v>430</v>
      </c>
      <c r="E3289" t="s">
        <v>17</v>
      </c>
      <c r="F3289" t="s">
        <v>573</v>
      </c>
      <c r="G3289" s="50" t="s">
        <v>574</v>
      </c>
      <c r="H3289" s="50">
        <v>2</v>
      </c>
      <c r="I3289" s="100">
        <v>6.7391919697301583</v>
      </c>
      <c r="J3289" s="52">
        <v>3834.68</v>
      </c>
      <c r="K3289" s="67">
        <f t="shared" si="208"/>
        <v>40288.683028813866</v>
      </c>
      <c r="L3289" s="95">
        <f>+VLOOKUP(E3289,MARGEN!A:B,2,FALSE)</f>
        <v>0.1</v>
      </c>
      <c r="M3289" s="112">
        <f t="shared" si="205"/>
        <v>4028.8683028813866</v>
      </c>
      <c r="N3289" s="113">
        <f t="shared" si="206"/>
        <v>161.15473211525546</v>
      </c>
      <c r="O3289" s="113">
        <f t="shared" si="207"/>
        <v>36098.659993817222</v>
      </c>
    </row>
    <row r="3290" spans="1:15" x14ac:dyDescent="0.25">
      <c r="A3290" s="13">
        <v>44462</v>
      </c>
      <c r="B3290" s="97">
        <v>1559</v>
      </c>
      <c r="C3290" t="s">
        <v>152</v>
      </c>
      <c r="D3290" t="s">
        <v>425</v>
      </c>
      <c r="E3290" t="s">
        <v>17</v>
      </c>
      <c r="F3290" t="s">
        <v>573</v>
      </c>
      <c r="G3290" s="50" t="s">
        <v>574</v>
      </c>
      <c r="H3290" s="50">
        <v>2</v>
      </c>
      <c r="I3290" s="100">
        <v>6.7391919697301583</v>
      </c>
      <c r="J3290" s="52">
        <v>3834.68</v>
      </c>
      <c r="K3290" s="67">
        <f t="shared" si="208"/>
        <v>40288.683028813866</v>
      </c>
      <c r="L3290" s="95">
        <f>+VLOOKUP(E3290,MARGEN!A:B,2,FALSE)</f>
        <v>0.1</v>
      </c>
      <c r="M3290" s="112">
        <f t="shared" si="205"/>
        <v>4028.8683028813866</v>
      </c>
      <c r="N3290" s="113">
        <f t="shared" si="206"/>
        <v>161.15473211525546</v>
      </c>
      <c r="O3290" s="113">
        <f t="shared" si="207"/>
        <v>36098.659993817222</v>
      </c>
    </row>
    <row r="3291" spans="1:15" x14ac:dyDescent="0.25">
      <c r="A3291" s="13">
        <v>44462</v>
      </c>
      <c r="B3291" s="97">
        <v>1535</v>
      </c>
      <c r="C3291" t="s">
        <v>137</v>
      </c>
      <c r="D3291" t="s">
        <v>418</v>
      </c>
      <c r="E3291" t="s">
        <v>17</v>
      </c>
      <c r="F3291" t="s">
        <v>573</v>
      </c>
      <c r="G3291" s="50" t="s">
        <v>574</v>
      </c>
      <c r="H3291" s="50">
        <v>2</v>
      </c>
      <c r="I3291" s="100">
        <v>6.7391919697301583</v>
      </c>
      <c r="J3291" s="52">
        <v>3834.68</v>
      </c>
      <c r="K3291" s="67">
        <f t="shared" si="208"/>
        <v>39668.459556914233</v>
      </c>
      <c r="L3291" s="95">
        <f>+VLOOKUP(E3291,MARGEN!A:B,2,FALSE)</f>
        <v>0.1</v>
      </c>
      <c r="M3291" s="112">
        <f t="shared" si="205"/>
        <v>3966.8459556914236</v>
      </c>
      <c r="N3291" s="113">
        <f t="shared" si="206"/>
        <v>158.67383822765694</v>
      </c>
      <c r="O3291" s="113">
        <f t="shared" si="207"/>
        <v>35542.939762995149</v>
      </c>
    </row>
    <row r="3292" spans="1:15" x14ac:dyDescent="0.25">
      <c r="A3292" s="13">
        <v>44462</v>
      </c>
      <c r="B3292" s="97">
        <v>1511</v>
      </c>
      <c r="C3292" t="s">
        <v>202</v>
      </c>
      <c r="D3292" t="s">
        <v>436</v>
      </c>
      <c r="E3292" t="s">
        <v>17</v>
      </c>
      <c r="F3292" t="s">
        <v>558</v>
      </c>
      <c r="G3292" s="50" t="s">
        <v>574</v>
      </c>
      <c r="H3292" s="50">
        <v>2</v>
      </c>
      <c r="I3292" s="100">
        <v>6.7391919697301583</v>
      </c>
      <c r="J3292" s="52">
        <v>3834.68</v>
      </c>
      <c r="K3292" s="67">
        <f t="shared" si="208"/>
        <v>39048.2360850146</v>
      </c>
      <c r="L3292" s="95">
        <f>+VLOOKUP(E3292,MARGEN!A:B,2,FALSE)</f>
        <v>0.1</v>
      </c>
      <c r="M3292" s="112">
        <f t="shared" si="205"/>
        <v>3904.8236085014601</v>
      </c>
      <c r="N3292" s="113">
        <f t="shared" si="206"/>
        <v>156.1929443400584</v>
      </c>
      <c r="O3292" s="113">
        <f t="shared" si="207"/>
        <v>34987.219532173083</v>
      </c>
    </row>
    <row r="3293" spans="1:15" x14ac:dyDescent="0.25">
      <c r="A3293" s="13">
        <v>44462</v>
      </c>
      <c r="B3293" s="97">
        <v>1511</v>
      </c>
      <c r="C3293" t="s">
        <v>291</v>
      </c>
      <c r="D3293" t="s">
        <v>492</v>
      </c>
      <c r="E3293" t="s">
        <v>17</v>
      </c>
      <c r="F3293" t="s">
        <v>573</v>
      </c>
      <c r="G3293" s="50" t="s">
        <v>574</v>
      </c>
      <c r="H3293" s="50">
        <v>2</v>
      </c>
      <c r="I3293" s="100">
        <v>6.7391919697301583</v>
      </c>
      <c r="J3293" s="52">
        <v>3834.68</v>
      </c>
      <c r="K3293" s="67">
        <f t="shared" si="208"/>
        <v>39048.2360850146</v>
      </c>
      <c r="L3293" s="95">
        <f>+VLOOKUP(E3293,MARGEN!A:B,2,FALSE)</f>
        <v>0.1</v>
      </c>
      <c r="M3293" s="112">
        <f t="shared" si="205"/>
        <v>3904.8236085014601</v>
      </c>
      <c r="N3293" s="113">
        <f t="shared" si="206"/>
        <v>156.1929443400584</v>
      </c>
      <c r="O3293" s="113">
        <f t="shared" si="207"/>
        <v>34987.219532173083</v>
      </c>
    </row>
    <row r="3294" spans="1:15" x14ac:dyDescent="0.25">
      <c r="A3294" s="13">
        <v>44462</v>
      </c>
      <c r="B3294" s="97">
        <v>1487</v>
      </c>
      <c r="C3294" t="s">
        <v>169</v>
      </c>
      <c r="D3294" t="s">
        <v>351</v>
      </c>
      <c r="E3294" t="s">
        <v>17</v>
      </c>
      <c r="F3294" t="s">
        <v>573</v>
      </c>
      <c r="G3294" s="50" t="s">
        <v>574</v>
      </c>
      <c r="H3294" s="50">
        <v>2</v>
      </c>
      <c r="I3294" s="100">
        <v>6.7391919697301583</v>
      </c>
      <c r="J3294" s="52">
        <v>3834.68</v>
      </c>
      <c r="K3294" s="67">
        <f t="shared" si="208"/>
        <v>38428.012613114959</v>
      </c>
      <c r="L3294" s="95">
        <f>+VLOOKUP(E3294,MARGEN!A:B,2,FALSE)</f>
        <v>0.1</v>
      </c>
      <c r="M3294" s="112">
        <f t="shared" si="205"/>
        <v>3842.8012613114961</v>
      </c>
      <c r="N3294" s="113">
        <f t="shared" si="206"/>
        <v>153.71205045245983</v>
      </c>
      <c r="O3294" s="113">
        <f t="shared" si="207"/>
        <v>34431.499301351003</v>
      </c>
    </row>
    <row r="3295" spans="1:15" x14ac:dyDescent="0.25">
      <c r="A3295" s="13">
        <v>44462</v>
      </c>
      <c r="B3295" s="97">
        <v>1463</v>
      </c>
      <c r="C3295" t="s">
        <v>297</v>
      </c>
      <c r="D3295" t="s">
        <v>526</v>
      </c>
      <c r="E3295" t="s">
        <v>17</v>
      </c>
      <c r="F3295" t="s">
        <v>573</v>
      </c>
      <c r="G3295" s="50" t="s">
        <v>574</v>
      </c>
      <c r="H3295" s="50">
        <v>2</v>
      </c>
      <c r="I3295" s="100">
        <v>6.7391919697301583</v>
      </c>
      <c r="J3295" s="52">
        <v>3834.68</v>
      </c>
      <c r="K3295" s="67">
        <f t="shared" si="208"/>
        <v>37807.789141215326</v>
      </c>
      <c r="L3295" s="95">
        <f>+VLOOKUP(E3295,MARGEN!A:B,2,FALSE)</f>
        <v>0.1</v>
      </c>
      <c r="M3295" s="112">
        <f t="shared" si="205"/>
        <v>3780.7789141215326</v>
      </c>
      <c r="N3295" s="113">
        <f t="shared" si="206"/>
        <v>151.23115656486129</v>
      </c>
      <c r="O3295" s="113">
        <f t="shared" si="207"/>
        <v>33875.77907052893</v>
      </c>
    </row>
    <row r="3296" spans="1:15" x14ac:dyDescent="0.25">
      <c r="A3296" s="13">
        <v>44462</v>
      </c>
      <c r="B3296" s="97">
        <v>1439</v>
      </c>
      <c r="C3296" t="s">
        <v>210</v>
      </c>
      <c r="D3296" t="s">
        <v>402</v>
      </c>
      <c r="E3296" t="s">
        <v>17</v>
      </c>
      <c r="F3296" t="s">
        <v>573</v>
      </c>
      <c r="G3296" s="50" t="s">
        <v>574</v>
      </c>
      <c r="H3296" s="50">
        <v>2</v>
      </c>
      <c r="I3296" s="100">
        <v>6.7391919697301583</v>
      </c>
      <c r="J3296" s="52">
        <v>3834.68</v>
      </c>
      <c r="K3296" s="67">
        <f t="shared" si="208"/>
        <v>37187.565669315685</v>
      </c>
      <c r="L3296" s="95">
        <f>+VLOOKUP(E3296,MARGEN!A:B,2,FALSE)</f>
        <v>0.1</v>
      </c>
      <c r="M3296" s="112">
        <f t="shared" si="205"/>
        <v>3718.7565669315686</v>
      </c>
      <c r="N3296" s="113">
        <f t="shared" si="206"/>
        <v>148.75026267726275</v>
      </c>
      <c r="O3296" s="113">
        <f t="shared" si="207"/>
        <v>33320.058839706857</v>
      </c>
    </row>
    <row r="3297" spans="1:15" x14ac:dyDescent="0.25">
      <c r="A3297" s="13">
        <v>44462</v>
      </c>
      <c r="B3297" s="97">
        <v>1439</v>
      </c>
      <c r="C3297" t="s">
        <v>200</v>
      </c>
      <c r="D3297" t="s">
        <v>428</v>
      </c>
      <c r="E3297" t="s">
        <v>17</v>
      </c>
      <c r="F3297" t="s">
        <v>573</v>
      </c>
      <c r="G3297" s="50" t="s">
        <v>574</v>
      </c>
      <c r="H3297" s="50">
        <v>2</v>
      </c>
      <c r="I3297" s="100">
        <v>6.7391919697301583</v>
      </c>
      <c r="J3297" s="52">
        <v>3834.68</v>
      </c>
      <c r="K3297" s="67">
        <f t="shared" si="208"/>
        <v>37187.565669315685</v>
      </c>
      <c r="L3297" s="95">
        <f>+VLOOKUP(E3297,MARGEN!A:B,2,FALSE)</f>
        <v>0.1</v>
      </c>
      <c r="M3297" s="112">
        <f t="shared" si="205"/>
        <v>3718.7565669315686</v>
      </c>
      <c r="N3297" s="113">
        <f t="shared" si="206"/>
        <v>148.75026267726275</v>
      </c>
      <c r="O3297" s="113">
        <f t="shared" si="207"/>
        <v>33320.058839706857</v>
      </c>
    </row>
    <row r="3298" spans="1:15" x14ac:dyDescent="0.25">
      <c r="A3298" s="13">
        <v>44462</v>
      </c>
      <c r="B3298" s="97">
        <v>1439</v>
      </c>
      <c r="C3298" t="s">
        <v>168</v>
      </c>
      <c r="D3298" t="s">
        <v>352</v>
      </c>
      <c r="E3298" t="s">
        <v>17</v>
      </c>
      <c r="F3298" t="s">
        <v>573</v>
      </c>
      <c r="G3298" s="50" t="s">
        <v>574</v>
      </c>
      <c r="H3298" s="50">
        <v>2</v>
      </c>
      <c r="I3298" s="100">
        <v>6.7391919697301583</v>
      </c>
      <c r="J3298" s="52">
        <v>3834.68</v>
      </c>
      <c r="K3298" s="67">
        <f t="shared" si="208"/>
        <v>37187.565669315685</v>
      </c>
      <c r="L3298" s="95">
        <f>+VLOOKUP(E3298,MARGEN!A:B,2,FALSE)</f>
        <v>0.1</v>
      </c>
      <c r="M3298" s="112">
        <f t="shared" si="205"/>
        <v>3718.7565669315686</v>
      </c>
      <c r="N3298" s="113">
        <f t="shared" si="206"/>
        <v>148.75026267726275</v>
      </c>
      <c r="O3298" s="113">
        <f t="shared" si="207"/>
        <v>33320.058839706857</v>
      </c>
    </row>
    <row r="3299" spans="1:15" x14ac:dyDescent="0.25">
      <c r="A3299" s="13">
        <v>44462</v>
      </c>
      <c r="B3299" s="97">
        <v>1391</v>
      </c>
      <c r="C3299" t="s">
        <v>289</v>
      </c>
      <c r="D3299" t="s">
        <v>528</v>
      </c>
      <c r="E3299" t="s">
        <v>17</v>
      </c>
      <c r="F3299" t="s">
        <v>558</v>
      </c>
      <c r="G3299" s="50" t="s">
        <v>574</v>
      </c>
      <c r="H3299" s="50">
        <v>2</v>
      </c>
      <c r="I3299" s="100">
        <v>6.7391919697301583</v>
      </c>
      <c r="J3299" s="52">
        <v>3834.68</v>
      </c>
      <c r="K3299" s="67">
        <f t="shared" si="208"/>
        <v>35947.118725516419</v>
      </c>
      <c r="L3299" s="95">
        <f>+VLOOKUP(E3299,MARGEN!A:B,2,FALSE)</f>
        <v>0.1</v>
      </c>
      <c r="M3299" s="112">
        <f t="shared" si="205"/>
        <v>3594.711872551642</v>
      </c>
      <c r="N3299" s="113">
        <f t="shared" si="206"/>
        <v>143.78847490206567</v>
      </c>
      <c r="O3299" s="113">
        <f t="shared" si="207"/>
        <v>32208.618378062711</v>
      </c>
    </row>
    <row r="3300" spans="1:15" x14ac:dyDescent="0.25">
      <c r="A3300" s="13">
        <v>44462</v>
      </c>
      <c r="B3300" s="97">
        <v>1367</v>
      </c>
      <c r="C3300" t="s">
        <v>173</v>
      </c>
      <c r="D3300" t="s">
        <v>451</v>
      </c>
      <c r="E3300" t="s">
        <v>17</v>
      </c>
      <c r="F3300" t="s">
        <v>573</v>
      </c>
      <c r="G3300" s="50" t="s">
        <v>574</v>
      </c>
      <c r="H3300" s="50">
        <v>2</v>
      </c>
      <c r="I3300" s="100">
        <v>6.7391919697301583</v>
      </c>
      <c r="J3300" s="52">
        <v>3834.68</v>
      </c>
      <c r="K3300" s="67">
        <f t="shared" si="208"/>
        <v>35326.895253616778</v>
      </c>
      <c r="L3300" s="95">
        <f>+VLOOKUP(E3300,MARGEN!A:B,2,FALSE)</f>
        <v>0.1</v>
      </c>
      <c r="M3300" s="112">
        <f t="shared" si="205"/>
        <v>3532.6895253616781</v>
      </c>
      <c r="N3300" s="113">
        <f t="shared" si="206"/>
        <v>141.3075810144671</v>
      </c>
      <c r="O3300" s="113">
        <f t="shared" si="207"/>
        <v>31652.898147240634</v>
      </c>
    </row>
    <row r="3301" spans="1:15" x14ac:dyDescent="0.25">
      <c r="A3301" s="13">
        <v>44462</v>
      </c>
      <c r="B3301" s="97">
        <v>1343</v>
      </c>
      <c r="C3301" t="s">
        <v>292</v>
      </c>
      <c r="D3301" t="s">
        <v>535</v>
      </c>
      <c r="E3301" t="s">
        <v>17</v>
      </c>
      <c r="F3301" t="s">
        <v>573</v>
      </c>
      <c r="G3301" s="50" t="s">
        <v>574</v>
      </c>
      <c r="H3301" s="50">
        <v>2</v>
      </c>
      <c r="I3301" s="100">
        <v>6.7391919697301583</v>
      </c>
      <c r="J3301" s="52">
        <v>3834.68</v>
      </c>
      <c r="K3301" s="67">
        <f t="shared" si="208"/>
        <v>34706.671781717145</v>
      </c>
      <c r="L3301" s="95">
        <f>+VLOOKUP(E3301,MARGEN!A:B,2,FALSE)</f>
        <v>0.1</v>
      </c>
      <c r="M3301" s="112">
        <f t="shared" si="205"/>
        <v>3470.6671781717146</v>
      </c>
      <c r="N3301" s="113">
        <f t="shared" si="206"/>
        <v>138.82668712686859</v>
      </c>
      <c r="O3301" s="113">
        <f t="shared" si="207"/>
        <v>31097.177916418561</v>
      </c>
    </row>
    <row r="3302" spans="1:15" x14ac:dyDescent="0.25">
      <c r="A3302" s="13">
        <v>44462</v>
      </c>
      <c r="B3302" s="97">
        <v>1343</v>
      </c>
      <c r="C3302" t="s">
        <v>166</v>
      </c>
      <c r="D3302" t="s">
        <v>426</v>
      </c>
      <c r="E3302" t="s">
        <v>17</v>
      </c>
      <c r="F3302" t="s">
        <v>558</v>
      </c>
      <c r="G3302" s="50" t="s">
        <v>574</v>
      </c>
      <c r="H3302" s="50">
        <v>2</v>
      </c>
      <c r="I3302" s="100">
        <v>6.7391919697301583</v>
      </c>
      <c r="J3302" s="52">
        <v>3834.68</v>
      </c>
      <c r="K3302" s="67">
        <f t="shared" si="208"/>
        <v>34706.671781717145</v>
      </c>
      <c r="L3302" s="95">
        <f>+VLOOKUP(E3302,MARGEN!A:B,2,FALSE)</f>
        <v>0.1</v>
      </c>
      <c r="M3302" s="112">
        <f t="shared" si="205"/>
        <v>3470.6671781717146</v>
      </c>
      <c r="N3302" s="113">
        <f t="shared" si="206"/>
        <v>138.82668712686859</v>
      </c>
      <c r="O3302" s="113">
        <f t="shared" si="207"/>
        <v>31097.177916418561</v>
      </c>
    </row>
    <row r="3303" spans="1:15" x14ac:dyDescent="0.25">
      <c r="A3303" s="13">
        <v>44462</v>
      </c>
      <c r="B3303" s="97">
        <v>1319</v>
      </c>
      <c r="C3303" t="s">
        <v>118</v>
      </c>
      <c r="D3303" t="s">
        <v>329</v>
      </c>
      <c r="E3303" t="s">
        <v>17</v>
      </c>
      <c r="F3303" t="s">
        <v>573</v>
      </c>
      <c r="G3303" s="50" t="s">
        <v>574</v>
      </c>
      <c r="H3303" s="50">
        <v>2</v>
      </c>
      <c r="I3303" s="100">
        <v>6.7391919697301583</v>
      </c>
      <c r="J3303" s="52">
        <v>3834.68</v>
      </c>
      <c r="K3303" s="67">
        <f t="shared" si="208"/>
        <v>34086.448309817511</v>
      </c>
      <c r="L3303" s="95">
        <f>+VLOOKUP(E3303,MARGEN!A:B,2,FALSE)</f>
        <v>0.1</v>
      </c>
      <c r="M3303" s="112">
        <f t="shared" si="205"/>
        <v>3408.6448309817515</v>
      </c>
      <c r="N3303" s="113">
        <f t="shared" si="206"/>
        <v>136.34579323927005</v>
      </c>
      <c r="O3303" s="113">
        <f t="shared" si="207"/>
        <v>30541.457685596492</v>
      </c>
    </row>
    <row r="3304" spans="1:15" x14ac:dyDescent="0.25">
      <c r="A3304" s="13">
        <v>44462</v>
      </c>
      <c r="B3304" s="97">
        <v>1319</v>
      </c>
      <c r="C3304" t="s">
        <v>141</v>
      </c>
      <c r="D3304" t="s">
        <v>450</v>
      </c>
      <c r="E3304" t="s">
        <v>17</v>
      </c>
      <c r="F3304" t="s">
        <v>573</v>
      </c>
      <c r="G3304" s="50" t="s">
        <v>574</v>
      </c>
      <c r="H3304" s="50">
        <v>2</v>
      </c>
      <c r="I3304" s="100">
        <v>6.7391919697301583</v>
      </c>
      <c r="J3304" s="52">
        <v>3834.68</v>
      </c>
      <c r="K3304" s="67">
        <f t="shared" si="208"/>
        <v>34086.448309817511</v>
      </c>
      <c r="L3304" s="95">
        <f>+VLOOKUP(E3304,MARGEN!A:B,2,FALSE)</f>
        <v>0.1</v>
      </c>
      <c r="M3304" s="112">
        <f t="shared" si="205"/>
        <v>3408.6448309817515</v>
      </c>
      <c r="N3304" s="113">
        <f t="shared" si="206"/>
        <v>136.34579323927005</v>
      </c>
      <c r="O3304" s="113">
        <f t="shared" si="207"/>
        <v>30541.457685596492</v>
      </c>
    </row>
    <row r="3305" spans="1:15" x14ac:dyDescent="0.25">
      <c r="A3305" s="13">
        <v>44462</v>
      </c>
      <c r="B3305" s="97">
        <v>1295</v>
      </c>
      <c r="C3305" t="s">
        <v>151</v>
      </c>
      <c r="D3305" t="s">
        <v>394</v>
      </c>
      <c r="E3305" t="s">
        <v>17</v>
      </c>
      <c r="F3305" t="s">
        <v>573</v>
      </c>
      <c r="G3305" s="50" t="s">
        <v>574</v>
      </c>
      <c r="H3305" s="50">
        <v>2</v>
      </c>
      <c r="I3305" s="100">
        <v>6.7391919697301583</v>
      </c>
      <c r="J3305" s="52">
        <v>3834.68</v>
      </c>
      <c r="K3305" s="67">
        <f t="shared" si="208"/>
        <v>33466.224837917871</v>
      </c>
      <c r="L3305" s="95">
        <f>+VLOOKUP(E3305,MARGEN!A:B,2,FALSE)</f>
        <v>0.1</v>
      </c>
      <c r="M3305" s="112">
        <f t="shared" si="205"/>
        <v>3346.6224837917871</v>
      </c>
      <c r="N3305" s="113">
        <f t="shared" si="206"/>
        <v>133.86489935167148</v>
      </c>
      <c r="O3305" s="113">
        <f t="shared" si="207"/>
        <v>29985.737454774411</v>
      </c>
    </row>
    <row r="3306" spans="1:15" x14ac:dyDescent="0.25">
      <c r="A3306" s="13">
        <v>44462</v>
      </c>
      <c r="B3306" s="97">
        <v>1295</v>
      </c>
      <c r="C3306" t="s">
        <v>303</v>
      </c>
      <c r="D3306" t="s">
        <v>539</v>
      </c>
      <c r="E3306" t="s">
        <v>17</v>
      </c>
      <c r="F3306" t="s">
        <v>573</v>
      </c>
      <c r="G3306" s="50" t="s">
        <v>574</v>
      </c>
      <c r="H3306" s="50">
        <v>2</v>
      </c>
      <c r="I3306" s="100">
        <v>6.7391919697301583</v>
      </c>
      <c r="J3306" s="52">
        <v>3834.68</v>
      </c>
      <c r="K3306" s="67">
        <f t="shared" si="208"/>
        <v>33466.224837917871</v>
      </c>
      <c r="L3306" s="95">
        <f>+VLOOKUP(E3306,MARGEN!A:B,2,FALSE)</f>
        <v>0.1</v>
      </c>
      <c r="M3306" s="112">
        <f t="shared" si="205"/>
        <v>3346.6224837917871</v>
      </c>
      <c r="N3306" s="113">
        <f t="shared" si="206"/>
        <v>133.86489935167148</v>
      </c>
      <c r="O3306" s="113">
        <f t="shared" si="207"/>
        <v>29985.737454774411</v>
      </c>
    </row>
    <row r="3307" spans="1:15" x14ac:dyDescent="0.25">
      <c r="A3307" s="13">
        <v>44462</v>
      </c>
      <c r="B3307" s="97">
        <v>1295</v>
      </c>
      <c r="C3307" t="s">
        <v>302</v>
      </c>
      <c r="D3307" t="s">
        <v>538</v>
      </c>
      <c r="E3307" t="s">
        <v>17</v>
      </c>
      <c r="F3307" t="s">
        <v>573</v>
      </c>
      <c r="G3307" s="50" t="s">
        <v>574</v>
      </c>
      <c r="H3307" s="50">
        <v>2</v>
      </c>
      <c r="I3307" s="100">
        <v>6.7391919697301583</v>
      </c>
      <c r="J3307" s="52">
        <v>3834.68</v>
      </c>
      <c r="K3307" s="67">
        <f t="shared" si="208"/>
        <v>33466.224837917871</v>
      </c>
      <c r="L3307" s="95">
        <f>+VLOOKUP(E3307,MARGEN!A:B,2,FALSE)</f>
        <v>0.1</v>
      </c>
      <c r="M3307" s="112">
        <f t="shared" si="205"/>
        <v>3346.6224837917871</v>
      </c>
      <c r="N3307" s="113">
        <f t="shared" si="206"/>
        <v>133.86489935167148</v>
      </c>
      <c r="O3307" s="113">
        <f t="shared" si="207"/>
        <v>29985.737454774411</v>
      </c>
    </row>
    <row r="3308" spans="1:15" x14ac:dyDescent="0.25">
      <c r="A3308" s="13">
        <v>44462</v>
      </c>
      <c r="B3308" s="97">
        <v>1295</v>
      </c>
      <c r="C3308" t="s">
        <v>211</v>
      </c>
      <c r="D3308" t="s">
        <v>382</v>
      </c>
      <c r="E3308" t="s">
        <v>17</v>
      </c>
      <c r="F3308" t="s">
        <v>558</v>
      </c>
      <c r="G3308" s="50" t="s">
        <v>574</v>
      </c>
      <c r="H3308" s="50">
        <v>2</v>
      </c>
      <c r="I3308" s="100">
        <v>6.7391919697301583</v>
      </c>
      <c r="J3308" s="52">
        <v>3834.68</v>
      </c>
      <c r="K3308" s="67">
        <f t="shared" si="208"/>
        <v>33466.224837917871</v>
      </c>
      <c r="L3308" s="95">
        <f>+VLOOKUP(E3308,MARGEN!A:B,2,FALSE)</f>
        <v>0.1</v>
      </c>
      <c r="M3308" s="112">
        <f t="shared" si="205"/>
        <v>3346.6224837917871</v>
      </c>
      <c r="N3308" s="113">
        <f t="shared" si="206"/>
        <v>133.86489935167148</v>
      </c>
      <c r="O3308" s="113">
        <f t="shared" si="207"/>
        <v>29985.737454774411</v>
      </c>
    </row>
    <row r="3309" spans="1:15" x14ac:dyDescent="0.25">
      <c r="A3309" s="13">
        <v>44462</v>
      </c>
      <c r="B3309" s="97">
        <v>1271</v>
      </c>
      <c r="C3309" t="s">
        <v>183</v>
      </c>
      <c r="D3309" t="s">
        <v>390</v>
      </c>
      <c r="E3309" t="s">
        <v>17</v>
      </c>
      <c r="F3309" t="s">
        <v>573</v>
      </c>
      <c r="G3309" s="50" t="s">
        <v>574</v>
      </c>
      <c r="H3309" s="50">
        <v>2</v>
      </c>
      <c r="I3309" s="100">
        <v>6.7391919697301583</v>
      </c>
      <c r="J3309" s="52">
        <v>3834.68</v>
      </c>
      <c r="K3309" s="67">
        <f t="shared" si="208"/>
        <v>32846.00136601823</v>
      </c>
      <c r="L3309" s="95">
        <f>+VLOOKUP(E3309,MARGEN!A:B,2,FALSE)</f>
        <v>0.1</v>
      </c>
      <c r="M3309" s="112">
        <f t="shared" si="205"/>
        <v>3284.6001366018231</v>
      </c>
      <c r="N3309" s="113">
        <f t="shared" si="206"/>
        <v>131.38400546407291</v>
      </c>
      <c r="O3309" s="113">
        <f t="shared" si="207"/>
        <v>29430.017223952334</v>
      </c>
    </row>
    <row r="3310" spans="1:15" x14ac:dyDescent="0.25">
      <c r="A3310" s="13">
        <v>44462</v>
      </c>
      <c r="B3310" s="97">
        <v>1247</v>
      </c>
      <c r="C3310" t="s">
        <v>300</v>
      </c>
      <c r="D3310" t="s">
        <v>529</v>
      </c>
      <c r="E3310" t="s">
        <v>17</v>
      </c>
      <c r="F3310" t="s">
        <v>558</v>
      </c>
      <c r="G3310" s="50" t="s">
        <v>574</v>
      </c>
      <c r="H3310" s="50">
        <v>2</v>
      </c>
      <c r="I3310" s="100">
        <v>6.7391919697301583</v>
      </c>
      <c r="J3310" s="52">
        <v>3834.68</v>
      </c>
      <c r="K3310" s="67">
        <f t="shared" si="208"/>
        <v>32225.777894118601</v>
      </c>
      <c r="L3310" s="95">
        <f>+VLOOKUP(E3310,MARGEN!A:B,2,FALSE)</f>
        <v>0.1</v>
      </c>
      <c r="M3310" s="112">
        <f t="shared" si="205"/>
        <v>3222.5777894118601</v>
      </c>
      <c r="N3310" s="113">
        <f t="shared" si="206"/>
        <v>128.9031115764744</v>
      </c>
      <c r="O3310" s="113">
        <f t="shared" si="207"/>
        <v>28874.296993130265</v>
      </c>
    </row>
    <row r="3311" spans="1:15" x14ac:dyDescent="0.25">
      <c r="A3311" s="13">
        <v>44462</v>
      </c>
      <c r="B3311" s="97">
        <v>1247</v>
      </c>
      <c r="C3311" t="s">
        <v>298</v>
      </c>
      <c r="D3311" t="s">
        <v>536</v>
      </c>
      <c r="E3311" t="s">
        <v>17</v>
      </c>
      <c r="F3311" t="s">
        <v>573</v>
      </c>
      <c r="G3311" s="50" t="s">
        <v>574</v>
      </c>
      <c r="H3311" s="50">
        <v>2</v>
      </c>
      <c r="I3311" s="100">
        <v>6.7391919697301583</v>
      </c>
      <c r="J3311" s="52">
        <v>3834.68</v>
      </c>
      <c r="K3311" s="67">
        <f t="shared" si="208"/>
        <v>32225.777894118601</v>
      </c>
      <c r="L3311" s="95">
        <f>+VLOOKUP(E3311,MARGEN!A:B,2,FALSE)</f>
        <v>0.1</v>
      </c>
      <c r="M3311" s="112">
        <f t="shared" si="205"/>
        <v>3222.5777894118601</v>
      </c>
      <c r="N3311" s="113">
        <f t="shared" si="206"/>
        <v>128.9031115764744</v>
      </c>
      <c r="O3311" s="113">
        <f t="shared" si="207"/>
        <v>28874.296993130265</v>
      </c>
    </row>
    <row r="3312" spans="1:15" x14ac:dyDescent="0.25">
      <c r="A3312" s="13">
        <v>44462</v>
      </c>
      <c r="B3312" s="97">
        <v>1223</v>
      </c>
      <c r="C3312" t="s">
        <v>199</v>
      </c>
      <c r="D3312" t="s">
        <v>414</v>
      </c>
      <c r="E3312" t="s">
        <v>17</v>
      </c>
      <c r="F3312" t="s">
        <v>573</v>
      </c>
      <c r="G3312" s="50" t="s">
        <v>574</v>
      </c>
      <c r="H3312" s="50">
        <v>2</v>
      </c>
      <c r="I3312" s="100">
        <v>6.7391919697301583</v>
      </c>
      <c r="J3312" s="52">
        <v>3834.68</v>
      </c>
      <c r="K3312" s="67">
        <f t="shared" si="208"/>
        <v>31605.55442221896</v>
      </c>
      <c r="L3312" s="95">
        <f>+VLOOKUP(E3312,MARGEN!A:B,2,FALSE)</f>
        <v>0.1</v>
      </c>
      <c r="M3312" s="112">
        <f t="shared" si="205"/>
        <v>3160.5554422218961</v>
      </c>
      <c r="N3312" s="113">
        <f t="shared" si="206"/>
        <v>126.42221768887585</v>
      </c>
      <c r="O3312" s="113">
        <f t="shared" si="207"/>
        <v>28318.576762308188</v>
      </c>
    </row>
    <row r="3313" spans="1:15" x14ac:dyDescent="0.25">
      <c r="A3313" s="13">
        <v>44462</v>
      </c>
      <c r="B3313" s="97">
        <v>1223</v>
      </c>
      <c r="C3313" t="s">
        <v>299</v>
      </c>
      <c r="D3313" t="s">
        <v>537</v>
      </c>
      <c r="E3313" t="s">
        <v>17</v>
      </c>
      <c r="F3313" t="s">
        <v>558</v>
      </c>
      <c r="G3313" s="50" t="s">
        <v>574</v>
      </c>
      <c r="H3313" s="50">
        <v>2</v>
      </c>
      <c r="I3313" s="100">
        <v>6.7391919697301583</v>
      </c>
      <c r="J3313" s="52">
        <v>3834.68</v>
      </c>
      <c r="K3313" s="67">
        <f t="shared" si="208"/>
        <v>31605.55442221896</v>
      </c>
      <c r="L3313" s="95">
        <f>+VLOOKUP(E3313,MARGEN!A:B,2,FALSE)</f>
        <v>0.1</v>
      </c>
      <c r="M3313" s="112">
        <f t="shared" si="205"/>
        <v>3160.5554422218961</v>
      </c>
      <c r="N3313" s="113">
        <f t="shared" si="206"/>
        <v>126.42221768887585</v>
      </c>
      <c r="O3313" s="113">
        <f t="shared" si="207"/>
        <v>28318.576762308188</v>
      </c>
    </row>
    <row r="3314" spans="1:15" x14ac:dyDescent="0.25">
      <c r="A3314" s="13">
        <v>44462</v>
      </c>
      <c r="B3314" s="97">
        <v>1199</v>
      </c>
      <c r="C3314" t="s">
        <v>308</v>
      </c>
      <c r="D3314" t="s">
        <v>500</v>
      </c>
      <c r="E3314" t="s">
        <v>17</v>
      </c>
      <c r="F3314" t="s">
        <v>558</v>
      </c>
      <c r="G3314" s="50" t="s">
        <v>574</v>
      </c>
      <c r="H3314" s="50">
        <v>2</v>
      </c>
      <c r="I3314" s="100">
        <v>6.7391919697301583</v>
      </c>
      <c r="J3314" s="52">
        <v>3834.68</v>
      </c>
      <c r="K3314" s="67">
        <f t="shared" si="208"/>
        <v>30985.330950319327</v>
      </c>
      <c r="L3314" s="95">
        <f>+VLOOKUP(E3314,MARGEN!A:B,2,FALSE)</f>
        <v>0.1</v>
      </c>
      <c r="M3314" s="112">
        <f t="shared" si="205"/>
        <v>3098.533095031933</v>
      </c>
      <c r="N3314" s="113">
        <f t="shared" si="206"/>
        <v>123.94132380127731</v>
      </c>
      <c r="O3314" s="113">
        <f t="shared" si="207"/>
        <v>27762.856531486115</v>
      </c>
    </row>
    <row r="3315" spans="1:15" x14ac:dyDescent="0.25">
      <c r="A3315" s="13">
        <v>44462</v>
      </c>
      <c r="B3315" s="97">
        <v>1199</v>
      </c>
      <c r="C3315" t="s">
        <v>201</v>
      </c>
      <c r="D3315" t="s">
        <v>374</v>
      </c>
      <c r="E3315" t="s">
        <v>17</v>
      </c>
      <c r="F3315" t="s">
        <v>573</v>
      </c>
      <c r="G3315" s="50" t="s">
        <v>574</v>
      </c>
      <c r="H3315" s="50">
        <v>2</v>
      </c>
      <c r="I3315" s="100">
        <v>6.7391919697301583</v>
      </c>
      <c r="J3315" s="52">
        <v>3834.68</v>
      </c>
      <c r="K3315" s="67">
        <f t="shared" si="208"/>
        <v>30985.330950319327</v>
      </c>
      <c r="L3315" s="95">
        <f>+VLOOKUP(E3315,MARGEN!A:B,2,FALSE)</f>
        <v>0.1</v>
      </c>
      <c r="M3315" s="112">
        <f t="shared" si="205"/>
        <v>3098.533095031933</v>
      </c>
      <c r="N3315" s="113">
        <f t="shared" si="206"/>
        <v>123.94132380127731</v>
      </c>
      <c r="O3315" s="113">
        <f t="shared" si="207"/>
        <v>27762.856531486115</v>
      </c>
    </row>
    <row r="3316" spans="1:15" x14ac:dyDescent="0.25">
      <c r="A3316" s="13">
        <v>44462</v>
      </c>
      <c r="B3316" s="97">
        <v>1151</v>
      </c>
      <c r="C3316" t="s">
        <v>184</v>
      </c>
      <c r="D3316" t="s">
        <v>443</v>
      </c>
      <c r="E3316" t="s">
        <v>17</v>
      </c>
      <c r="F3316" t="s">
        <v>566</v>
      </c>
      <c r="G3316" s="50" t="s">
        <v>574</v>
      </c>
      <c r="H3316" s="50">
        <v>2</v>
      </c>
      <c r="I3316" s="100">
        <v>6.7391919697301583</v>
      </c>
      <c r="J3316" s="52">
        <v>3834.68</v>
      </c>
      <c r="K3316" s="67">
        <f t="shared" si="208"/>
        <v>29744.884006520053</v>
      </c>
      <c r="L3316" s="95">
        <f>+VLOOKUP(E3316,MARGEN!A:B,2,FALSE)</f>
        <v>0.1</v>
      </c>
      <c r="M3316" s="112">
        <f t="shared" si="205"/>
        <v>2974.4884006520056</v>
      </c>
      <c r="N3316" s="113">
        <f t="shared" si="206"/>
        <v>118.97953602608021</v>
      </c>
      <c r="O3316" s="113">
        <f t="shared" si="207"/>
        <v>26651.416069841969</v>
      </c>
    </row>
    <row r="3317" spans="1:15" x14ac:dyDescent="0.25">
      <c r="A3317" s="13">
        <v>44462</v>
      </c>
      <c r="B3317" s="97">
        <v>1127</v>
      </c>
      <c r="C3317" t="s">
        <v>153</v>
      </c>
      <c r="D3317" t="s">
        <v>444</v>
      </c>
      <c r="E3317" t="s">
        <v>17</v>
      </c>
      <c r="F3317" t="s">
        <v>573</v>
      </c>
      <c r="G3317" s="50" t="s">
        <v>574</v>
      </c>
      <c r="H3317" s="50">
        <v>2</v>
      </c>
      <c r="I3317" s="100">
        <v>6.7391919697301583</v>
      </c>
      <c r="J3317" s="52">
        <v>3834.68</v>
      </c>
      <c r="K3317" s="67">
        <f t="shared" si="208"/>
        <v>29124.660534620416</v>
      </c>
      <c r="L3317" s="95">
        <f>+VLOOKUP(E3317,MARGEN!A:B,2,FALSE)</f>
        <v>0.1</v>
      </c>
      <c r="M3317" s="112">
        <f t="shared" si="205"/>
        <v>2912.4660534620416</v>
      </c>
      <c r="N3317" s="113">
        <f t="shared" si="206"/>
        <v>116.49864213848167</v>
      </c>
      <c r="O3317" s="113">
        <f t="shared" si="207"/>
        <v>26095.695839019892</v>
      </c>
    </row>
    <row r="3318" spans="1:15" x14ac:dyDescent="0.25">
      <c r="A3318" s="13">
        <v>44462</v>
      </c>
      <c r="B3318" s="97">
        <v>1055</v>
      </c>
      <c r="C3318" t="s">
        <v>195</v>
      </c>
      <c r="D3318" t="s">
        <v>392</v>
      </c>
      <c r="E3318" t="s">
        <v>17</v>
      </c>
      <c r="F3318" t="s">
        <v>558</v>
      </c>
      <c r="G3318" s="50" t="s">
        <v>574</v>
      </c>
      <c r="H3318" s="50">
        <v>2</v>
      </c>
      <c r="I3318" s="100">
        <v>6.7391919697301583</v>
      </c>
      <c r="J3318" s="52">
        <v>3834.68</v>
      </c>
      <c r="K3318" s="67">
        <f t="shared" si="208"/>
        <v>27263.990118921512</v>
      </c>
      <c r="L3318" s="95">
        <f>+VLOOKUP(E3318,MARGEN!A:B,2,FALSE)</f>
        <v>0.1</v>
      </c>
      <c r="M3318" s="112">
        <f t="shared" si="205"/>
        <v>2726.3990118921515</v>
      </c>
      <c r="N3318" s="113">
        <f t="shared" si="206"/>
        <v>109.05596047568605</v>
      </c>
      <c r="O3318" s="113">
        <f t="shared" si="207"/>
        <v>24428.535146553677</v>
      </c>
    </row>
    <row r="3319" spans="1:15" x14ac:dyDescent="0.25">
      <c r="A3319" s="13">
        <v>44462</v>
      </c>
      <c r="B3319" s="97">
        <v>791</v>
      </c>
      <c r="C3319" t="s">
        <v>307</v>
      </c>
      <c r="D3319" t="s">
        <v>497</v>
      </c>
      <c r="E3319" t="s">
        <v>17</v>
      </c>
      <c r="F3319" t="s">
        <v>566</v>
      </c>
      <c r="G3319" s="50" t="s">
        <v>574</v>
      </c>
      <c r="H3319" s="50">
        <v>2</v>
      </c>
      <c r="I3319" s="100">
        <v>6.7391919697301583</v>
      </c>
      <c r="J3319" s="52">
        <v>3834.68</v>
      </c>
      <c r="K3319" s="67">
        <f t="shared" si="208"/>
        <v>20441.53192802551</v>
      </c>
      <c r="L3319" s="95">
        <f>+VLOOKUP(E3319,MARGEN!A:B,2,FALSE)</f>
        <v>0.1</v>
      </c>
      <c r="M3319" s="112">
        <f t="shared" si="205"/>
        <v>2044.1531928025511</v>
      </c>
      <c r="N3319" s="113">
        <f t="shared" si="206"/>
        <v>81.766127712102033</v>
      </c>
      <c r="O3319" s="113">
        <f t="shared" si="207"/>
        <v>18315.612607510859</v>
      </c>
    </row>
    <row r="3320" spans="1:15" x14ac:dyDescent="0.25">
      <c r="A3320" s="13">
        <v>44462</v>
      </c>
      <c r="B3320" s="97">
        <v>743</v>
      </c>
      <c r="C3320" t="s">
        <v>181</v>
      </c>
      <c r="D3320" t="s">
        <v>415</v>
      </c>
      <c r="E3320" t="s">
        <v>17</v>
      </c>
      <c r="F3320" t="s">
        <v>573</v>
      </c>
      <c r="G3320" s="50" t="s">
        <v>574</v>
      </c>
      <c r="H3320" s="50">
        <v>2</v>
      </c>
      <c r="I3320" s="100">
        <v>6.7391919697301583</v>
      </c>
      <c r="J3320" s="52">
        <v>3834.68</v>
      </c>
      <c r="K3320" s="67">
        <f t="shared" si="208"/>
        <v>19201.08498422624</v>
      </c>
      <c r="L3320" s="95">
        <f>+VLOOKUP(E3320,MARGEN!A:B,2,FALSE)</f>
        <v>0.1</v>
      </c>
      <c r="M3320" s="112">
        <f t="shared" si="205"/>
        <v>1920.1084984226241</v>
      </c>
      <c r="N3320" s="113">
        <f t="shared" si="206"/>
        <v>76.804339936904952</v>
      </c>
      <c r="O3320" s="113">
        <f t="shared" si="207"/>
        <v>17204.172145866709</v>
      </c>
    </row>
    <row r="3321" spans="1:15" x14ac:dyDescent="0.25">
      <c r="A3321" s="13">
        <v>44463</v>
      </c>
      <c r="B3321" s="97">
        <v>3959</v>
      </c>
      <c r="C3321" t="s">
        <v>301</v>
      </c>
      <c r="D3321" t="s">
        <v>521</v>
      </c>
      <c r="E3321" t="s">
        <v>17</v>
      </c>
      <c r="F3321" t="s">
        <v>558</v>
      </c>
      <c r="G3321" s="50" t="s">
        <v>574</v>
      </c>
      <c r="H3321" s="50">
        <v>2</v>
      </c>
      <c r="I3321" s="100">
        <v>6.7391919697301583</v>
      </c>
      <c r="J3321" s="52">
        <v>3834.68</v>
      </c>
      <c r="K3321" s="67">
        <f t="shared" si="208"/>
        <v>102311.03021877749</v>
      </c>
      <c r="L3321" s="95">
        <f>+VLOOKUP(E3321,MARGEN!A:B,2,FALSE)</f>
        <v>0.1</v>
      </c>
      <c r="M3321" s="112">
        <f t="shared" si="205"/>
        <v>10231.103021877751</v>
      </c>
      <c r="N3321" s="113">
        <f t="shared" si="206"/>
        <v>409.24412087510996</v>
      </c>
      <c r="O3321" s="113">
        <f t="shared" si="207"/>
        <v>91670.683076024638</v>
      </c>
    </row>
    <row r="3322" spans="1:15" x14ac:dyDescent="0.25">
      <c r="A3322" s="13">
        <v>44463</v>
      </c>
      <c r="B3322" s="97">
        <v>3887</v>
      </c>
      <c r="C3322" t="s">
        <v>293</v>
      </c>
      <c r="D3322" t="s">
        <v>499</v>
      </c>
      <c r="E3322" t="s">
        <v>17</v>
      </c>
      <c r="F3322" t="s">
        <v>573</v>
      </c>
      <c r="G3322" s="50" t="s">
        <v>574</v>
      </c>
      <c r="H3322" s="50">
        <v>2</v>
      </c>
      <c r="I3322" s="100">
        <v>6.7391919697301583</v>
      </c>
      <c r="J3322" s="52">
        <v>3834.68</v>
      </c>
      <c r="K3322" s="67">
        <f t="shared" si="208"/>
        <v>100450.35980307858</v>
      </c>
      <c r="L3322" s="95">
        <f>+VLOOKUP(E3322,MARGEN!A:B,2,FALSE)</f>
        <v>0.1</v>
      </c>
      <c r="M3322" s="112">
        <f t="shared" si="205"/>
        <v>10045.035980307859</v>
      </c>
      <c r="N3322" s="113">
        <f t="shared" si="206"/>
        <v>401.80143921231434</v>
      </c>
      <c r="O3322" s="113">
        <f t="shared" si="207"/>
        <v>90003.522383558404</v>
      </c>
    </row>
    <row r="3323" spans="1:15" x14ac:dyDescent="0.25">
      <c r="A3323" s="13">
        <v>44463</v>
      </c>
      <c r="B3323" s="97">
        <v>3791</v>
      </c>
      <c r="C3323" t="s">
        <v>144</v>
      </c>
      <c r="D3323" t="s">
        <v>343</v>
      </c>
      <c r="E3323" t="s">
        <v>17</v>
      </c>
      <c r="F3323" t="s">
        <v>573</v>
      </c>
      <c r="G3323" s="50" t="s">
        <v>574</v>
      </c>
      <c r="H3323" s="50">
        <v>2</v>
      </c>
      <c r="I3323" s="100">
        <v>6.7391919697301583</v>
      </c>
      <c r="J3323" s="52">
        <v>3834.68</v>
      </c>
      <c r="K3323" s="67">
        <f t="shared" si="208"/>
        <v>97969.465915480032</v>
      </c>
      <c r="L3323" s="95">
        <f>+VLOOKUP(E3323,MARGEN!A:B,2,FALSE)</f>
        <v>0.1</v>
      </c>
      <c r="M3323" s="112">
        <f t="shared" si="205"/>
        <v>9796.9465915480032</v>
      </c>
      <c r="N3323" s="113">
        <f t="shared" si="206"/>
        <v>391.87786366192012</v>
      </c>
      <c r="O3323" s="113">
        <f t="shared" si="207"/>
        <v>87780.641460270112</v>
      </c>
    </row>
    <row r="3324" spans="1:15" x14ac:dyDescent="0.25">
      <c r="A3324" s="13">
        <v>44463</v>
      </c>
      <c r="B3324" s="97">
        <v>3599</v>
      </c>
      <c r="C3324" t="s">
        <v>192</v>
      </c>
      <c r="D3324" t="s">
        <v>347</v>
      </c>
      <c r="E3324" t="s">
        <v>17</v>
      </c>
      <c r="F3324" t="s">
        <v>573</v>
      </c>
      <c r="G3324" s="50" t="s">
        <v>574</v>
      </c>
      <c r="H3324" s="50">
        <v>2</v>
      </c>
      <c r="I3324" s="100">
        <v>6.7391919697301583</v>
      </c>
      <c r="J3324" s="52">
        <v>3834.68</v>
      </c>
      <c r="K3324" s="67">
        <f t="shared" si="208"/>
        <v>93007.678140282951</v>
      </c>
      <c r="L3324" s="95">
        <f>+VLOOKUP(E3324,MARGEN!A:B,2,FALSE)</f>
        <v>0.1</v>
      </c>
      <c r="M3324" s="112">
        <f t="shared" si="205"/>
        <v>9300.7678140282951</v>
      </c>
      <c r="N3324" s="113">
        <f t="shared" si="206"/>
        <v>372.03071256113179</v>
      </c>
      <c r="O3324" s="113">
        <f t="shared" si="207"/>
        <v>83334.879613693527</v>
      </c>
    </row>
    <row r="3325" spans="1:15" x14ac:dyDescent="0.25">
      <c r="A3325" s="13">
        <v>44463</v>
      </c>
      <c r="B3325" s="97">
        <v>3551</v>
      </c>
      <c r="C3325" t="s">
        <v>149</v>
      </c>
      <c r="D3325" t="s">
        <v>325</v>
      </c>
      <c r="E3325" t="s">
        <v>17</v>
      </c>
      <c r="F3325" t="s">
        <v>573</v>
      </c>
      <c r="G3325" s="50" t="s">
        <v>574</v>
      </c>
      <c r="H3325" s="50">
        <v>2</v>
      </c>
      <c r="I3325" s="100">
        <v>6.7391919697301583</v>
      </c>
      <c r="J3325" s="52">
        <v>3834.68</v>
      </c>
      <c r="K3325" s="67">
        <f t="shared" si="208"/>
        <v>91767.23119648367</v>
      </c>
      <c r="L3325" s="95">
        <f>+VLOOKUP(E3325,MARGEN!A:B,2,FALSE)</f>
        <v>0.1</v>
      </c>
      <c r="M3325" s="112">
        <f t="shared" si="205"/>
        <v>9176.7231196483681</v>
      </c>
      <c r="N3325" s="113">
        <f t="shared" si="206"/>
        <v>367.06892478593466</v>
      </c>
      <c r="O3325" s="113">
        <f t="shared" si="207"/>
        <v>82223.439152049366</v>
      </c>
    </row>
    <row r="3326" spans="1:15" x14ac:dyDescent="0.25">
      <c r="A3326" s="13">
        <v>44463</v>
      </c>
      <c r="B3326" s="97">
        <v>3479</v>
      </c>
      <c r="C3326" t="s">
        <v>165</v>
      </c>
      <c r="D3326" t="s">
        <v>375</v>
      </c>
      <c r="E3326" t="s">
        <v>17</v>
      </c>
      <c r="F3326" t="s">
        <v>573</v>
      </c>
      <c r="G3326" s="50" t="s">
        <v>574</v>
      </c>
      <c r="H3326" s="50">
        <v>2</v>
      </c>
      <c r="I3326" s="100">
        <v>6.7391919697301583</v>
      </c>
      <c r="J3326" s="52">
        <v>3834.68</v>
      </c>
      <c r="K3326" s="67">
        <f t="shared" si="208"/>
        <v>89906.56078078477</v>
      </c>
      <c r="L3326" s="95">
        <f>+VLOOKUP(E3326,MARGEN!A:B,2,FALSE)</f>
        <v>0.1</v>
      </c>
      <c r="M3326" s="112">
        <f t="shared" si="205"/>
        <v>8990.6560780784766</v>
      </c>
      <c r="N3326" s="113">
        <f t="shared" si="206"/>
        <v>359.62624312313909</v>
      </c>
      <c r="O3326" s="113">
        <f t="shared" si="207"/>
        <v>80556.278459583147</v>
      </c>
    </row>
    <row r="3327" spans="1:15" x14ac:dyDescent="0.25">
      <c r="A3327" s="43">
        <v>44463</v>
      </c>
      <c r="B3327" s="51">
        <v>3383</v>
      </c>
      <c r="C3327" s="66" t="s">
        <v>135</v>
      </c>
      <c r="D3327" s="66" t="s">
        <v>533</v>
      </c>
      <c r="E3327" t="s">
        <v>17</v>
      </c>
      <c r="F3327" s="50" t="s">
        <v>558</v>
      </c>
      <c r="G3327" s="50" t="s">
        <v>574</v>
      </c>
      <c r="H3327" s="50">
        <v>2</v>
      </c>
      <c r="I3327" s="100">
        <v>6.7391919697301583</v>
      </c>
      <c r="J3327" s="52">
        <v>3834.68</v>
      </c>
      <c r="K3327" s="67">
        <f t="shared" si="208"/>
        <v>87425.666893186222</v>
      </c>
      <c r="L3327" s="95">
        <f>+VLOOKUP(E3327,MARGEN!A:B,2,FALSE)</f>
        <v>0.1</v>
      </c>
      <c r="M3327" s="112">
        <f t="shared" si="205"/>
        <v>8742.5666893186226</v>
      </c>
      <c r="N3327" s="113">
        <f t="shared" si="206"/>
        <v>349.70266757274487</v>
      </c>
      <c r="O3327" s="113">
        <f t="shared" si="207"/>
        <v>78333.397536294855</v>
      </c>
    </row>
    <row r="3328" spans="1:15" x14ac:dyDescent="0.25">
      <c r="A3328" s="13">
        <v>44463</v>
      </c>
      <c r="B3328" s="97">
        <v>3359</v>
      </c>
      <c r="C3328" t="s">
        <v>309</v>
      </c>
      <c r="D3328" t="s">
        <v>544</v>
      </c>
      <c r="E3328" t="s">
        <v>17</v>
      </c>
      <c r="F3328" t="s">
        <v>573</v>
      </c>
      <c r="G3328" s="50" t="s">
        <v>574</v>
      </c>
      <c r="H3328" s="50">
        <v>2</v>
      </c>
      <c r="I3328" s="100">
        <v>6.7391919697301583</v>
      </c>
      <c r="J3328" s="52">
        <v>3834.68</v>
      </c>
      <c r="K3328" s="67">
        <f t="shared" si="208"/>
        <v>86805.443421286589</v>
      </c>
      <c r="L3328" s="95">
        <f>+VLOOKUP(E3328,MARGEN!A:B,2,FALSE)</f>
        <v>0.1</v>
      </c>
      <c r="M3328" s="112">
        <f t="shared" si="205"/>
        <v>8680.54434212866</v>
      </c>
      <c r="N3328" s="113">
        <f t="shared" si="206"/>
        <v>347.22177368514633</v>
      </c>
      <c r="O3328" s="113">
        <f t="shared" si="207"/>
        <v>77777.677305472782</v>
      </c>
    </row>
    <row r="3329" spans="1:15" x14ac:dyDescent="0.25">
      <c r="A3329" s="13">
        <v>44463</v>
      </c>
      <c r="B3329" s="97">
        <v>2903</v>
      </c>
      <c r="C3329" t="s">
        <v>134</v>
      </c>
      <c r="D3329" t="s">
        <v>362</v>
      </c>
      <c r="E3329" t="s">
        <v>17</v>
      </c>
      <c r="F3329" t="s">
        <v>573</v>
      </c>
      <c r="G3329" s="50" t="s">
        <v>574</v>
      </c>
      <c r="H3329" s="50">
        <v>2</v>
      </c>
      <c r="I3329" s="100">
        <v>6.7391919697301583</v>
      </c>
      <c r="J3329" s="52">
        <v>3834.68</v>
      </c>
      <c r="K3329" s="67">
        <f t="shared" si="208"/>
        <v>75021.197455193484</v>
      </c>
      <c r="L3329" s="95">
        <f>+VLOOKUP(E3329,MARGEN!A:B,2,FALSE)</f>
        <v>0.1</v>
      </c>
      <c r="M3329" s="112">
        <f t="shared" si="205"/>
        <v>7502.1197455193487</v>
      </c>
      <c r="N3329" s="113">
        <f t="shared" si="206"/>
        <v>300.08478982077395</v>
      </c>
      <c r="O3329" s="113">
        <f t="shared" si="207"/>
        <v>67218.992919853365</v>
      </c>
    </row>
    <row r="3330" spans="1:15" x14ac:dyDescent="0.25">
      <c r="A3330" s="13">
        <v>44463</v>
      </c>
      <c r="B3330" s="97">
        <v>2783</v>
      </c>
      <c r="C3330" t="s">
        <v>131</v>
      </c>
      <c r="D3330" t="s">
        <v>344</v>
      </c>
      <c r="E3330" t="s">
        <v>17</v>
      </c>
      <c r="F3330" t="s">
        <v>573</v>
      </c>
      <c r="G3330" s="50" t="s">
        <v>574</v>
      </c>
      <c r="H3330" s="50">
        <v>2</v>
      </c>
      <c r="I3330" s="100">
        <v>6.7391919697301583</v>
      </c>
      <c r="J3330" s="52">
        <v>3834.68</v>
      </c>
      <c r="K3330" s="67">
        <f t="shared" si="208"/>
        <v>71920.080095695317</v>
      </c>
      <c r="L3330" s="95">
        <f>+VLOOKUP(E3330,MARGEN!A:B,2,FALSE)</f>
        <v>0.1</v>
      </c>
      <c r="M3330" s="112">
        <f t="shared" si="205"/>
        <v>7192.0080095695321</v>
      </c>
      <c r="N3330" s="113">
        <f t="shared" si="206"/>
        <v>287.68032038278125</v>
      </c>
      <c r="O3330" s="113">
        <f t="shared" si="207"/>
        <v>64440.391765743007</v>
      </c>
    </row>
    <row r="3331" spans="1:15" x14ac:dyDescent="0.25">
      <c r="A3331" s="13">
        <v>44463</v>
      </c>
      <c r="B3331" s="97">
        <v>2783</v>
      </c>
      <c r="C3331" t="s">
        <v>189</v>
      </c>
      <c r="D3331" t="s">
        <v>431</v>
      </c>
      <c r="E3331" t="s">
        <v>17</v>
      </c>
      <c r="F3331" t="s">
        <v>558</v>
      </c>
      <c r="G3331" s="50" t="s">
        <v>574</v>
      </c>
      <c r="H3331" s="50">
        <v>2</v>
      </c>
      <c r="I3331" s="100">
        <v>6.7391919697301583</v>
      </c>
      <c r="J3331" s="52">
        <v>3834.68</v>
      </c>
      <c r="K3331" s="67">
        <f t="shared" si="208"/>
        <v>71920.080095695317</v>
      </c>
      <c r="L3331" s="95">
        <f>+VLOOKUP(E3331,MARGEN!A:B,2,FALSE)</f>
        <v>0.1</v>
      </c>
      <c r="M3331" s="112">
        <f t="shared" ref="M3331:M3394" si="209">+K3331*L3331</f>
        <v>7192.0080095695321</v>
      </c>
      <c r="N3331" s="113">
        <f t="shared" ref="N3331:N3394" si="210">+K3331*4/1000</f>
        <v>287.68032038278125</v>
      </c>
      <c r="O3331" s="113">
        <f t="shared" ref="O3331:O3394" si="211">+K3331-M3331-N3331</f>
        <v>64440.391765743007</v>
      </c>
    </row>
    <row r="3332" spans="1:15" x14ac:dyDescent="0.25">
      <c r="A3332" s="13">
        <v>44463</v>
      </c>
      <c r="B3332" s="97">
        <v>2711</v>
      </c>
      <c r="C3332" t="s">
        <v>132</v>
      </c>
      <c r="D3332" t="s">
        <v>376</v>
      </c>
      <c r="E3332" t="s">
        <v>17</v>
      </c>
      <c r="F3332" t="s">
        <v>573</v>
      </c>
      <c r="G3332" s="50" t="s">
        <v>574</v>
      </c>
      <c r="H3332" s="50">
        <v>2</v>
      </c>
      <c r="I3332" s="100">
        <v>6.7391919697301583</v>
      </c>
      <c r="J3332" s="52">
        <v>3834.68</v>
      </c>
      <c r="K3332" s="67">
        <f t="shared" si="208"/>
        <v>70059.409679996417</v>
      </c>
      <c r="L3332" s="95">
        <f>+VLOOKUP(E3332,MARGEN!A:B,2,FALSE)</f>
        <v>0.1</v>
      </c>
      <c r="M3332" s="112">
        <f t="shared" si="209"/>
        <v>7005.9409679996425</v>
      </c>
      <c r="N3332" s="113">
        <f t="shared" si="210"/>
        <v>280.23763871998568</v>
      </c>
      <c r="O3332" s="113">
        <f t="shared" si="211"/>
        <v>62773.231073276787</v>
      </c>
    </row>
    <row r="3333" spans="1:15" x14ac:dyDescent="0.25">
      <c r="A3333" s="13">
        <v>44463</v>
      </c>
      <c r="B3333" s="97">
        <v>2663</v>
      </c>
      <c r="C3333" t="s">
        <v>186</v>
      </c>
      <c r="D3333" t="s">
        <v>440</v>
      </c>
      <c r="E3333" t="s">
        <v>17</v>
      </c>
      <c r="F3333" t="s">
        <v>573</v>
      </c>
      <c r="G3333" s="50" t="s">
        <v>574</v>
      </c>
      <c r="H3333" s="50">
        <v>2</v>
      </c>
      <c r="I3333" s="100">
        <v>6.7391919697301583</v>
      </c>
      <c r="J3333" s="52">
        <v>3834.68</v>
      </c>
      <c r="K3333" s="67">
        <f t="shared" si="208"/>
        <v>68818.962736197136</v>
      </c>
      <c r="L3333" s="95">
        <f>+VLOOKUP(E3333,MARGEN!A:B,2,FALSE)</f>
        <v>0.1</v>
      </c>
      <c r="M3333" s="112">
        <f t="shared" si="209"/>
        <v>6881.8962736197136</v>
      </c>
      <c r="N3333" s="113">
        <f t="shared" si="210"/>
        <v>275.27585094478854</v>
      </c>
      <c r="O3333" s="113">
        <f t="shared" si="211"/>
        <v>61661.790611632634</v>
      </c>
    </row>
    <row r="3334" spans="1:15" x14ac:dyDescent="0.25">
      <c r="A3334" s="13">
        <v>44463</v>
      </c>
      <c r="B3334" s="97">
        <v>2615</v>
      </c>
      <c r="C3334" t="s">
        <v>146</v>
      </c>
      <c r="D3334" t="s">
        <v>348</v>
      </c>
      <c r="E3334" t="s">
        <v>17</v>
      </c>
      <c r="F3334" t="s">
        <v>573</v>
      </c>
      <c r="G3334" s="50" t="s">
        <v>574</v>
      </c>
      <c r="H3334" s="50">
        <v>2</v>
      </c>
      <c r="I3334" s="100">
        <v>6.7391919697301583</v>
      </c>
      <c r="J3334" s="52">
        <v>3834.68</v>
      </c>
      <c r="K3334" s="67">
        <f t="shared" si="208"/>
        <v>67578.51579239787</v>
      </c>
      <c r="L3334" s="95">
        <f>+VLOOKUP(E3334,MARGEN!A:B,2,FALSE)</f>
        <v>0.1</v>
      </c>
      <c r="M3334" s="112">
        <f t="shared" si="209"/>
        <v>6757.8515792397875</v>
      </c>
      <c r="N3334" s="113">
        <f t="shared" si="210"/>
        <v>270.31406316959146</v>
      </c>
      <c r="O3334" s="113">
        <f t="shared" si="211"/>
        <v>60550.350149988488</v>
      </c>
    </row>
    <row r="3335" spans="1:15" x14ac:dyDescent="0.25">
      <c r="A3335" s="13">
        <v>44463</v>
      </c>
      <c r="B3335" s="97">
        <v>2567</v>
      </c>
      <c r="C3335" t="s">
        <v>310</v>
      </c>
      <c r="D3335" t="s">
        <v>540</v>
      </c>
      <c r="E3335" t="s">
        <v>17</v>
      </c>
      <c r="F3335" t="s">
        <v>573</v>
      </c>
      <c r="G3335" s="50" t="s">
        <v>574</v>
      </c>
      <c r="H3335" s="50">
        <v>2</v>
      </c>
      <c r="I3335" s="100">
        <v>6.7391919697301583</v>
      </c>
      <c r="J3335" s="52">
        <v>3834.68</v>
      </c>
      <c r="K3335" s="67">
        <f t="shared" si="208"/>
        <v>66338.068848598588</v>
      </c>
      <c r="L3335" s="95">
        <f>+VLOOKUP(E3335,MARGEN!A:B,2,FALSE)</f>
        <v>0.1</v>
      </c>
      <c r="M3335" s="112">
        <f t="shared" si="209"/>
        <v>6633.8068848598596</v>
      </c>
      <c r="N3335" s="113">
        <f t="shared" si="210"/>
        <v>265.35227539439433</v>
      </c>
      <c r="O3335" s="113">
        <f t="shared" si="211"/>
        <v>59438.909688344334</v>
      </c>
    </row>
    <row r="3336" spans="1:15" x14ac:dyDescent="0.25">
      <c r="A3336" s="13">
        <v>44463</v>
      </c>
      <c r="B3336" s="97">
        <v>2519</v>
      </c>
      <c r="C3336" t="s">
        <v>127</v>
      </c>
      <c r="D3336" t="s">
        <v>411</v>
      </c>
      <c r="E3336" t="s">
        <v>17</v>
      </c>
      <c r="F3336" t="s">
        <v>573</v>
      </c>
      <c r="G3336" s="50" t="s">
        <v>574</v>
      </c>
      <c r="H3336" s="50">
        <v>2</v>
      </c>
      <c r="I3336" s="100">
        <v>6.7391919697301583</v>
      </c>
      <c r="J3336" s="52">
        <v>3834.68</v>
      </c>
      <c r="K3336" s="67">
        <f t="shared" si="208"/>
        <v>65097.621904799322</v>
      </c>
      <c r="L3336" s="95">
        <f>+VLOOKUP(E3336,MARGEN!A:B,2,FALSE)</f>
        <v>0.1</v>
      </c>
      <c r="M3336" s="112">
        <f t="shared" si="209"/>
        <v>6509.7621904799325</v>
      </c>
      <c r="N3336" s="113">
        <f t="shared" si="210"/>
        <v>260.3904876191973</v>
      </c>
      <c r="O3336" s="113">
        <f t="shared" si="211"/>
        <v>58327.469226700196</v>
      </c>
    </row>
    <row r="3337" spans="1:15" x14ac:dyDescent="0.25">
      <c r="A3337" s="13">
        <v>44463</v>
      </c>
      <c r="B3337" s="97">
        <v>2519</v>
      </c>
      <c r="C3337" t="s">
        <v>163</v>
      </c>
      <c r="D3337" t="s">
        <v>398</v>
      </c>
      <c r="E3337" t="s">
        <v>17</v>
      </c>
      <c r="F3337" t="s">
        <v>573</v>
      </c>
      <c r="G3337" s="50" t="s">
        <v>574</v>
      </c>
      <c r="H3337" s="50">
        <v>2</v>
      </c>
      <c r="I3337" s="100">
        <v>6.7391919697301583</v>
      </c>
      <c r="J3337" s="52">
        <v>3834.68</v>
      </c>
      <c r="K3337" s="67">
        <f t="shared" ref="K3337:K3400" si="212">+B3337*I3337*J3337/1000</f>
        <v>65097.621904799322</v>
      </c>
      <c r="L3337" s="95">
        <f>+VLOOKUP(E3337,MARGEN!A:B,2,FALSE)</f>
        <v>0.1</v>
      </c>
      <c r="M3337" s="112">
        <f t="shared" si="209"/>
        <v>6509.7621904799325</v>
      </c>
      <c r="N3337" s="113">
        <f t="shared" si="210"/>
        <v>260.3904876191973</v>
      </c>
      <c r="O3337" s="113">
        <f t="shared" si="211"/>
        <v>58327.469226700196</v>
      </c>
    </row>
    <row r="3338" spans="1:15" x14ac:dyDescent="0.25">
      <c r="A3338" s="13">
        <v>44463</v>
      </c>
      <c r="B3338" s="97">
        <v>2447</v>
      </c>
      <c r="C3338" t="s">
        <v>162</v>
      </c>
      <c r="D3338" t="s">
        <v>391</v>
      </c>
      <c r="E3338" t="s">
        <v>17</v>
      </c>
      <c r="F3338" t="s">
        <v>558</v>
      </c>
      <c r="G3338" s="50" t="s">
        <v>574</v>
      </c>
      <c r="H3338" s="50">
        <v>2</v>
      </c>
      <c r="I3338" s="100">
        <v>6.7391919697301583</v>
      </c>
      <c r="J3338" s="52">
        <v>3834.68</v>
      </c>
      <c r="K3338" s="67">
        <f t="shared" si="212"/>
        <v>63236.951489100415</v>
      </c>
      <c r="L3338" s="95">
        <f>+VLOOKUP(E3338,MARGEN!A:B,2,FALSE)</f>
        <v>0.1</v>
      </c>
      <c r="M3338" s="112">
        <f t="shared" si="209"/>
        <v>6323.695148910042</v>
      </c>
      <c r="N3338" s="113">
        <f t="shared" si="210"/>
        <v>252.94780595640165</v>
      </c>
      <c r="O3338" s="113">
        <f t="shared" si="211"/>
        <v>56660.308534233976</v>
      </c>
    </row>
    <row r="3339" spans="1:15" x14ac:dyDescent="0.25">
      <c r="A3339" s="13">
        <v>44463</v>
      </c>
      <c r="B3339" s="97">
        <v>2423</v>
      </c>
      <c r="C3339" t="s">
        <v>281</v>
      </c>
      <c r="D3339" t="s">
        <v>495</v>
      </c>
      <c r="E3339" t="s">
        <v>17</v>
      </c>
      <c r="F3339" t="s">
        <v>573</v>
      </c>
      <c r="G3339" s="50" t="s">
        <v>574</v>
      </c>
      <c r="H3339" s="50">
        <v>2</v>
      </c>
      <c r="I3339" s="100">
        <v>6.7391919697301583</v>
      </c>
      <c r="J3339" s="52">
        <v>3834.68</v>
      </c>
      <c r="K3339" s="67">
        <f t="shared" si="212"/>
        <v>62616.728017200774</v>
      </c>
      <c r="L3339" s="95">
        <f>+VLOOKUP(E3339,MARGEN!A:B,2,FALSE)</f>
        <v>0.1</v>
      </c>
      <c r="M3339" s="112">
        <f t="shared" si="209"/>
        <v>6261.6728017200776</v>
      </c>
      <c r="N3339" s="113">
        <f t="shared" si="210"/>
        <v>250.46691206880308</v>
      </c>
      <c r="O3339" s="113">
        <f t="shared" si="211"/>
        <v>56104.588303411889</v>
      </c>
    </row>
    <row r="3340" spans="1:15" x14ac:dyDescent="0.25">
      <c r="A3340" s="43">
        <v>44463</v>
      </c>
      <c r="B3340" s="97">
        <v>2351</v>
      </c>
      <c r="C3340" s="88" t="s">
        <v>283</v>
      </c>
      <c r="D3340" s="88" t="s">
        <v>543</v>
      </c>
      <c r="E3340" t="s">
        <v>17</v>
      </c>
      <c r="F3340" s="88" t="s">
        <v>558</v>
      </c>
      <c r="G3340" s="50" t="s">
        <v>574</v>
      </c>
      <c r="H3340" s="50">
        <v>2</v>
      </c>
      <c r="I3340" s="100">
        <v>6.7391919697301583</v>
      </c>
      <c r="J3340" s="52">
        <v>3834.68</v>
      </c>
      <c r="K3340" s="67">
        <f t="shared" si="212"/>
        <v>60756.057601501867</v>
      </c>
      <c r="L3340" s="95">
        <f>+VLOOKUP(E3340,MARGEN!A:B,2,FALSE)</f>
        <v>0.1</v>
      </c>
      <c r="M3340" s="112">
        <f t="shared" si="209"/>
        <v>6075.6057601501871</v>
      </c>
      <c r="N3340" s="113">
        <f t="shared" si="210"/>
        <v>243.02423040600746</v>
      </c>
      <c r="O3340" s="113">
        <f t="shared" si="211"/>
        <v>54437.42761094567</v>
      </c>
    </row>
    <row r="3341" spans="1:15" x14ac:dyDescent="0.25">
      <c r="A3341" s="13">
        <v>44463</v>
      </c>
      <c r="B3341" s="97">
        <v>2327</v>
      </c>
      <c r="C3341" t="s">
        <v>156</v>
      </c>
      <c r="D3341" t="s">
        <v>429</v>
      </c>
      <c r="E3341" t="s">
        <v>17</v>
      </c>
      <c r="F3341" t="s">
        <v>573</v>
      </c>
      <c r="G3341" s="50" t="s">
        <v>574</v>
      </c>
      <c r="H3341" s="50">
        <v>2</v>
      </c>
      <c r="I3341" s="100">
        <v>6.7391919697301583</v>
      </c>
      <c r="J3341" s="52">
        <v>3834.68</v>
      </c>
      <c r="K3341" s="67">
        <f t="shared" si="212"/>
        <v>60135.834129602234</v>
      </c>
      <c r="L3341" s="95">
        <f>+VLOOKUP(E3341,MARGEN!A:B,2,FALSE)</f>
        <v>0.1</v>
      </c>
      <c r="M3341" s="112">
        <f t="shared" si="209"/>
        <v>6013.5834129602235</v>
      </c>
      <c r="N3341" s="113">
        <f t="shared" si="210"/>
        <v>240.54333651840892</v>
      </c>
      <c r="O3341" s="113">
        <f t="shared" si="211"/>
        <v>53881.707380123604</v>
      </c>
    </row>
    <row r="3342" spans="1:15" x14ac:dyDescent="0.25">
      <c r="A3342" s="13">
        <v>44463</v>
      </c>
      <c r="B3342" s="97">
        <v>2303</v>
      </c>
      <c r="C3342" t="s">
        <v>128</v>
      </c>
      <c r="D3342" t="s">
        <v>416</v>
      </c>
      <c r="E3342" t="s">
        <v>17</v>
      </c>
      <c r="F3342" t="s">
        <v>573</v>
      </c>
      <c r="G3342" s="50" t="s">
        <v>574</v>
      </c>
      <c r="H3342" s="50">
        <v>2</v>
      </c>
      <c r="I3342" s="100">
        <v>6.7391919697301583</v>
      </c>
      <c r="J3342" s="52">
        <v>3834.68</v>
      </c>
      <c r="K3342" s="67">
        <f t="shared" si="212"/>
        <v>59515.610657702593</v>
      </c>
      <c r="L3342" s="95">
        <f>+VLOOKUP(E3342,MARGEN!A:B,2,FALSE)</f>
        <v>0.1</v>
      </c>
      <c r="M3342" s="112">
        <f t="shared" si="209"/>
        <v>5951.56106577026</v>
      </c>
      <c r="N3342" s="113">
        <f t="shared" si="210"/>
        <v>238.06244263081038</v>
      </c>
      <c r="O3342" s="113">
        <f t="shared" si="211"/>
        <v>53325.987149301516</v>
      </c>
    </row>
    <row r="3343" spans="1:15" x14ac:dyDescent="0.25">
      <c r="A3343" s="13">
        <v>44463</v>
      </c>
      <c r="B3343" s="97">
        <v>2303</v>
      </c>
      <c r="C3343" t="s">
        <v>130</v>
      </c>
      <c r="D3343" t="s">
        <v>367</v>
      </c>
      <c r="E3343" t="s">
        <v>17</v>
      </c>
      <c r="F3343" t="s">
        <v>573</v>
      </c>
      <c r="G3343" s="50" t="s">
        <v>574</v>
      </c>
      <c r="H3343" s="50">
        <v>2</v>
      </c>
      <c r="I3343" s="100">
        <v>6.7391919697301583</v>
      </c>
      <c r="J3343" s="52">
        <v>3834.68</v>
      </c>
      <c r="K3343" s="67">
        <f t="shared" si="212"/>
        <v>59515.610657702593</v>
      </c>
      <c r="L3343" s="95">
        <f>+VLOOKUP(E3343,MARGEN!A:B,2,FALSE)</f>
        <v>0.1</v>
      </c>
      <c r="M3343" s="112">
        <f t="shared" si="209"/>
        <v>5951.56106577026</v>
      </c>
      <c r="N3343" s="113">
        <f t="shared" si="210"/>
        <v>238.06244263081038</v>
      </c>
      <c r="O3343" s="113">
        <f t="shared" si="211"/>
        <v>53325.987149301516</v>
      </c>
    </row>
    <row r="3344" spans="1:15" x14ac:dyDescent="0.25">
      <c r="A3344" s="13">
        <v>44463</v>
      </c>
      <c r="B3344" s="97">
        <v>2279</v>
      </c>
      <c r="C3344" t="s">
        <v>122</v>
      </c>
      <c r="D3344" t="s">
        <v>446</v>
      </c>
      <c r="E3344" t="s">
        <v>17</v>
      </c>
      <c r="F3344" t="s">
        <v>573</v>
      </c>
      <c r="G3344" s="50" t="s">
        <v>574</v>
      </c>
      <c r="H3344" s="50">
        <v>2</v>
      </c>
      <c r="I3344" s="100">
        <v>6.7391919697301583</v>
      </c>
      <c r="J3344" s="52">
        <v>3834.68</v>
      </c>
      <c r="K3344" s="67">
        <f t="shared" si="212"/>
        <v>58895.387185802952</v>
      </c>
      <c r="L3344" s="95">
        <f>+VLOOKUP(E3344,MARGEN!A:B,2,FALSE)</f>
        <v>0.1</v>
      </c>
      <c r="M3344" s="112">
        <f t="shared" si="209"/>
        <v>5889.5387185802956</v>
      </c>
      <c r="N3344" s="113">
        <f t="shared" si="210"/>
        <v>235.58154874321181</v>
      </c>
      <c r="O3344" s="113">
        <f t="shared" si="211"/>
        <v>52770.266918479443</v>
      </c>
    </row>
    <row r="3345" spans="1:15" x14ac:dyDescent="0.25">
      <c r="A3345" s="43">
        <v>44463</v>
      </c>
      <c r="B3345" s="51">
        <v>2255</v>
      </c>
      <c r="C3345" s="66" t="s">
        <v>305</v>
      </c>
      <c r="D3345" s="66" t="s">
        <v>523</v>
      </c>
      <c r="E3345" t="s">
        <v>17</v>
      </c>
      <c r="F3345" s="50" t="s">
        <v>558</v>
      </c>
      <c r="G3345" s="50" t="s">
        <v>574</v>
      </c>
      <c r="H3345" s="50">
        <v>2</v>
      </c>
      <c r="I3345" s="100">
        <v>6.7391919697301583</v>
      </c>
      <c r="J3345" s="52">
        <v>3834.68</v>
      </c>
      <c r="K3345" s="67">
        <f t="shared" si="212"/>
        <v>58275.163713903326</v>
      </c>
      <c r="L3345" s="95">
        <f>+VLOOKUP(E3345,MARGEN!A:B,2,FALSE)</f>
        <v>0.1</v>
      </c>
      <c r="M3345" s="112">
        <f t="shared" si="209"/>
        <v>5827.516371390333</v>
      </c>
      <c r="N3345" s="113">
        <f t="shared" si="210"/>
        <v>233.1006548556133</v>
      </c>
      <c r="O3345" s="113">
        <f t="shared" si="211"/>
        <v>52214.546687657385</v>
      </c>
    </row>
    <row r="3346" spans="1:15" x14ac:dyDescent="0.25">
      <c r="A3346" s="13">
        <v>44463</v>
      </c>
      <c r="B3346" s="97">
        <v>2231</v>
      </c>
      <c r="C3346" t="s">
        <v>126</v>
      </c>
      <c r="D3346" t="s">
        <v>438</v>
      </c>
      <c r="E3346" t="s">
        <v>17</v>
      </c>
      <c r="F3346" t="s">
        <v>573</v>
      </c>
      <c r="G3346" s="50" t="s">
        <v>574</v>
      </c>
      <c r="H3346" s="50">
        <v>2</v>
      </c>
      <c r="I3346" s="100">
        <v>6.7391919697301583</v>
      </c>
      <c r="J3346" s="52">
        <v>3834.68</v>
      </c>
      <c r="K3346" s="67">
        <f t="shared" si="212"/>
        <v>57654.940242003679</v>
      </c>
      <c r="L3346" s="95">
        <f>+VLOOKUP(E3346,MARGEN!A:B,2,FALSE)</f>
        <v>0.1</v>
      </c>
      <c r="M3346" s="112">
        <f t="shared" si="209"/>
        <v>5765.4940242003686</v>
      </c>
      <c r="N3346" s="113">
        <f t="shared" si="210"/>
        <v>230.6197609680147</v>
      </c>
      <c r="O3346" s="113">
        <f t="shared" si="211"/>
        <v>51658.826456835297</v>
      </c>
    </row>
    <row r="3347" spans="1:15" x14ac:dyDescent="0.25">
      <c r="A3347" s="13">
        <v>44463</v>
      </c>
      <c r="B3347" s="97">
        <v>2183</v>
      </c>
      <c r="C3347" t="s">
        <v>157</v>
      </c>
      <c r="D3347" t="s">
        <v>435</v>
      </c>
      <c r="E3347" t="s">
        <v>17</v>
      </c>
      <c r="F3347" t="s">
        <v>573</v>
      </c>
      <c r="G3347" s="50" t="s">
        <v>574</v>
      </c>
      <c r="H3347" s="50">
        <v>2</v>
      </c>
      <c r="I3347" s="100">
        <v>6.7391919697301583</v>
      </c>
      <c r="J3347" s="52">
        <v>3834.68</v>
      </c>
      <c r="K3347" s="67">
        <f t="shared" si="212"/>
        <v>56414.493298204405</v>
      </c>
      <c r="L3347" s="95">
        <f>+VLOOKUP(E3347,MARGEN!A:B,2,FALSE)</f>
        <v>0.1</v>
      </c>
      <c r="M3347" s="112">
        <f t="shared" si="209"/>
        <v>5641.4493298204407</v>
      </c>
      <c r="N3347" s="113">
        <f t="shared" si="210"/>
        <v>225.65797319281762</v>
      </c>
      <c r="O3347" s="113">
        <f t="shared" si="211"/>
        <v>50547.385995191151</v>
      </c>
    </row>
    <row r="3348" spans="1:15" x14ac:dyDescent="0.25">
      <c r="A3348" s="13">
        <v>44463</v>
      </c>
      <c r="B3348" s="97">
        <v>2135</v>
      </c>
      <c r="C3348" t="s">
        <v>312</v>
      </c>
      <c r="D3348" t="s">
        <v>542</v>
      </c>
      <c r="E3348" t="s">
        <v>17</v>
      </c>
      <c r="F3348" t="s">
        <v>573</v>
      </c>
      <c r="G3348" s="50" t="s">
        <v>574</v>
      </c>
      <c r="H3348" s="50">
        <v>2</v>
      </c>
      <c r="I3348" s="100">
        <v>6.7391919697301583</v>
      </c>
      <c r="J3348" s="52">
        <v>3834.68</v>
      </c>
      <c r="K3348" s="67">
        <f t="shared" si="212"/>
        <v>55174.046354405145</v>
      </c>
      <c r="L3348" s="95">
        <f>+VLOOKUP(E3348,MARGEN!A:B,2,FALSE)</f>
        <v>0.1</v>
      </c>
      <c r="M3348" s="112">
        <f t="shared" si="209"/>
        <v>5517.4046354405145</v>
      </c>
      <c r="N3348" s="113">
        <f t="shared" si="210"/>
        <v>220.69618541762057</v>
      </c>
      <c r="O3348" s="113">
        <f t="shared" si="211"/>
        <v>49435.945533547012</v>
      </c>
    </row>
    <row r="3349" spans="1:15" x14ac:dyDescent="0.25">
      <c r="A3349" s="13">
        <v>44463</v>
      </c>
      <c r="B3349" s="97">
        <v>2135</v>
      </c>
      <c r="C3349" t="s">
        <v>306</v>
      </c>
      <c r="D3349" t="s">
        <v>524</v>
      </c>
      <c r="E3349" t="s">
        <v>17</v>
      </c>
      <c r="F3349" t="s">
        <v>558</v>
      </c>
      <c r="G3349" s="50" t="s">
        <v>574</v>
      </c>
      <c r="H3349" s="50">
        <v>2</v>
      </c>
      <c r="I3349" s="100">
        <v>6.7391919697301583</v>
      </c>
      <c r="J3349" s="52">
        <v>3834.68</v>
      </c>
      <c r="K3349" s="67">
        <f t="shared" si="212"/>
        <v>55174.046354405145</v>
      </c>
      <c r="L3349" s="95">
        <f>+VLOOKUP(E3349,MARGEN!A:B,2,FALSE)</f>
        <v>0.1</v>
      </c>
      <c r="M3349" s="112">
        <f t="shared" si="209"/>
        <v>5517.4046354405145</v>
      </c>
      <c r="N3349" s="113">
        <f t="shared" si="210"/>
        <v>220.69618541762057</v>
      </c>
      <c r="O3349" s="113">
        <f t="shared" si="211"/>
        <v>49435.945533547012</v>
      </c>
    </row>
    <row r="3350" spans="1:15" x14ac:dyDescent="0.25">
      <c r="A3350" s="13">
        <v>44463</v>
      </c>
      <c r="B3350" s="97">
        <v>2015</v>
      </c>
      <c r="C3350" t="s">
        <v>123</v>
      </c>
      <c r="D3350" t="s">
        <v>396</v>
      </c>
      <c r="E3350" t="s">
        <v>17</v>
      </c>
      <c r="F3350" t="s">
        <v>573</v>
      </c>
      <c r="G3350" s="50" t="s">
        <v>574</v>
      </c>
      <c r="H3350" s="50">
        <v>2</v>
      </c>
      <c r="I3350" s="100">
        <v>6.7391919697301583</v>
      </c>
      <c r="J3350" s="52">
        <v>3834.68</v>
      </c>
      <c r="K3350" s="67">
        <f t="shared" si="212"/>
        <v>52072.928994906957</v>
      </c>
      <c r="L3350" s="95">
        <f>+VLOOKUP(E3350,MARGEN!A:B,2,FALSE)</f>
        <v>0.1</v>
      </c>
      <c r="M3350" s="112">
        <f t="shared" si="209"/>
        <v>5207.2928994906961</v>
      </c>
      <c r="N3350" s="113">
        <f t="shared" si="210"/>
        <v>208.29171597962784</v>
      </c>
      <c r="O3350" s="113">
        <f t="shared" si="211"/>
        <v>46657.344379436632</v>
      </c>
    </row>
    <row r="3351" spans="1:15" x14ac:dyDescent="0.25">
      <c r="A3351" s="13">
        <v>44463</v>
      </c>
      <c r="B3351" s="97">
        <v>1991</v>
      </c>
      <c r="C3351" t="s">
        <v>295</v>
      </c>
      <c r="D3351" t="s">
        <v>532</v>
      </c>
      <c r="E3351" t="s">
        <v>17</v>
      </c>
      <c r="F3351" t="s">
        <v>573</v>
      </c>
      <c r="G3351" s="50" t="s">
        <v>574</v>
      </c>
      <c r="H3351" s="50">
        <v>2</v>
      </c>
      <c r="I3351" s="100">
        <v>6.7391919697301583</v>
      </c>
      <c r="J3351" s="52">
        <v>3834.68</v>
      </c>
      <c r="K3351" s="67">
        <f t="shared" si="212"/>
        <v>51452.705523007324</v>
      </c>
      <c r="L3351" s="95">
        <f>+VLOOKUP(E3351,MARGEN!A:B,2,FALSE)</f>
        <v>0.1</v>
      </c>
      <c r="M3351" s="112">
        <f t="shared" si="209"/>
        <v>5145.2705523007326</v>
      </c>
      <c r="N3351" s="113">
        <f t="shared" si="210"/>
        <v>205.8108220920293</v>
      </c>
      <c r="O3351" s="113">
        <f t="shared" si="211"/>
        <v>46101.624148614566</v>
      </c>
    </row>
    <row r="3352" spans="1:15" x14ac:dyDescent="0.25">
      <c r="A3352" s="13">
        <v>44463</v>
      </c>
      <c r="B3352" s="97">
        <v>1943</v>
      </c>
      <c r="C3352" t="s">
        <v>155</v>
      </c>
      <c r="D3352" t="s">
        <v>399</v>
      </c>
      <c r="E3352" t="s">
        <v>17</v>
      </c>
      <c r="F3352" t="s">
        <v>573</v>
      </c>
      <c r="G3352" s="50" t="s">
        <v>574</v>
      </c>
      <c r="H3352" s="50">
        <v>2</v>
      </c>
      <c r="I3352" s="100">
        <v>6.7391919697301583</v>
      </c>
      <c r="J3352" s="52">
        <v>3834.68</v>
      </c>
      <c r="K3352" s="67">
        <f t="shared" si="212"/>
        <v>50212.258579208043</v>
      </c>
      <c r="L3352" s="95">
        <f>+VLOOKUP(E3352,MARGEN!A:B,2,FALSE)</f>
        <v>0.1</v>
      </c>
      <c r="M3352" s="112">
        <f t="shared" si="209"/>
        <v>5021.2258579208046</v>
      </c>
      <c r="N3352" s="113">
        <f t="shared" si="210"/>
        <v>200.84903431683216</v>
      </c>
      <c r="O3352" s="113">
        <f t="shared" si="211"/>
        <v>44990.183686970406</v>
      </c>
    </row>
    <row r="3353" spans="1:15" x14ac:dyDescent="0.25">
      <c r="A3353" s="13">
        <v>44463</v>
      </c>
      <c r="B3353" s="97">
        <v>1871</v>
      </c>
      <c r="C3353" t="s">
        <v>304</v>
      </c>
      <c r="D3353" t="s">
        <v>522</v>
      </c>
      <c r="E3353" t="s">
        <v>17</v>
      </c>
      <c r="F3353" t="s">
        <v>573</v>
      </c>
      <c r="G3353" s="50" t="s">
        <v>574</v>
      </c>
      <c r="H3353" s="50">
        <v>2</v>
      </c>
      <c r="I3353" s="100">
        <v>6.7391919697301583</v>
      </c>
      <c r="J3353" s="52">
        <v>3834.68</v>
      </c>
      <c r="K3353" s="67">
        <f t="shared" si="212"/>
        <v>48351.588163509143</v>
      </c>
      <c r="L3353" s="95">
        <f>+VLOOKUP(E3353,MARGEN!A:B,2,FALSE)</f>
        <v>0.1</v>
      </c>
      <c r="M3353" s="112">
        <f t="shared" si="209"/>
        <v>4835.1588163509141</v>
      </c>
      <c r="N3353" s="113">
        <f t="shared" si="210"/>
        <v>193.40635265403657</v>
      </c>
      <c r="O3353" s="113">
        <f t="shared" si="211"/>
        <v>43323.022994504194</v>
      </c>
    </row>
    <row r="3354" spans="1:15" x14ac:dyDescent="0.25">
      <c r="A3354" s="13">
        <v>44463</v>
      </c>
      <c r="B3354" s="97">
        <v>1871</v>
      </c>
      <c r="C3354" t="s">
        <v>125</v>
      </c>
      <c r="D3354" t="s">
        <v>341</v>
      </c>
      <c r="E3354" t="s">
        <v>17</v>
      </c>
      <c r="F3354" t="s">
        <v>573</v>
      </c>
      <c r="G3354" s="50" t="s">
        <v>574</v>
      </c>
      <c r="H3354" s="50">
        <v>2</v>
      </c>
      <c r="I3354" s="100">
        <v>6.7391919697301583</v>
      </c>
      <c r="J3354" s="52">
        <v>3834.68</v>
      </c>
      <c r="K3354" s="67">
        <f t="shared" si="212"/>
        <v>48351.588163509143</v>
      </c>
      <c r="L3354" s="95">
        <f>+VLOOKUP(E3354,MARGEN!A:B,2,FALSE)</f>
        <v>0.1</v>
      </c>
      <c r="M3354" s="112">
        <f t="shared" si="209"/>
        <v>4835.1588163509141</v>
      </c>
      <c r="N3354" s="113">
        <f t="shared" si="210"/>
        <v>193.40635265403657</v>
      </c>
      <c r="O3354" s="113">
        <f t="shared" si="211"/>
        <v>43323.022994504194</v>
      </c>
    </row>
    <row r="3355" spans="1:15" x14ac:dyDescent="0.25">
      <c r="A3355" s="13">
        <v>44463</v>
      </c>
      <c r="B3355" s="97">
        <v>1847</v>
      </c>
      <c r="C3355" t="s">
        <v>124</v>
      </c>
      <c r="D3355" t="s">
        <v>388</v>
      </c>
      <c r="E3355" t="s">
        <v>17</v>
      </c>
      <c r="F3355" t="s">
        <v>558</v>
      </c>
      <c r="G3355" s="50" t="s">
        <v>574</v>
      </c>
      <c r="H3355" s="50">
        <v>2</v>
      </c>
      <c r="I3355" s="100">
        <v>6.7391919697301583</v>
      </c>
      <c r="J3355" s="52">
        <v>3834.68</v>
      </c>
      <c r="K3355" s="67">
        <f t="shared" si="212"/>
        <v>47731.364691609502</v>
      </c>
      <c r="L3355" s="95">
        <f>+VLOOKUP(E3355,MARGEN!A:B,2,FALSE)</f>
        <v>0.1</v>
      </c>
      <c r="M3355" s="112">
        <f t="shared" si="209"/>
        <v>4773.1364691609506</v>
      </c>
      <c r="N3355" s="113">
        <f t="shared" si="210"/>
        <v>190.925458766438</v>
      </c>
      <c r="O3355" s="113">
        <f t="shared" si="211"/>
        <v>42767.302763682113</v>
      </c>
    </row>
    <row r="3356" spans="1:15" x14ac:dyDescent="0.25">
      <c r="A3356" s="43">
        <v>44463</v>
      </c>
      <c r="B3356" s="51">
        <v>1847</v>
      </c>
      <c r="C3356" s="66" t="s">
        <v>159</v>
      </c>
      <c r="D3356" s="66" t="s">
        <v>360</v>
      </c>
      <c r="E3356" t="s">
        <v>17</v>
      </c>
      <c r="F3356" s="50" t="s">
        <v>558</v>
      </c>
      <c r="G3356" s="50" t="s">
        <v>574</v>
      </c>
      <c r="H3356" s="50">
        <v>2</v>
      </c>
      <c r="I3356" s="100">
        <v>6.7391919697301583</v>
      </c>
      <c r="J3356" s="52">
        <v>3834.68</v>
      </c>
      <c r="K3356" s="67">
        <f t="shared" si="212"/>
        <v>47731.364691609502</v>
      </c>
      <c r="L3356" s="95">
        <f>+VLOOKUP(E3356,MARGEN!A:B,2,FALSE)</f>
        <v>0.1</v>
      </c>
      <c r="M3356" s="112">
        <f t="shared" si="209"/>
        <v>4773.1364691609506</v>
      </c>
      <c r="N3356" s="113">
        <f t="shared" si="210"/>
        <v>190.925458766438</v>
      </c>
      <c r="O3356" s="113">
        <f t="shared" si="211"/>
        <v>42767.302763682113</v>
      </c>
    </row>
    <row r="3357" spans="1:15" x14ac:dyDescent="0.25">
      <c r="A3357" s="13">
        <v>44463</v>
      </c>
      <c r="B3357" s="97">
        <v>1799</v>
      </c>
      <c r="C3357" t="s">
        <v>172</v>
      </c>
      <c r="D3357" t="s">
        <v>371</v>
      </c>
      <c r="E3357" t="s">
        <v>17</v>
      </c>
      <c r="F3357" t="s">
        <v>573</v>
      </c>
      <c r="G3357" s="50" t="s">
        <v>574</v>
      </c>
      <c r="H3357" s="50">
        <v>2</v>
      </c>
      <c r="I3357" s="100">
        <v>6.7391919697301583</v>
      </c>
      <c r="J3357" s="52">
        <v>3834.68</v>
      </c>
      <c r="K3357" s="67">
        <f t="shared" si="212"/>
        <v>46490.917747810228</v>
      </c>
      <c r="L3357" s="95">
        <f>+VLOOKUP(E3357,MARGEN!A:B,2,FALSE)</f>
        <v>0.1</v>
      </c>
      <c r="M3357" s="112">
        <f t="shared" si="209"/>
        <v>4649.0917747810227</v>
      </c>
      <c r="N3357" s="113">
        <f t="shared" si="210"/>
        <v>185.96367099124092</v>
      </c>
      <c r="O3357" s="113">
        <f t="shared" si="211"/>
        <v>41655.862302037967</v>
      </c>
    </row>
    <row r="3358" spans="1:15" x14ac:dyDescent="0.25">
      <c r="A3358" s="13">
        <v>44463</v>
      </c>
      <c r="B3358" s="97">
        <v>1799</v>
      </c>
      <c r="C3358" t="s">
        <v>223</v>
      </c>
      <c r="D3358" t="s">
        <v>389</v>
      </c>
      <c r="E3358" t="s">
        <v>17</v>
      </c>
      <c r="F3358" t="s">
        <v>558</v>
      </c>
      <c r="G3358" s="50" t="s">
        <v>574</v>
      </c>
      <c r="H3358" s="50">
        <v>2</v>
      </c>
      <c r="I3358" s="100">
        <v>6.7391919697301583</v>
      </c>
      <c r="J3358" s="52">
        <v>3834.68</v>
      </c>
      <c r="K3358" s="67">
        <f t="shared" si="212"/>
        <v>46490.917747810228</v>
      </c>
      <c r="L3358" s="95">
        <f>+VLOOKUP(E3358,MARGEN!A:B,2,FALSE)</f>
        <v>0.1</v>
      </c>
      <c r="M3358" s="112">
        <f t="shared" si="209"/>
        <v>4649.0917747810227</v>
      </c>
      <c r="N3358" s="113">
        <f t="shared" si="210"/>
        <v>185.96367099124092</v>
      </c>
      <c r="O3358" s="113">
        <f t="shared" si="211"/>
        <v>41655.862302037967</v>
      </c>
    </row>
    <row r="3359" spans="1:15" x14ac:dyDescent="0.25">
      <c r="A3359" s="43">
        <v>44463</v>
      </c>
      <c r="B3359" s="51">
        <v>1775</v>
      </c>
      <c r="C3359" s="66" t="s">
        <v>238</v>
      </c>
      <c r="D3359" s="66" t="s">
        <v>427</v>
      </c>
      <c r="E3359" t="s">
        <v>17</v>
      </c>
      <c r="F3359" s="50" t="s">
        <v>558</v>
      </c>
      <c r="G3359" s="50" t="s">
        <v>574</v>
      </c>
      <c r="H3359" s="50">
        <v>2</v>
      </c>
      <c r="I3359" s="100">
        <v>6.7391919697301583</v>
      </c>
      <c r="J3359" s="52">
        <v>3834.68</v>
      </c>
      <c r="K3359" s="67">
        <f t="shared" si="212"/>
        <v>45870.694275910595</v>
      </c>
      <c r="L3359" s="95">
        <f>+VLOOKUP(E3359,MARGEN!A:B,2,FALSE)</f>
        <v>0.1</v>
      </c>
      <c r="M3359" s="112">
        <f t="shared" si="209"/>
        <v>4587.06942759106</v>
      </c>
      <c r="N3359" s="113">
        <f t="shared" si="210"/>
        <v>183.48277710364238</v>
      </c>
      <c r="O3359" s="113">
        <f t="shared" si="211"/>
        <v>41100.142071215894</v>
      </c>
    </row>
    <row r="3360" spans="1:15" x14ac:dyDescent="0.25">
      <c r="A3360" s="13">
        <v>44463</v>
      </c>
      <c r="B3360" s="97">
        <v>1751</v>
      </c>
      <c r="C3360" t="s">
        <v>154</v>
      </c>
      <c r="D3360" t="s">
        <v>419</v>
      </c>
      <c r="E3360" t="s">
        <v>17</v>
      </c>
      <c r="F3360" t="s">
        <v>573</v>
      </c>
      <c r="G3360" s="50" t="s">
        <v>574</v>
      </c>
      <c r="H3360" s="50">
        <v>2</v>
      </c>
      <c r="I3360" s="100">
        <v>6.7391919697301583</v>
      </c>
      <c r="J3360" s="52">
        <v>3834.68</v>
      </c>
      <c r="K3360" s="67">
        <f t="shared" si="212"/>
        <v>45250.470804010954</v>
      </c>
      <c r="L3360" s="95">
        <f>+VLOOKUP(E3360,MARGEN!A:B,2,FALSE)</f>
        <v>0.1</v>
      </c>
      <c r="M3360" s="112">
        <f t="shared" si="209"/>
        <v>4525.0470804010956</v>
      </c>
      <c r="N3360" s="113">
        <f t="shared" si="210"/>
        <v>181.00188321604381</v>
      </c>
      <c r="O3360" s="113">
        <f t="shared" si="211"/>
        <v>40544.421840393814</v>
      </c>
    </row>
    <row r="3361" spans="1:15" x14ac:dyDescent="0.25">
      <c r="A3361" s="13">
        <v>44463</v>
      </c>
      <c r="B3361" s="97">
        <v>1727</v>
      </c>
      <c r="C3361" t="s">
        <v>120</v>
      </c>
      <c r="D3361" t="s">
        <v>452</v>
      </c>
      <c r="E3361" t="s">
        <v>17</v>
      </c>
      <c r="F3361" t="s">
        <v>573</v>
      </c>
      <c r="G3361" s="50" t="s">
        <v>574</v>
      </c>
      <c r="H3361" s="50">
        <v>2</v>
      </c>
      <c r="I3361" s="100">
        <v>6.7391919697301583</v>
      </c>
      <c r="J3361" s="52">
        <v>3834.68</v>
      </c>
      <c r="K3361" s="67">
        <f t="shared" si="212"/>
        <v>44630.247332111321</v>
      </c>
      <c r="L3361" s="95">
        <f>+VLOOKUP(E3361,MARGEN!A:B,2,FALSE)</f>
        <v>0.1</v>
      </c>
      <c r="M3361" s="112">
        <f t="shared" si="209"/>
        <v>4463.0247332111321</v>
      </c>
      <c r="N3361" s="113">
        <f t="shared" si="210"/>
        <v>178.5209893284453</v>
      </c>
      <c r="O3361" s="113">
        <f t="shared" si="211"/>
        <v>39988.701609571741</v>
      </c>
    </row>
    <row r="3362" spans="1:15" x14ac:dyDescent="0.25">
      <c r="A3362" s="13">
        <v>44463</v>
      </c>
      <c r="B3362" s="97">
        <v>1727</v>
      </c>
      <c r="C3362" t="s">
        <v>174</v>
      </c>
      <c r="D3362" t="s">
        <v>395</v>
      </c>
      <c r="E3362" t="s">
        <v>17</v>
      </c>
      <c r="F3362" t="s">
        <v>573</v>
      </c>
      <c r="G3362" s="50" t="s">
        <v>574</v>
      </c>
      <c r="H3362" s="50">
        <v>2</v>
      </c>
      <c r="I3362" s="100">
        <v>6.7391919697301583</v>
      </c>
      <c r="J3362" s="52">
        <v>3834.68</v>
      </c>
      <c r="K3362" s="67">
        <f t="shared" si="212"/>
        <v>44630.247332111321</v>
      </c>
      <c r="L3362" s="95">
        <f>+VLOOKUP(E3362,MARGEN!A:B,2,FALSE)</f>
        <v>0.1</v>
      </c>
      <c r="M3362" s="112">
        <f t="shared" si="209"/>
        <v>4463.0247332111321</v>
      </c>
      <c r="N3362" s="113">
        <f t="shared" si="210"/>
        <v>178.5209893284453</v>
      </c>
      <c r="O3362" s="113">
        <f t="shared" si="211"/>
        <v>39988.701609571741</v>
      </c>
    </row>
    <row r="3363" spans="1:15" x14ac:dyDescent="0.25">
      <c r="A3363" s="13">
        <v>44463</v>
      </c>
      <c r="B3363" s="97">
        <v>1727</v>
      </c>
      <c r="C3363" t="s">
        <v>170</v>
      </c>
      <c r="D3363" t="s">
        <v>437</v>
      </c>
      <c r="E3363" t="s">
        <v>17</v>
      </c>
      <c r="F3363" t="s">
        <v>573</v>
      </c>
      <c r="G3363" s="50" t="s">
        <v>574</v>
      </c>
      <c r="H3363" s="50">
        <v>2</v>
      </c>
      <c r="I3363" s="100">
        <v>6.7391919697301583</v>
      </c>
      <c r="J3363" s="52">
        <v>3834.68</v>
      </c>
      <c r="K3363" s="67">
        <f t="shared" si="212"/>
        <v>44630.247332111321</v>
      </c>
      <c r="L3363" s="95">
        <f>+VLOOKUP(E3363,MARGEN!A:B,2,FALSE)</f>
        <v>0.1</v>
      </c>
      <c r="M3363" s="112">
        <f t="shared" si="209"/>
        <v>4463.0247332111321</v>
      </c>
      <c r="N3363" s="113">
        <f t="shared" si="210"/>
        <v>178.5209893284453</v>
      </c>
      <c r="O3363" s="113">
        <f t="shared" si="211"/>
        <v>39988.701609571741</v>
      </c>
    </row>
    <row r="3364" spans="1:15" x14ac:dyDescent="0.25">
      <c r="A3364" s="13">
        <v>44463</v>
      </c>
      <c r="B3364" s="97">
        <v>1727</v>
      </c>
      <c r="C3364" t="s">
        <v>188</v>
      </c>
      <c r="D3364" t="s">
        <v>397</v>
      </c>
      <c r="E3364" t="s">
        <v>17</v>
      </c>
      <c r="F3364" t="s">
        <v>573</v>
      </c>
      <c r="G3364" s="50" t="s">
        <v>574</v>
      </c>
      <c r="H3364" s="50">
        <v>2</v>
      </c>
      <c r="I3364" s="100">
        <v>6.7391919697301583</v>
      </c>
      <c r="J3364" s="52">
        <v>3834.68</v>
      </c>
      <c r="K3364" s="67">
        <f t="shared" si="212"/>
        <v>44630.247332111321</v>
      </c>
      <c r="L3364" s="95">
        <f>+VLOOKUP(E3364,MARGEN!A:B,2,FALSE)</f>
        <v>0.1</v>
      </c>
      <c r="M3364" s="112">
        <f t="shared" si="209"/>
        <v>4463.0247332111321</v>
      </c>
      <c r="N3364" s="113">
        <f t="shared" si="210"/>
        <v>178.5209893284453</v>
      </c>
      <c r="O3364" s="113">
        <f t="shared" si="211"/>
        <v>39988.701609571741</v>
      </c>
    </row>
    <row r="3365" spans="1:15" x14ac:dyDescent="0.25">
      <c r="A3365" s="43">
        <v>44463</v>
      </c>
      <c r="B3365" s="51">
        <v>1727</v>
      </c>
      <c r="C3365" s="66" t="s">
        <v>158</v>
      </c>
      <c r="D3365" s="66" t="s">
        <v>442</v>
      </c>
      <c r="E3365" t="s">
        <v>17</v>
      </c>
      <c r="F3365" s="50" t="s">
        <v>558</v>
      </c>
      <c r="G3365" s="50" t="s">
        <v>574</v>
      </c>
      <c r="H3365" s="50">
        <v>2</v>
      </c>
      <c r="I3365" s="100">
        <v>6.7391919697301583</v>
      </c>
      <c r="J3365" s="52">
        <v>3834.68</v>
      </c>
      <c r="K3365" s="67">
        <f t="shared" si="212"/>
        <v>44630.247332111321</v>
      </c>
      <c r="L3365" s="95">
        <f>+VLOOKUP(E3365,MARGEN!A:B,2,FALSE)</f>
        <v>0.1</v>
      </c>
      <c r="M3365" s="112">
        <f t="shared" si="209"/>
        <v>4463.0247332111321</v>
      </c>
      <c r="N3365" s="113">
        <f t="shared" si="210"/>
        <v>178.5209893284453</v>
      </c>
      <c r="O3365" s="113">
        <f t="shared" si="211"/>
        <v>39988.701609571741</v>
      </c>
    </row>
    <row r="3366" spans="1:15" x14ac:dyDescent="0.25">
      <c r="A3366" s="13">
        <v>44463</v>
      </c>
      <c r="B3366" s="97">
        <v>1703</v>
      </c>
      <c r="C3366" t="s">
        <v>296</v>
      </c>
      <c r="D3366" t="s">
        <v>498</v>
      </c>
      <c r="E3366" t="s">
        <v>17</v>
      </c>
      <c r="F3366" t="s">
        <v>573</v>
      </c>
      <c r="G3366" s="50" t="s">
        <v>574</v>
      </c>
      <c r="H3366" s="50">
        <v>2</v>
      </c>
      <c r="I3366" s="100">
        <v>6.7391919697301583</v>
      </c>
      <c r="J3366" s="52">
        <v>3834.68</v>
      </c>
      <c r="K3366" s="67">
        <f t="shared" si="212"/>
        <v>44010.023860211688</v>
      </c>
      <c r="L3366" s="95">
        <f>+VLOOKUP(E3366,MARGEN!A:B,2,FALSE)</f>
        <v>0.1</v>
      </c>
      <c r="M3366" s="112">
        <f t="shared" si="209"/>
        <v>4401.0023860211686</v>
      </c>
      <c r="N3366" s="113">
        <f t="shared" si="210"/>
        <v>176.04009544084676</v>
      </c>
      <c r="O3366" s="113">
        <f t="shared" si="211"/>
        <v>39432.981378749675</v>
      </c>
    </row>
    <row r="3367" spans="1:15" x14ac:dyDescent="0.25">
      <c r="A3367" s="43">
        <v>44463</v>
      </c>
      <c r="B3367" s="51">
        <v>1703</v>
      </c>
      <c r="C3367" s="66" t="s">
        <v>286</v>
      </c>
      <c r="D3367" s="66" t="s">
        <v>531</v>
      </c>
      <c r="E3367" t="s">
        <v>17</v>
      </c>
      <c r="F3367" s="50" t="s">
        <v>558</v>
      </c>
      <c r="G3367" s="50" t="s">
        <v>574</v>
      </c>
      <c r="H3367" s="50">
        <v>2</v>
      </c>
      <c r="I3367" s="100">
        <v>6.7391919697301583</v>
      </c>
      <c r="J3367" s="52">
        <v>3834.68</v>
      </c>
      <c r="K3367" s="67">
        <f t="shared" si="212"/>
        <v>44010.023860211688</v>
      </c>
      <c r="L3367" s="95">
        <f>+VLOOKUP(E3367,MARGEN!A:B,2,FALSE)</f>
        <v>0.1</v>
      </c>
      <c r="M3367" s="112">
        <f t="shared" si="209"/>
        <v>4401.0023860211686</v>
      </c>
      <c r="N3367" s="113">
        <f t="shared" si="210"/>
        <v>176.04009544084676</v>
      </c>
      <c r="O3367" s="113">
        <f t="shared" si="211"/>
        <v>39432.981378749675</v>
      </c>
    </row>
    <row r="3368" spans="1:15" x14ac:dyDescent="0.25">
      <c r="A3368" s="13">
        <v>44463</v>
      </c>
      <c r="B3368" s="97">
        <v>1679</v>
      </c>
      <c r="C3368" t="s">
        <v>121</v>
      </c>
      <c r="D3368" t="s">
        <v>381</v>
      </c>
      <c r="E3368" t="s">
        <v>17</v>
      </c>
      <c r="F3368" t="s">
        <v>573</v>
      </c>
      <c r="G3368" s="50" t="s">
        <v>574</v>
      </c>
      <c r="H3368" s="50">
        <v>2</v>
      </c>
      <c r="I3368" s="100">
        <v>6.7391919697301583</v>
      </c>
      <c r="J3368" s="52">
        <v>3834.68</v>
      </c>
      <c r="K3368" s="67">
        <f t="shared" si="212"/>
        <v>43389.800388312047</v>
      </c>
      <c r="L3368" s="95">
        <f>+VLOOKUP(E3368,MARGEN!A:B,2,FALSE)</f>
        <v>0.1</v>
      </c>
      <c r="M3368" s="112">
        <f t="shared" si="209"/>
        <v>4338.9800388312051</v>
      </c>
      <c r="N3368" s="113">
        <f t="shared" si="210"/>
        <v>173.55920155324819</v>
      </c>
      <c r="O3368" s="113">
        <f t="shared" si="211"/>
        <v>38877.261147927595</v>
      </c>
    </row>
    <row r="3369" spans="1:15" x14ac:dyDescent="0.25">
      <c r="A3369" s="13">
        <v>44463</v>
      </c>
      <c r="B3369" s="97">
        <v>1679</v>
      </c>
      <c r="C3369" t="s">
        <v>194</v>
      </c>
      <c r="D3369" t="s">
        <v>417</v>
      </c>
      <c r="E3369" t="s">
        <v>17</v>
      </c>
      <c r="F3369" t="s">
        <v>573</v>
      </c>
      <c r="G3369" s="50" t="s">
        <v>574</v>
      </c>
      <c r="H3369" s="50">
        <v>2</v>
      </c>
      <c r="I3369" s="100">
        <v>6.7391919697301583</v>
      </c>
      <c r="J3369" s="52">
        <v>3834.68</v>
      </c>
      <c r="K3369" s="67">
        <f t="shared" si="212"/>
        <v>43389.800388312047</v>
      </c>
      <c r="L3369" s="95">
        <f>+VLOOKUP(E3369,MARGEN!A:B,2,FALSE)</f>
        <v>0.1</v>
      </c>
      <c r="M3369" s="112">
        <f t="shared" si="209"/>
        <v>4338.9800388312051</v>
      </c>
      <c r="N3369" s="113">
        <f t="shared" si="210"/>
        <v>173.55920155324819</v>
      </c>
      <c r="O3369" s="113">
        <f t="shared" si="211"/>
        <v>38877.261147927595</v>
      </c>
    </row>
    <row r="3370" spans="1:15" x14ac:dyDescent="0.25">
      <c r="A3370" s="13">
        <v>44463</v>
      </c>
      <c r="B3370" s="97">
        <v>1679</v>
      </c>
      <c r="C3370" t="s">
        <v>287</v>
      </c>
      <c r="D3370" t="s">
        <v>496</v>
      </c>
      <c r="E3370" t="s">
        <v>17</v>
      </c>
      <c r="F3370" t="s">
        <v>573</v>
      </c>
      <c r="G3370" s="50" t="s">
        <v>574</v>
      </c>
      <c r="H3370" s="50">
        <v>2</v>
      </c>
      <c r="I3370" s="100">
        <v>6.7391919697301583</v>
      </c>
      <c r="J3370" s="52">
        <v>3834.68</v>
      </c>
      <c r="K3370" s="67">
        <f t="shared" si="212"/>
        <v>43389.800388312047</v>
      </c>
      <c r="L3370" s="95">
        <f>+VLOOKUP(E3370,MARGEN!A:B,2,FALSE)</f>
        <v>0.1</v>
      </c>
      <c r="M3370" s="112">
        <f t="shared" si="209"/>
        <v>4338.9800388312051</v>
      </c>
      <c r="N3370" s="113">
        <f t="shared" si="210"/>
        <v>173.55920155324819</v>
      </c>
      <c r="O3370" s="113">
        <f t="shared" si="211"/>
        <v>38877.261147927595</v>
      </c>
    </row>
    <row r="3371" spans="1:15" x14ac:dyDescent="0.25">
      <c r="A3371" s="43">
        <v>44463</v>
      </c>
      <c r="B3371" s="51">
        <v>1679</v>
      </c>
      <c r="C3371" s="66" t="s">
        <v>288</v>
      </c>
      <c r="D3371" s="66" t="s">
        <v>530</v>
      </c>
      <c r="E3371" t="s">
        <v>17</v>
      </c>
      <c r="F3371" s="50" t="s">
        <v>573</v>
      </c>
      <c r="G3371" s="50" t="s">
        <v>574</v>
      </c>
      <c r="H3371" s="50">
        <v>2</v>
      </c>
      <c r="I3371" s="100">
        <v>6.7391919697301583</v>
      </c>
      <c r="J3371" s="52">
        <v>3834.68</v>
      </c>
      <c r="K3371" s="67">
        <f t="shared" si="212"/>
        <v>43389.800388312047</v>
      </c>
      <c r="L3371" s="95">
        <f>+VLOOKUP(E3371,MARGEN!A:B,2,FALSE)</f>
        <v>0.1</v>
      </c>
      <c r="M3371" s="112">
        <f t="shared" si="209"/>
        <v>4338.9800388312051</v>
      </c>
      <c r="N3371" s="113">
        <f t="shared" si="210"/>
        <v>173.55920155324819</v>
      </c>
      <c r="O3371" s="113">
        <f t="shared" si="211"/>
        <v>38877.261147927595</v>
      </c>
    </row>
    <row r="3372" spans="1:15" x14ac:dyDescent="0.25">
      <c r="A3372" s="13">
        <v>44463</v>
      </c>
      <c r="B3372" s="97">
        <v>1655</v>
      </c>
      <c r="C3372" t="s">
        <v>285</v>
      </c>
      <c r="D3372" t="s">
        <v>534</v>
      </c>
      <c r="E3372" t="s">
        <v>17</v>
      </c>
      <c r="F3372" t="s">
        <v>558</v>
      </c>
      <c r="G3372" s="50" t="s">
        <v>574</v>
      </c>
      <c r="H3372" s="50">
        <v>2</v>
      </c>
      <c r="I3372" s="100">
        <v>6.7391919697301583</v>
      </c>
      <c r="J3372" s="52">
        <v>3834.68</v>
      </c>
      <c r="K3372" s="67">
        <f t="shared" si="212"/>
        <v>42769.576916412421</v>
      </c>
      <c r="L3372" s="95">
        <f>+VLOOKUP(E3372,MARGEN!A:B,2,FALSE)</f>
        <v>0.1</v>
      </c>
      <c r="M3372" s="112">
        <f t="shared" si="209"/>
        <v>4276.9576916412425</v>
      </c>
      <c r="N3372" s="113">
        <f t="shared" si="210"/>
        <v>171.07830766564967</v>
      </c>
      <c r="O3372" s="113">
        <f t="shared" si="211"/>
        <v>38321.540917105529</v>
      </c>
    </row>
    <row r="3373" spans="1:15" x14ac:dyDescent="0.25">
      <c r="A3373" s="13">
        <v>44463</v>
      </c>
      <c r="B3373" s="97">
        <v>1631</v>
      </c>
      <c r="C3373" t="s">
        <v>196</v>
      </c>
      <c r="D3373" t="s">
        <v>413</v>
      </c>
      <c r="E3373" t="s">
        <v>17</v>
      </c>
      <c r="F3373" t="s">
        <v>573</v>
      </c>
      <c r="G3373" s="50" t="s">
        <v>574</v>
      </c>
      <c r="H3373" s="50">
        <v>2</v>
      </c>
      <c r="I3373" s="100">
        <v>6.7391919697301583</v>
      </c>
      <c r="J3373" s="52">
        <v>3834.68</v>
      </c>
      <c r="K3373" s="67">
        <f t="shared" si="212"/>
        <v>42149.353444512773</v>
      </c>
      <c r="L3373" s="95">
        <f>+VLOOKUP(E3373,MARGEN!A:B,2,FALSE)</f>
        <v>0.1</v>
      </c>
      <c r="M3373" s="112">
        <f t="shared" si="209"/>
        <v>4214.9353444512772</v>
      </c>
      <c r="N3373" s="113">
        <f t="shared" si="210"/>
        <v>168.59741377805111</v>
      </c>
      <c r="O3373" s="113">
        <f t="shared" si="211"/>
        <v>37765.820686283449</v>
      </c>
    </row>
    <row r="3374" spans="1:15" x14ac:dyDescent="0.25">
      <c r="A3374" s="13">
        <v>44463</v>
      </c>
      <c r="B3374" s="97">
        <v>1631</v>
      </c>
      <c r="C3374" t="s">
        <v>209</v>
      </c>
      <c r="D3374" t="s">
        <v>441</v>
      </c>
      <c r="E3374" t="s">
        <v>17</v>
      </c>
      <c r="F3374" t="s">
        <v>573</v>
      </c>
      <c r="G3374" s="50" t="s">
        <v>574</v>
      </c>
      <c r="H3374" s="50">
        <v>2</v>
      </c>
      <c r="I3374" s="100">
        <v>6.7391919697301583</v>
      </c>
      <c r="J3374" s="52">
        <v>3834.68</v>
      </c>
      <c r="K3374" s="67">
        <f t="shared" si="212"/>
        <v>42149.353444512773</v>
      </c>
      <c r="L3374" s="95">
        <f>+VLOOKUP(E3374,MARGEN!A:B,2,FALSE)</f>
        <v>0.1</v>
      </c>
      <c r="M3374" s="112">
        <f t="shared" si="209"/>
        <v>4214.9353444512772</v>
      </c>
      <c r="N3374" s="113">
        <f t="shared" si="210"/>
        <v>168.59741377805111</v>
      </c>
      <c r="O3374" s="113">
        <f t="shared" si="211"/>
        <v>37765.820686283449</v>
      </c>
    </row>
    <row r="3375" spans="1:15" x14ac:dyDescent="0.25">
      <c r="A3375" s="13">
        <v>44463</v>
      </c>
      <c r="B3375" s="97">
        <v>1631</v>
      </c>
      <c r="C3375" t="s">
        <v>171</v>
      </c>
      <c r="D3375" t="s">
        <v>387</v>
      </c>
      <c r="E3375" t="s">
        <v>17</v>
      </c>
      <c r="F3375" t="s">
        <v>558</v>
      </c>
      <c r="G3375" s="50" t="s">
        <v>574</v>
      </c>
      <c r="H3375" s="50">
        <v>2</v>
      </c>
      <c r="I3375" s="100">
        <v>6.7391919697301583</v>
      </c>
      <c r="J3375" s="52">
        <v>3834.68</v>
      </c>
      <c r="K3375" s="67">
        <f t="shared" si="212"/>
        <v>42149.353444512773</v>
      </c>
      <c r="L3375" s="95">
        <f>+VLOOKUP(E3375,MARGEN!A:B,2,FALSE)</f>
        <v>0.1</v>
      </c>
      <c r="M3375" s="112">
        <f t="shared" si="209"/>
        <v>4214.9353444512772</v>
      </c>
      <c r="N3375" s="113">
        <f t="shared" si="210"/>
        <v>168.59741377805111</v>
      </c>
      <c r="O3375" s="113">
        <f t="shared" si="211"/>
        <v>37765.820686283449</v>
      </c>
    </row>
    <row r="3376" spans="1:15" x14ac:dyDescent="0.25">
      <c r="A3376" s="13">
        <v>44463</v>
      </c>
      <c r="B3376" s="97">
        <v>1607</v>
      </c>
      <c r="C3376" t="s">
        <v>180</v>
      </c>
      <c r="D3376" t="s">
        <v>447</v>
      </c>
      <c r="E3376" t="s">
        <v>17</v>
      </c>
      <c r="F3376" t="s">
        <v>573</v>
      </c>
      <c r="G3376" s="50" t="s">
        <v>574</v>
      </c>
      <c r="H3376" s="50">
        <v>2</v>
      </c>
      <c r="I3376" s="100">
        <v>6.7391919697301583</v>
      </c>
      <c r="J3376" s="52">
        <v>3834.68</v>
      </c>
      <c r="K3376" s="67">
        <f t="shared" si="212"/>
        <v>41529.12997261314</v>
      </c>
      <c r="L3376" s="95">
        <f>+VLOOKUP(E3376,MARGEN!A:B,2,FALSE)</f>
        <v>0.1</v>
      </c>
      <c r="M3376" s="112">
        <f t="shared" si="209"/>
        <v>4152.9129972613146</v>
      </c>
      <c r="N3376" s="113">
        <f t="shared" si="210"/>
        <v>166.11651989045257</v>
      </c>
      <c r="O3376" s="113">
        <f t="shared" si="211"/>
        <v>37210.100455461376</v>
      </c>
    </row>
    <row r="3377" spans="1:15" x14ac:dyDescent="0.25">
      <c r="A3377" s="13">
        <v>44463</v>
      </c>
      <c r="B3377" s="97">
        <v>1559</v>
      </c>
      <c r="C3377" t="s">
        <v>552</v>
      </c>
      <c r="D3377" t="s">
        <v>563</v>
      </c>
      <c r="E3377" t="s">
        <v>17</v>
      </c>
      <c r="F3377" t="s">
        <v>573</v>
      </c>
      <c r="G3377" s="50" t="s">
        <v>574</v>
      </c>
      <c r="H3377" s="50">
        <v>2</v>
      </c>
      <c r="I3377" s="100">
        <v>6.7391919697301583</v>
      </c>
      <c r="J3377" s="52">
        <v>3834.68</v>
      </c>
      <c r="K3377" s="67">
        <f t="shared" si="212"/>
        <v>40288.683028813866</v>
      </c>
      <c r="L3377" s="95">
        <f>+VLOOKUP(E3377,MARGEN!A:B,2,FALSE)</f>
        <v>0.1</v>
      </c>
      <c r="M3377" s="112">
        <f t="shared" si="209"/>
        <v>4028.8683028813866</v>
      </c>
      <c r="N3377" s="113">
        <f t="shared" si="210"/>
        <v>161.15473211525546</v>
      </c>
      <c r="O3377" s="113">
        <f t="shared" si="211"/>
        <v>36098.659993817222</v>
      </c>
    </row>
    <row r="3378" spans="1:15" x14ac:dyDescent="0.25">
      <c r="A3378" s="13">
        <v>44463</v>
      </c>
      <c r="B3378" s="97">
        <v>1559</v>
      </c>
      <c r="C3378" t="s">
        <v>294</v>
      </c>
      <c r="D3378" t="s">
        <v>527</v>
      </c>
      <c r="E3378" t="s">
        <v>17</v>
      </c>
      <c r="F3378" t="s">
        <v>573</v>
      </c>
      <c r="G3378" s="50" t="s">
        <v>574</v>
      </c>
      <c r="H3378" s="50">
        <v>2</v>
      </c>
      <c r="I3378" s="100">
        <v>6.7391919697301583</v>
      </c>
      <c r="J3378" s="52">
        <v>3834.68</v>
      </c>
      <c r="K3378" s="67">
        <f t="shared" si="212"/>
        <v>40288.683028813866</v>
      </c>
      <c r="L3378" s="95">
        <f>+VLOOKUP(E3378,MARGEN!A:B,2,FALSE)</f>
        <v>0.1</v>
      </c>
      <c r="M3378" s="112">
        <f t="shared" si="209"/>
        <v>4028.8683028813866</v>
      </c>
      <c r="N3378" s="113">
        <f t="shared" si="210"/>
        <v>161.15473211525546</v>
      </c>
      <c r="O3378" s="113">
        <f t="shared" si="211"/>
        <v>36098.659993817222</v>
      </c>
    </row>
    <row r="3379" spans="1:15" x14ac:dyDescent="0.25">
      <c r="A3379" s="13">
        <v>44463</v>
      </c>
      <c r="B3379" s="97">
        <v>1559</v>
      </c>
      <c r="C3379" t="s">
        <v>176</v>
      </c>
      <c r="D3379" t="s">
        <v>430</v>
      </c>
      <c r="E3379" t="s">
        <v>17</v>
      </c>
      <c r="F3379" t="s">
        <v>573</v>
      </c>
      <c r="G3379" s="50" t="s">
        <v>574</v>
      </c>
      <c r="H3379" s="50">
        <v>2</v>
      </c>
      <c r="I3379" s="100">
        <v>6.7391919697301583</v>
      </c>
      <c r="J3379" s="52">
        <v>3834.68</v>
      </c>
      <c r="K3379" s="67">
        <f t="shared" si="212"/>
        <v>40288.683028813866</v>
      </c>
      <c r="L3379" s="95">
        <f>+VLOOKUP(E3379,MARGEN!A:B,2,FALSE)</f>
        <v>0.1</v>
      </c>
      <c r="M3379" s="112">
        <f t="shared" si="209"/>
        <v>4028.8683028813866</v>
      </c>
      <c r="N3379" s="113">
        <f t="shared" si="210"/>
        <v>161.15473211525546</v>
      </c>
      <c r="O3379" s="113">
        <f t="shared" si="211"/>
        <v>36098.659993817222</v>
      </c>
    </row>
    <row r="3380" spans="1:15" x14ac:dyDescent="0.25">
      <c r="A3380" s="13">
        <v>44463</v>
      </c>
      <c r="B3380" s="97">
        <v>1559</v>
      </c>
      <c r="C3380" t="s">
        <v>152</v>
      </c>
      <c r="D3380" t="s">
        <v>425</v>
      </c>
      <c r="E3380" t="s">
        <v>17</v>
      </c>
      <c r="F3380" t="s">
        <v>573</v>
      </c>
      <c r="G3380" s="50" t="s">
        <v>574</v>
      </c>
      <c r="H3380" s="50">
        <v>2</v>
      </c>
      <c r="I3380" s="100">
        <v>6.7391919697301583</v>
      </c>
      <c r="J3380" s="52">
        <v>3834.68</v>
      </c>
      <c r="K3380" s="67">
        <f t="shared" si="212"/>
        <v>40288.683028813866</v>
      </c>
      <c r="L3380" s="95">
        <f>+VLOOKUP(E3380,MARGEN!A:B,2,FALSE)</f>
        <v>0.1</v>
      </c>
      <c r="M3380" s="112">
        <f t="shared" si="209"/>
        <v>4028.8683028813866</v>
      </c>
      <c r="N3380" s="113">
        <f t="shared" si="210"/>
        <v>161.15473211525546</v>
      </c>
      <c r="O3380" s="113">
        <f t="shared" si="211"/>
        <v>36098.659993817222</v>
      </c>
    </row>
    <row r="3381" spans="1:15" x14ac:dyDescent="0.25">
      <c r="A3381" s="13">
        <v>44463</v>
      </c>
      <c r="B3381" s="97">
        <v>1535</v>
      </c>
      <c r="C3381" t="s">
        <v>119</v>
      </c>
      <c r="D3381" t="s">
        <v>377</v>
      </c>
      <c r="E3381" t="s">
        <v>17</v>
      </c>
      <c r="F3381" t="s">
        <v>573</v>
      </c>
      <c r="G3381" s="50" t="s">
        <v>574</v>
      </c>
      <c r="H3381" s="50">
        <v>2</v>
      </c>
      <c r="I3381" s="100">
        <v>6.7391919697301583</v>
      </c>
      <c r="J3381" s="52">
        <v>3834.68</v>
      </c>
      <c r="K3381" s="67">
        <f t="shared" si="212"/>
        <v>39668.459556914233</v>
      </c>
      <c r="L3381" s="95">
        <f>+VLOOKUP(E3381,MARGEN!A:B,2,FALSE)</f>
        <v>0.1</v>
      </c>
      <c r="M3381" s="112">
        <f t="shared" si="209"/>
        <v>3966.8459556914236</v>
      </c>
      <c r="N3381" s="113">
        <f t="shared" si="210"/>
        <v>158.67383822765694</v>
      </c>
      <c r="O3381" s="113">
        <f t="shared" si="211"/>
        <v>35542.939762995149</v>
      </c>
    </row>
    <row r="3382" spans="1:15" x14ac:dyDescent="0.25">
      <c r="A3382" s="13">
        <v>44463</v>
      </c>
      <c r="B3382" s="97">
        <v>1535</v>
      </c>
      <c r="C3382" t="s">
        <v>137</v>
      </c>
      <c r="D3382" t="s">
        <v>418</v>
      </c>
      <c r="E3382" t="s">
        <v>17</v>
      </c>
      <c r="F3382" t="s">
        <v>573</v>
      </c>
      <c r="G3382" s="50" t="s">
        <v>574</v>
      </c>
      <c r="H3382" s="50">
        <v>2</v>
      </c>
      <c r="I3382" s="100">
        <v>6.7391919697301583</v>
      </c>
      <c r="J3382" s="52">
        <v>3834.68</v>
      </c>
      <c r="K3382" s="67">
        <f t="shared" si="212"/>
        <v>39668.459556914233</v>
      </c>
      <c r="L3382" s="95">
        <f>+VLOOKUP(E3382,MARGEN!A:B,2,FALSE)</f>
        <v>0.1</v>
      </c>
      <c r="M3382" s="112">
        <f t="shared" si="209"/>
        <v>3966.8459556914236</v>
      </c>
      <c r="N3382" s="113">
        <f t="shared" si="210"/>
        <v>158.67383822765694</v>
      </c>
      <c r="O3382" s="113">
        <f t="shared" si="211"/>
        <v>35542.939762995149</v>
      </c>
    </row>
    <row r="3383" spans="1:15" x14ac:dyDescent="0.25">
      <c r="A3383" s="13">
        <v>44463</v>
      </c>
      <c r="B3383" s="97">
        <v>1535</v>
      </c>
      <c r="C3383" t="s">
        <v>202</v>
      </c>
      <c r="D3383" t="s">
        <v>436</v>
      </c>
      <c r="E3383" t="s">
        <v>17</v>
      </c>
      <c r="F3383" t="s">
        <v>558</v>
      </c>
      <c r="G3383" s="50" t="s">
        <v>574</v>
      </c>
      <c r="H3383" s="50">
        <v>2</v>
      </c>
      <c r="I3383" s="100">
        <v>6.7391919697301583</v>
      </c>
      <c r="J3383" s="52">
        <v>3834.68</v>
      </c>
      <c r="K3383" s="67">
        <f t="shared" si="212"/>
        <v>39668.459556914233</v>
      </c>
      <c r="L3383" s="95">
        <f>+VLOOKUP(E3383,MARGEN!A:B,2,FALSE)</f>
        <v>0.1</v>
      </c>
      <c r="M3383" s="112">
        <f t="shared" si="209"/>
        <v>3966.8459556914236</v>
      </c>
      <c r="N3383" s="113">
        <f t="shared" si="210"/>
        <v>158.67383822765694</v>
      </c>
      <c r="O3383" s="113">
        <f t="shared" si="211"/>
        <v>35542.939762995149</v>
      </c>
    </row>
    <row r="3384" spans="1:15" x14ac:dyDescent="0.25">
      <c r="A3384" s="13">
        <v>44463</v>
      </c>
      <c r="B3384" s="97">
        <v>1511</v>
      </c>
      <c r="C3384" t="s">
        <v>291</v>
      </c>
      <c r="D3384" t="s">
        <v>492</v>
      </c>
      <c r="E3384" t="s">
        <v>17</v>
      </c>
      <c r="F3384" t="s">
        <v>573</v>
      </c>
      <c r="G3384" s="50" t="s">
        <v>574</v>
      </c>
      <c r="H3384" s="50">
        <v>2</v>
      </c>
      <c r="I3384" s="100">
        <v>6.7391919697301583</v>
      </c>
      <c r="J3384" s="52">
        <v>3834.68</v>
      </c>
      <c r="K3384" s="67">
        <f t="shared" si="212"/>
        <v>39048.2360850146</v>
      </c>
      <c r="L3384" s="95">
        <f>+VLOOKUP(E3384,MARGEN!A:B,2,FALSE)</f>
        <v>0.1</v>
      </c>
      <c r="M3384" s="112">
        <f t="shared" si="209"/>
        <v>3904.8236085014601</v>
      </c>
      <c r="N3384" s="113">
        <f t="shared" si="210"/>
        <v>156.1929443400584</v>
      </c>
      <c r="O3384" s="113">
        <f t="shared" si="211"/>
        <v>34987.219532173083</v>
      </c>
    </row>
    <row r="3385" spans="1:15" x14ac:dyDescent="0.25">
      <c r="A3385" s="13">
        <v>44463</v>
      </c>
      <c r="B3385" s="97">
        <v>1487</v>
      </c>
      <c r="C3385" t="s">
        <v>169</v>
      </c>
      <c r="D3385" t="s">
        <v>351</v>
      </c>
      <c r="E3385" t="s">
        <v>17</v>
      </c>
      <c r="F3385" t="s">
        <v>573</v>
      </c>
      <c r="G3385" s="50" t="s">
        <v>574</v>
      </c>
      <c r="H3385" s="50">
        <v>2</v>
      </c>
      <c r="I3385" s="100">
        <v>6.7391919697301583</v>
      </c>
      <c r="J3385" s="52">
        <v>3834.68</v>
      </c>
      <c r="K3385" s="67">
        <f t="shared" si="212"/>
        <v>38428.012613114959</v>
      </c>
      <c r="L3385" s="95">
        <f>+VLOOKUP(E3385,MARGEN!A:B,2,FALSE)</f>
        <v>0.1</v>
      </c>
      <c r="M3385" s="112">
        <f t="shared" si="209"/>
        <v>3842.8012613114961</v>
      </c>
      <c r="N3385" s="113">
        <f t="shared" si="210"/>
        <v>153.71205045245983</v>
      </c>
      <c r="O3385" s="113">
        <f t="shared" si="211"/>
        <v>34431.499301351003</v>
      </c>
    </row>
    <row r="3386" spans="1:15" x14ac:dyDescent="0.25">
      <c r="A3386" s="13">
        <v>44463</v>
      </c>
      <c r="B3386" s="97">
        <v>1463</v>
      </c>
      <c r="C3386" t="s">
        <v>297</v>
      </c>
      <c r="D3386" t="s">
        <v>526</v>
      </c>
      <c r="E3386" t="s">
        <v>17</v>
      </c>
      <c r="F3386" t="s">
        <v>573</v>
      </c>
      <c r="G3386" s="50" t="s">
        <v>574</v>
      </c>
      <c r="H3386" s="50">
        <v>2</v>
      </c>
      <c r="I3386" s="100">
        <v>6.7391919697301583</v>
      </c>
      <c r="J3386" s="52">
        <v>3834.68</v>
      </c>
      <c r="K3386" s="67">
        <f t="shared" si="212"/>
        <v>37807.789141215326</v>
      </c>
      <c r="L3386" s="95">
        <f>+VLOOKUP(E3386,MARGEN!A:B,2,FALSE)</f>
        <v>0.1</v>
      </c>
      <c r="M3386" s="112">
        <f t="shared" si="209"/>
        <v>3780.7789141215326</v>
      </c>
      <c r="N3386" s="113">
        <f t="shared" si="210"/>
        <v>151.23115656486129</v>
      </c>
      <c r="O3386" s="113">
        <f t="shared" si="211"/>
        <v>33875.77907052893</v>
      </c>
    </row>
    <row r="3387" spans="1:15" x14ac:dyDescent="0.25">
      <c r="A3387" s="13">
        <v>44463</v>
      </c>
      <c r="B3387" s="97">
        <v>1439</v>
      </c>
      <c r="C3387" t="s">
        <v>210</v>
      </c>
      <c r="D3387" t="s">
        <v>402</v>
      </c>
      <c r="E3387" t="s">
        <v>17</v>
      </c>
      <c r="F3387" t="s">
        <v>573</v>
      </c>
      <c r="G3387" s="50" t="s">
        <v>574</v>
      </c>
      <c r="H3387" s="50">
        <v>2</v>
      </c>
      <c r="I3387" s="100">
        <v>6.7391919697301583</v>
      </c>
      <c r="J3387" s="52">
        <v>3834.68</v>
      </c>
      <c r="K3387" s="67">
        <f t="shared" si="212"/>
        <v>37187.565669315685</v>
      </c>
      <c r="L3387" s="95">
        <f>+VLOOKUP(E3387,MARGEN!A:B,2,FALSE)</f>
        <v>0.1</v>
      </c>
      <c r="M3387" s="112">
        <f t="shared" si="209"/>
        <v>3718.7565669315686</v>
      </c>
      <c r="N3387" s="113">
        <f t="shared" si="210"/>
        <v>148.75026267726275</v>
      </c>
      <c r="O3387" s="113">
        <f t="shared" si="211"/>
        <v>33320.058839706857</v>
      </c>
    </row>
    <row r="3388" spans="1:15" x14ac:dyDescent="0.25">
      <c r="A3388" s="13">
        <v>44463</v>
      </c>
      <c r="B3388" s="97">
        <v>1439</v>
      </c>
      <c r="C3388" t="s">
        <v>168</v>
      </c>
      <c r="D3388" t="s">
        <v>352</v>
      </c>
      <c r="E3388" t="s">
        <v>17</v>
      </c>
      <c r="F3388" t="s">
        <v>573</v>
      </c>
      <c r="G3388" s="50" t="s">
        <v>574</v>
      </c>
      <c r="H3388" s="50">
        <v>2</v>
      </c>
      <c r="I3388" s="100">
        <v>6.7391919697301583</v>
      </c>
      <c r="J3388" s="52">
        <v>3834.68</v>
      </c>
      <c r="K3388" s="67">
        <f t="shared" si="212"/>
        <v>37187.565669315685</v>
      </c>
      <c r="L3388" s="95">
        <f>+VLOOKUP(E3388,MARGEN!A:B,2,FALSE)</f>
        <v>0.1</v>
      </c>
      <c r="M3388" s="112">
        <f t="shared" si="209"/>
        <v>3718.7565669315686</v>
      </c>
      <c r="N3388" s="113">
        <f t="shared" si="210"/>
        <v>148.75026267726275</v>
      </c>
      <c r="O3388" s="113">
        <f t="shared" si="211"/>
        <v>33320.058839706857</v>
      </c>
    </row>
    <row r="3389" spans="1:15" x14ac:dyDescent="0.25">
      <c r="A3389" s="13">
        <v>44463</v>
      </c>
      <c r="B3389" s="97">
        <v>1439</v>
      </c>
      <c r="C3389" t="s">
        <v>200</v>
      </c>
      <c r="D3389" t="s">
        <v>428</v>
      </c>
      <c r="E3389" t="s">
        <v>17</v>
      </c>
      <c r="F3389" t="s">
        <v>573</v>
      </c>
      <c r="G3389" s="50" t="s">
        <v>574</v>
      </c>
      <c r="H3389" s="50">
        <v>2</v>
      </c>
      <c r="I3389" s="100">
        <v>6.7391919697301583</v>
      </c>
      <c r="J3389" s="52">
        <v>3834.68</v>
      </c>
      <c r="K3389" s="67">
        <f t="shared" si="212"/>
        <v>37187.565669315685</v>
      </c>
      <c r="L3389" s="95">
        <f>+VLOOKUP(E3389,MARGEN!A:B,2,FALSE)</f>
        <v>0.1</v>
      </c>
      <c r="M3389" s="112">
        <f t="shared" si="209"/>
        <v>3718.7565669315686</v>
      </c>
      <c r="N3389" s="113">
        <f t="shared" si="210"/>
        <v>148.75026267726275</v>
      </c>
      <c r="O3389" s="113">
        <f t="shared" si="211"/>
        <v>33320.058839706857</v>
      </c>
    </row>
    <row r="3390" spans="1:15" x14ac:dyDescent="0.25">
      <c r="A3390" s="13">
        <v>44463</v>
      </c>
      <c r="B3390" s="97">
        <v>1415</v>
      </c>
      <c r="C3390" t="s">
        <v>289</v>
      </c>
      <c r="D3390" t="s">
        <v>528</v>
      </c>
      <c r="E3390" t="s">
        <v>17</v>
      </c>
      <c r="F3390" t="s">
        <v>558</v>
      </c>
      <c r="G3390" s="50" t="s">
        <v>574</v>
      </c>
      <c r="H3390" s="50">
        <v>2</v>
      </c>
      <c r="I3390" s="100">
        <v>6.7391919697301583</v>
      </c>
      <c r="J3390" s="52">
        <v>3834.68</v>
      </c>
      <c r="K3390" s="67">
        <f t="shared" si="212"/>
        <v>36567.342197416052</v>
      </c>
      <c r="L3390" s="95">
        <f>+VLOOKUP(E3390,MARGEN!A:B,2,FALSE)</f>
        <v>0.1</v>
      </c>
      <c r="M3390" s="112">
        <f t="shared" si="209"/>
        <v>3656.7342197416056</v>
      </c>
      <c r="N3390" s="113">
        <f t="shared" si="210"/>
        <v>146.26936878966421</v>
      </c>
      <c r="O3390" s="113">
        <f t="shared" si="211"/>
        <v>32764.33860888478</v>
      </c>
    </row>
    <row r="3391" spans="1:15" x14ac:dyDescent="0.25">
      <c r="A3391" s="13">
        <v>44463</v>
      </c>
      <c r="B3391" s="97">
        <v>1367</v>
      </c>
      <c r="C3391" t="s">
        <v>173</v>
      </c>
      <c r="D3391" t="s">
        <v>451</v>
      </c>
      <c r="E3391" t="s">
        <v>17</v>
      </c>
      <c r="F3391" t="s">
        <v>573</v>
      </c>
      <c r="G3391" s="50" t="s">
        <v>574</v>
      </c>
      <c r="H3391" s="50">
        <v>2</v>
      </c>
      <c r="I3391" s="100">
        <v>6.7391919697301583</v>
      </c>
      <c r="J3391" s="52">
        <v>3834.68</v>
      </c>
      <c r="K3391" s="67">
        <f t="shared" si="212"/>
        <v>35326.895253616778</v>
      </c>
      <c r="L3391" s="95">
        <f>+VLOOKUP(E3391,MARGEN!A:B,2,FALSE)</f>
        <v>0.1</v>
      </c>
      <c r="M3391" s="112">
        <f t="shared" si="209"/>
        <v>3532.6895253616781</v>
      </c>
      <c r="N3391" s="113">
        <f t="shared" si="210"/>
        <v>141.3075810144671</v>
      </c>
      <c r="O3391" s="113">
        <f t="shared" si="211"/>
        <v>31652.898147240634</v>
      </c>
    </row>
    <row r="3392" spans="1:15" x14ac:dyDescent="0.25">
      <c r="A3392" s="13">
        <v>44463</v>
      </c>
      <c r="B3392" s="97">
        <v>1343</v>
      </c>
      <c r="C3392" t="s">
        <v>292</v>
      </c>
      <c r="D3392" t="s">
        <v>535</v>
      </c>
      <c r="E3392" t="s">
        <v>17</v>
      </c>
      <c r="F3392" t="s">
        <v>573</v>
      </c>
      <c r="G3392" s="50" t="s">
        <v>574</v>
      </c>
      <c r="H3392" s="50">
        <v>2</v>
      </c>
      <c r="I3392" s="100">
        <v>6.7391919697301583</v>
      </c>
      <c r="J3392" s="52">
        <v>3834.68</v>
      </c>
      <c r="K3392" s="67">
        <f t="shared" si="212"/>
        <v>34706.671781717145</v>
      </c>
      <c r="L3392" s="95">
        <f>+VLOOKUP(E3392,MARGEN!A:B,2,FALSE)</f>
        <v>0.1</v>
      </c>
      <c r="M3392" s="112">
        <f t="shared" si="209"/>
        <v>3470.6671781717146</v>
      </c>
      <c r="N3392" s="113">
        <f t="shared" si="210"/>
        <v>138.82668712686859</v>
      </c>
      <c r="O3392" s="113">
        <f t="shared" si="211"/>
        <v>31097.177916418561</v>
      </c>
    </row>
    <row r="3393" spans="1:15" x14ac:dyDescent="0.25">
      <c r="A3393" s="13">
        <v>44463</v>
      </c>
      <c r="B3393" s="97">
        <v>1343</v>
      </c>
      <c r="C3393" t="s">
        <v>298</v>
      </c>
      <c r="D3393" t="s">
        <v>536</v>
      </c>
      <c r="E3393" t="s">
        <v>17</v>
      </c>
      <c r="F3393" t="s">
        <v>573</v>
      </c>
      <c r="G3393" s="50" t="s">
        <v>574</v>
      </c>
      <c r="H3393" s="50">
        <v>2</v>
      </c>
      <c r="I3393" s="100">
        <v>6.7391919697301583</v>
      </c>
      <c r="J3393" s="52">
        <v>3834.68</v>
      </c>
      <c r="K3393" s="67">
        <f t="shared" si="212"/>
        <v>34706.671781717145</v>
      </c>
      <c r="L3393" s="95">
        <f>+VLOOKUP(E3393,MARGEN!A:B,2,FALSE)</f>
        <v>0.1</v>
      </c>
      <c r="M3393" s="112">
        <f t="shared" si="209"/>
        <v>3470.6671781717146</v>
      </c>
      <c r="N3393" s="113">
        <f t="shared" si="210"/>
        <v>138.82668712686859</v>
      </c>
      <c r="O3393" s="113">
        <f t="shared" si="211"/>
        <v>31097.177916418561</v>
      </c>
    </row>
    <row r="3394" spans="1:15" x14ac:dyDescent="0.25">
      <c r="A3394" s="13">
        <v>44463</v>
      </c>
      <c r="B3394" s="97">
        <v>1343</v>
      </c>
      <c r="C3394" t="s">
        <v>166</v>
      </c>
      <c r="D3394" t="s">
        <v>426</v>
      </c>
      <c r="E3394" t="s">
        <v>17</v>
      </c>
      <c r="F3394" t="s">
        <v>558</v>
      </c>
      <c r="G3394" s="50" t="s">
        <v>574</v>
      </c>
      <c r="H3394" s="50">
        <v>2</v>
      </c>
      <c r="I3394" s="100">
        <v>6.7391919697301583</v>
      </c>
      <c r="J3394" s="52">
        <v>3834.68</v>
      </c>
      <c r="K3394" s="67">
        <f t="shared" si="212"/>
        <v>34706.671781717145</v>
      </c>
      <c r="L3394" s="95">
        <f>+VLOOKUP(E3394,MARGEN!A:B,2,FALSE)</f>
        <v>0.1</v>
      </c>
      <c r="M3394" s="112">
        <f t="shared" si="209"/>
        <v>3470.6671781717146</v>
      </c>
      <c r="N3394" s="113">
        <f t="shared" si="210"/>
        <v>138.82668712686859</v>
      </c>
      <c r="O3394" s="113">
        <f t="shared" si="211"/>
        <v>31097.177916418561</v>
      </c>
    </row>
    <row r="3395" spans="1:15" x14ac:dyDescent="0.25">
      <c r="A3395" s="13">
        <v>44463</v>
      </c>
      <c r="B3395" s="97">
        <v>1319</v>
      </c>
      <c r="C3395" t="s">
        <v>141</v>
      </c>
      <c r="D3395" t="s">
        <v>450</v>
      </c>
      <c r="E3395" t="s">
        <v>17</v>
      </c>
      <c r="F3395" t="s">
        <v>573</v>
      </c>
      <c r="G3395" s="50" t="s">
        <v>574</v>
      </c>
      <c r="H3395" s="50">
        <v>2</v>
      </c>
      <c r="I3395" s="100">
        <v>6.7391919697301583</v>
      </c>
      <c r="J3395" s="52">
        <v>3834.68</v>
      </c>
      <c r="K3395" s="67">
        <f t="shared" si="212"/>
        <v>34086.448309817511</v>
      </c>
      <c r="L3395" s="95">
        <f>+VLOOKUP(E3395,MARGEN!A:B,2,FALSE)</f>
        <v>0.1</v>
      </c>
      <c r="M3395" s="112">
        <f t="shared" ref="M3395:M3458" si="213">+K3395*L3395</f>
        <v>3408.6448309817515</v>
      </c>
      <c r="N3395" s="113">
        <f t="shared" ref="N3395:N3458" si="214">+K3395*4/1000</f>
        <v>136.34579323927005</v>
      </c>
      <c r="O3395" s="113">
        <f t="shared" ref="O3395:O3458" si="215">+K3395-M3395-N3395</f>
        <v>30541.457685596492</v>
      </c>
    </row>
    <row r="3396" spans="1:15" x14ac:dyDescent="0.25">
      <c r="A3396" s="13">
        <v>44463</v>
      </c>
      <c r="B3396" s="97">
        <v>1319</v>
      </c>
      <c r="C3396" t="s">
        <v>118</v>
      </c>
      <c r="D3396" t="s">
        <v>329</v>
      </c>
      <c r="E3396" t="s">
        <v>17</v>
      </c>
      <c r="F3396" t="s">
        <v>573</v>
      </c>
      <c r="G3396" s="50" t="s">
        <v>574</v>
      </c>
      <c r="H3396" s="50">
        <v>2</v>
      </c>
      <c r="I3396" s="100">
        <v>6.7391919697301583</v>
      </c>
      <c r="J3396" s="52">
        <v>3834.68</v>
      </c>
      <c r="K3396" s="67">
        <f t="shared" si="212"/>
        <v>34086.448309817511</v>
      </c>
      <c r="L3396" s="95">
        <f>+VLOOKUP(E3396,MARGEN!A:B,2,FALSE)</f>
        <v>0.1</v>
      </c>
      <c r="M3396" s="112">
        <f t="shared" si="213"/>
        <v>3408.6448309817515</v>
      </c>
      <c r="N3396" s="113">
        <f t="shared" si="214"/>
        <v>136.34579323927005</v>
      </c>
      <c r="O3396" s="113">
        <f t="shared" si="215"/>
        <v>30541.457685596492</v>
      </c>
    </row>
    <row r="3397" spans="1:15" x14ac:dyDescent="0.25">
      <c r="A3397" s="13">
        <v>44463</v>
      </c>
      <c r="B3397" s="97">
        <v>1295</v>
      </c>
      <c r="C3397" t="s">
        <v>151</v>
      </c>
      <c r="D3397" t="s">
        <v>394</v>
      </c>
      <c r="E3397" t="s">
        <v>17</v>
      </c>
      <c r="F3397" t="s">
        <v>573</v>
      </c>
      <c r="G3397" s="50" t="s">
        <v>574</v>
      </c>
      <c r="H3397" s="50">
        <v>2</v>
      </c>
      <c r="I3397" s="100">
        <v>6.7391919697301583</v>
      </c>
      <c r="J3397" s="52">
        <v>3834.68</v>
      </c>
      <c r="K3397" s="67">
        <f t="shared" si="212"/>
        <v>33466.224837917871</v>
      </c>
      <c r="L3397" s="95">
        <f>+VLOOKUP(E3397,MARGEN!A:B,2,FALSE)</f>
        <v>0.1</v>
      </c>
      <c r="M3397" s="112">
        <f t="shared" si="213"/>
        <v>3346.6224837917871</v>
      </c>
      <c r="N3397" s="113">
        <f t="shared" si="214"/>
        <v>133.86489935167148</v>
      </c>
      <c r="O3397" s="113">
        <f t="shared" si="215"/>
        <v>29985.737454774411</v>
      </c>
    </row>
    <row r="3398" spans="1:15" x14ac:dyDescent="0.25">
      <c r="A3398" s="13">
        <v>44463</v>
      </c>
      <c r="B3398" s="97">
        <v>1295</v>
      </c>
      <c r="C3398" t="s">
        <v>302</v>
      </c>
      <c r="D3398" t="s">
        <v>538</v>
      </c>
      <c r="E3398" t="s">
        <v>17</v>
      </c>
      <c r="F3398" t="s">
        <v>573</v>
      </c>
      <c r="G3398" s="50" t="s">
        <v>574</v>
      </c>
      <c r="H3398" s="50">
        <v>2</v>
      </c>
      <c r="I3398" s="100">
        <v>6.7391919697301583</v>
      </c>
      <c r="J3398" s="52">
        <v>3834.68</v>
      </c>
      <c r="K3398" s="67">
        <f t="shared" si="212"/>
        <v>33466.224837917871</v>
      </c>
      <c r="L3398" s="95">
        <f>+VLOOKUP(E3398,MARGEN!A:B,2,FALSE)</f>
        <v>0.1</v>
      </c>
      <c r="M3398" s="112">
        <f t="shared" si="213"/>
        <v>3346.6224837917871</v>
      </c>
      <c r="N3398" s="113">
        <f t="shared" si="214"/>
        <v>133.86489935167148</v>
      </c>
      <c r="O3398" s="113">
        <f t="shared" si="215"/>
        <v>29985.737454774411</v>
      </c>
    </row>
    <row r="3399" spans="1:15" x14ac:dyDescent="0.25">
      <c r="A3399" s="13">
        <v>44463</v>
      </c>
      <c r="B3399" s="97">
        <v>1295</v>
      </c>
      <c r="C3399" t="s">
        <v>211</v>
      </c>
      <c r="D3399" t="s">
        <v>382</v>
      </c>
      <c r="E3399" t="s">
        <v>17</v>
      </c>
      <c r="F3399" t="s">
        <v>558</v>
      </c>
      <c r="G3399" s="50" t="s">
        <v>574</v>
      </c>
      <c r="H3399" s="50">
        <v>2</v>
      </c>
      <c r="I3399" s="100">
        <v>6.7391919697301583</v>
      </c>
      <c r="J3399" s="52">
        <v>3834.68</v>
      </c>
      <c r="K3399" s="67">
        <f t="shared" si="212"/>
        <v>33466.224837917871</v>
      </c>
      <c r="L3399" s="95">
        <f>+VLOOKUP(E3399,MARGEN!A:B,2,FALSE)</f>
        <v>0.1</v>
      </c>
      <c r="M3399" s="112">
        <f t="shared" si="213"/>
        <v>3346.6224837917871</v>
      </c>
      <c r="N3399" s="113">
        <f t="shared" si="214"/>
        <v>133.86489935167148</v>
      </c>
      <c r="O3399" s="113">
        <f t="shared" si="215"/>
        <v>29985.737454774411</v>
      </c>
    </row>
    <row r="3400" spans="1:15" x14ac:dyDescent="0.25">
      <c r="A3400" s="13">
        <v>44463</v>
      </c>
      <c r="B3400" s="97">
        <v>1271</v>
      </c>
      <c r="C3400" t="s">
        <v>183</v>
      </c>
      <c r="D3400" t="s">
        <v>390</v>
      </c>
      <c r="E3400" t="s">
        <v>17</v>
      </c>
      <c r="F3400" t="s">
        <v>573</v>
      </c>
      <c r="G3400" s="50" t="s">
        <v>574</v>
      </c>
      <c r="H3400" s="50">
        <v>2</v>
      </c>
      <c r="I3400" s="100">
        <v>6.7391919697301583</v>
      </c>
      <c r="J3400" s="52">
        <v>3834.68</v>
      </c>
      <c r="K3400" s="67">
        <f t="shared" si="212"/>
        <v>32846.00136601823</v>
      </c>
      <c r="L3400" s="95">
        <f>+VLOOKUP(E3400,MARGEN!A:B,2,FALSE)</f>
        <v>0.1</v>
      </c>
      <c r="M3400" s="112">
        <f t="shared" si="213"/>
        <v>3284.6001366018231</v>
      </c>
      <c r="N3400" s="113">
        <f t="shared" si="214"/>
        <v>131.38400546407291</v>
      </c>
      <c r="O3400" s="113">
        <f t="shared" si="215"/>
        <v>29430.017223952334</v>
      </c>
    </row>
    <row r="3401" spans="1:15" x14ac:dyDescent="0.25">
      <c r="A3401" s="13">
        <v>44463</v>
      </c>
      <c r="B3401" s="97">
        <v>1271</v>
      </c>
      <c r="C3401" t="s">
        <v>303</v>
      </c>
      <c r="D3401" t="s">
        <v>539</v>
      </c>
      <c r="E3401" t="s">
        <v>17</v>
      </c>
      <c r="F3401" t="s">
        <v>573</v>
      </c>
      <c r="G3401" s="50" t="s">
        <v>574</v>
      </c>
      <c r="H3401" s="50">
        <v>2</v>
      </c>
      <c r="I3401" s="100">
        <v>6.7391919697301583</v>
      </c>
      <c r="J3401" s="52">
        <v>3834.68</v>
      </c>
      <c r="K3401" s="67">
        <f t="shared" ref="K3401:K3464" si="216">+B3401*I3401*J3401/1000</f>
        <v>32846.00136601823</v>
      </c>
      <c r="L3401" s="95">
        <f>+VLOOKUP(E3401,MARGEN!A:B,2,FALSE)</f>
        <v>0.1</v>
      </c>
      <c r="M3401" s="112">
        <f t="shared" si="213"/>
        <v>3284.6001366018231</v>
      </c>
      <c r="N3401" s="113">
        <f t="shared" si="214"/>
        <v>131.38400546407291</v>
      </c>
      <c r="O3401" s="113">
        <f t="shared" si="215"/>
        <v>29430.017223952334</v>
      </c>
    </row>
    <row r="3402" spans="1:15" x14ac:dyDescent="0.25">
      <c r="A3402" s="13">
        <v>44463</v>
      </c>
      <c r="B3402" s="97">
        <v>1247</v>
      </c>
      <c r="C3402" t="s">
        <v>308</v>
      </c>
      <c r="D3402" t="s">
        <v>500</v>
      </c>
      <c r="E3402" t="s">
        <v>17</v>
      </c>
      <c r="F3402" t="s">
        <v>558</v>
      </c>
      <c r="G3402" s="50" t="s">
        <v>574</v>
      </c>
      <c r="H3402" s="50">
        <v>2</v>
      </c>
      <c r="I3402" s="100">
        <v>6.7391919697301583</v>
      </c>
      <c r="J3402" s="52">
        <v>3834.68</v>
      </c>
      <c r="K3402" s="67">
        <f t="shared" si="216"/>
        <v>32225.777894118601</v>
      </c>
      <c r="L3402" s="95">
        <f>+VLOOKUP(E3402,MARGEN!A:B,2,FALSE)</f>
        <v>0.1</v>
      </c>
      <c r="M3402" s="112">
        <f t="shared" si="213"/>
        <v>3222.5777894118601</v>
      </c>
      <c r="N3402" s="113">
        <f t="shared" si="214"/>
        <v>128.9031115764744</v>
      </c>
      <c r="O3402" s="113">
        <f t="shared" si="215"/>
        <v>28874.296993130265</v>
      </c>
    </row>
    <row r="3403" spans="1:15" x14ac:dyDescent="0.25">
      <c r="A3403" s="13">
        <v>44463</v>
      </c>
      <c r="B3403" s="97">
        <v>1247</v>
      </c>
      <c r="C3403" t="s">
        <v>300</v>
      </c>
      <c r="D3403" t="s">
        <v>529</v>
      </c>
      <c r="E3403" t="s">
        <v>17</v>
      </c>
      <c r="F3403" t="s">
        <v>558</v>
      </c>
      <c r="G3403" s="50" t="s">
        <v>574</v>
      </c>
      <c r="H3403" s="50">
        <v>2</v>
      </c>
      <c r="I3403" s="100">
        <v>6.7391919697301583</v>
      </c>
      <c r="J3403" s="52">
        <v>3834.68</v>
      </c>
      <c r="K3403" s="67">
        <f t="shared" si="216"/>
        <v>32225.777894118601</v>
      </c>
      <c r="L3403" s="95">
        <f>+VLOOKUP(E3403,MARGEN!A:B,2,FALSE)</f>
        <v>0.1</v>
      </c>
      <c r="M3403" s="112">
        <f t="shared" si="213"/>
        <v>3222.5777894118601</v>
      </c>
      <c r="N3403" s="113">
        <f t="shared" si="214"/>
        <v>128.9031115764744</v>
      </c>
      <c r="O3403" s="113">
        <f t="shared" si="215"/>
        <v>28874.296993130265</v>
      </c>
    </row>
    <row r="3404" spans="1:15" x14ac:dyDescent="0.25">
      <c r="A3404" s="13">
        <v>44463</v>
      </c>
      <c r="B3404" s="97">
        <v>1223</v>
      </c>
      <c r="C3404" t="s">
        <v>199</v>
      </c>
      <c r="D3404" t="s">
        <v>414</v>
      </c>
      <c r="E3404" t="s">
        <v>17</v>
      </c>
      <c r="F3404" t="s">
        <v>573</v>
      </c>
      <c r="G3404" s="50" t="s">
        <v>574</v>
      </c>
      <c r="H3404" s="50">
        <v>2</v>
      </c>
      <c r="I3404" s="100">
        <v>6.7391919697301583</v>
      </c>
      <c r="J3404" s="52">
        <v>3834.68</v>
      </c>
      <c r="K3404" s="67">
        <f t="shared" si="216"/>
        <v>31605.55442221896</v>
      </c>
      <c r="L3404" s="95">
        <f>+VLOOKUP(E3404,MARGEN!A:B,2,FALSE)</f>
        <v>0.1</v>
      </c>
      <c r="M3404" s="112">
        <f t="shared" si="213"/>
        <v>3160.5554422218961</v>
      </c>
      <c r="N3404" s="113">
        <f t="shared" si="214"/>
        <v>126.42221768887585</v>
      </c>
      <c r="O3404" s="113">
        <f t="shared" si="215"/>
        <v>28318.576762308188</v>
      </c>
    </row>
    <row r="3405" spans="1:15" x14ac:dyDescent="0.25">
      <c r="A3405" s="43">
        <v>44463</v>
      </c>
      <c r="B3405" s="51">
        <v>1223</v>
      </c>
      <c r="C3405" s="66" t="s">
        <v>299</v>
      </c>
      <c r="D3405" s="66" t="s">
        <v>537</v>
      </c>
      <c r="E3405" t="s">
        <v>17</v>
      </c>
      <c r="F3405" s="50" t="s">
        <v>558</v>
      </c>
      <c r="G3405" s="50" t="s">
        <v>574</v>
      </c>
      <c r="H3405" s="50">
        <v>2</v>
      </c>
      <c r="I3405" s="100">
        <v>6.7391919697301583</v>
      </c>
      <c r="J3405" s="52">
        <v>3834.68</v>
      </c>
      <c r="K3405" s="67">
        <f t="shared" si="216"/>
        <v>31605.55442221896</v>
      </c>
      <c r="L3405" s="95">
        <f>+VLOOKUP(E3405,MARGEN!A:B,2,FALSE)</f>
        <v>0.1</v>
      </c>
      <c r="M3405" s="112">
        <f t="shared" si="213"/>
        <v>3160.5554422218961</v>
      </c>
      <c r="N3405" s="113">
        <f t="shared" si="214"/>
        <v>126.42221768887585</v>
      </c>
      <c r="O3405" s="113">
        <f t="shared" si="215"/>
        <v>28318.576762308188</v>
      </c>
    </row>
    <row r="3406" spans="1:15" x14ac:dyDescent="0.25">
      <c r="A3406" s="13">
        <v>44463</v>
      </c>
      <c r="B3406" s="97">
        <v>1175</v>
      </c>
      <c r="C3406" t="s">
        <v>201</v>
      </c>
      <c r="D3406" t="s">
        <v>374</v>
      </c>
      <c r="E3406" t="s">
        <v>17</v>
      </c>
      <c r="F3406" t="s">
        <v>573</v>
      </c>
      <c r="G3406" s="50" t="s">
        <v>574</v>
      </c>
      <c r="H3406" s="50">
        <v>2</v>
      </c>
      <c r="I3406" s="100">
        <v>6.7391919697301583</v>
      </c>
      <c r="J3406" s="52">
        <v>3834.68</v>
      </c>
      <c r="K3406" s="67">
        <f t="shared" si="216"/>
        <v>30365.10747841969</v>
      </c>
      <c r="L3406" s="95">
        <f>+VLOOKUP(E3406,MARGEN!A:B,2,FALSE)</f>
        <v>0.1</v>
      </c>
      <c r="M3406" s="112">
        <f t="shared" si="213"/>
        <v>3036.5107478419691</v>
      </c>
      <c r="N3406" s="113">
        <f t="shared" si="214"/>
        <v>121.46042991367877</v>
      </c>
      <c r="O3406" s="113">
        <f t="shared" si="215"/>
        <v>27207.136300664042</v>
      </c>
    </row>
    <row r="3407" spans="1:15" x14ac:dyDescent="0.25">
      <c r="A3407" s="13">
        <v>44463</v>
      </c>
      <c r="B3407" s="97">
        <v>1151</v>
      </c>
      <c r="C3407" t="s">
        <v>184</v>
      </c>
      <c r="D3407" t="s">
        <v>443</v>
      </c>
      <c r="E3407" t="s">
        <v>17</v>
      </c>
      <c r="F3407" t="s">
        <v>573</v>
      </c>
      <c r="G3407" s="50" t="s">
        <v>574</v>
      </c>
      <c r="H3407" s="50">
        <v>2</v>
      </c>
      <c r="I3407" s="100">
        <v>6.7391919697301583</v>
      </c>
      <c r="J3407" s="52">
        <v>3834.68</v>
      </c>
      <c r="K3407" s="67">
        <f t="shared" si="216"/>
        <v>29744.884006520053</v>
      </c>
      <c r="L3407" s="95">
        <f>+VLOOKUP(E3407,MARGEN!A:B,2,FALSE)</f>
        <v>0.1</v>
      </c>
      <c r="M3407" s="112">
        <f t="shared" si="213"/>
        <v>2974.4884006520056</v>
      </c>
      <c r="N3407" s="113">
        <f t="shared" si="214"/>
        <v>118.97953602608021</v>
      </c>
      <c r="O3407" s="113">
        <f t="shared" si="215"/>
        <v>26651.416069841969</v>
      </c>
    </row>
    <row r="3408" spans="1:15" x14ac:dyDescent="0.25">
      <c r="A3408" s="13">
        <v>44463</v>
      </c>
      <c r="B3408" s="97">
        <v>1127</v>
      </c>
      <c r="C3408" t="s">
        <v>153</v>
      </c>
      <c r="D3408" t="s">
        <v>444</v>
      </c>
      <c r="E3408" t="s">
        <v>17</v>
      </c>
      <c r="F3408" t="s">
        <v>573</v>
      </c>
      <c r="G3408" s="50" t="s">
        <v>574</v>
      </c>
      <c r="H3408" s="50">
        <v>2</v>
      </c>
      <c r="I3408" s="100">
        <v>6.7391919697301583</v>
      </c>
      <c r="J3408" s="52">
        <v>3834.68</v>
      </c>
      <c r="K3408" s="67">
        <f t="shared" si="216"/>
        <v>29124.660534620416</v>
      </c>
      <c r="L3408" s="95">
        <f>+VLOOKUP(E3408,MARGEN!A:B,2,FALSE)</f>
        <v>0.1</v>
      </c>
      <c r="M3408" s="112">
        <f t="shared" si="213"/>
        <v>2912.4660534620416</v>
      </c>
      <c r="N3408" s="113">
        <f t="shared" si="214"/>
        <v>116.49864213848167</v>
      </c>
      <c r="O3408" s="113">
        <f t="shared" si="215"/>
        <v>26095.695839019892</v>
      </c>
    </row>
    <row r="3409" spans="1:15" x14ac:dyDescent="0.25">
      <c r="A3409" s="43">
        <v>44463</v>
      </c>
      <c r="B3409" s="51">
        <v>1079</v>
      </c>
      <c r="C3409" s="66" t="s">
        <v>195</v>
      </c>
      <c r="D3409" s="66" t="s">
        <v>392</v>
      </c>
      <c r="E3409" t="s">
        <v>17</v>
      </c>
      <c r="F3409" s="50" t="s">
        <v>558</v>
      </c>
      <c r="G3409" s="50" t="s">
        <v>574</v>
      </c>
      <c r="H3409" s="50">
        <v>2</v>
      </c>
      <c r="I3409" s="100">
        <v>6.7391919697301583</v>
      </c>
      <c r="J3409" s="52">
        <v>3834.68</v>
      </c>
      <c r="K3409" s="67">
        <f t="shared" si="216"/>
        <v>27884.213590821142</v>
      </c>
      <c r="L3409" s="95">
        <f>+VLOOKUP(E3409,MARGEN!A:B,2,FALSE)</f>
        <v>0.1</v>
      </c>
      <c r="M3409" s="112">
        <f t="shared" si="213"/>
        <v>2788.4213590821146</v>
      </c>
      <c r="N3409" s="113">
        <f t="shared" si="214"/>
        <v>111.53685436328456</v>
      </c>
      <c r="O3409" s="113">
        <f t="shared" si="215"/>
        <v>24984.255377375743</v>
      </c>
    </row>
    <row r="3410" spans="1:15" x14ac:dyDescent="0.25">
      <c r="A3410" s="13">
        <v>44463</v>
      </c>
      <c r="B3410" s="97">
        <v>791</v>
      </c>
      <c r="C3410" t="s">
        <v>307</v>
      </c>
      <c r="D3410" t="s">
        <v>497</v>
      </c>
      <c r="E3410" t="s">
        <v>17</v>
      </c>
      <c r="F3410" t="s">
        <v>573</v>
      </c>
      <c r="G3410" s="50" t="s">
        <v>574</v>
      </c>
      <c r="H3410" s="50">
        <v>2</v>
      </c>
      <c r="I3410" s="100">
        <v>6.7391919697301583</v>
      </c>
      <c r="J3410" s="52">
        <v>3834.68</v>
      </c>
      <c r="K3410" s="67">
        <f t="shared" si="216"/>
        <v>20441.53192802551</v>
      </c>
      <c r="L3410" s="95">
        <f>+VLOOKUP(E3410,MARGEN!A:B,2,FALSE)</f>
        <v>0.1</v>
      </c>
      <c r="M3410" s="112">
        <f t="shared" si="213"/>
        <v>2044.1531928025511</v>
      </c>
      <c r="N3410" s="113">
        <f t="shared" si="214"/>
        <v>81.766127712102033</v>
      </c>
      <c r="O3410" s="113">
        <f t="shared" si="215"/>
        <v>18315.612607510859</v>
      </c>
    </row>
    <row r="3411" spans="1:15" x14ac:dyDescent="0.25">
      <c r="A3411" s="13">
        <v>44463</v>
      </c>
      <c r="B3411" s="97">
        <v>767</v>
      </c>
      <c r="C3411" t="s">
        <v>181</v>
      </c>
      <c r="D3411" t="s">
        <v>415</v>
      </c>
      <c r="E3411" t="s">
        <v>17</v>
      </c>
      <c r="F3411" t="s">
        <v>573</v>
      </c>
      <c r="G3411" s="50" t="s">
        <v>574</v>
      </c>
      <c r="H3411" s="50">
        <v>2</v>
      </c>
      <c r="I3411" s="100">
        <v>6.7391919697301583</v>
      </c>
      <c r="J3411" s="52">
        <v>3834.68</v>
      </c>
      <c r="K3411" s="67">
        <f t="shared" si="216"/>
        <v>19821.308456125873</v>
      </c>
      <c r="L3411" s="95">
        <f>+VLOOKUP(E3411,MARGEN!A:B,2,FALSE)</f>
        <v>0.1</v>
      </c>
      <c r="M3411" s="112">
        <f t="shared" si="213"/>
        <v>1982.1308456125873</v>
      </c>
      <c r="N3411" s="113">
        <f t="shared" si="214"/>
        <v>79.285233824503493</v>
      </c>
      <c r="O3411" s="113">
        <f t="shared" si="215"/>
        <v>17759.892376688782</v>
      </c>
    </row>
    <row r="3412" spans="1:15" x14ac:dyDescent="0.25">
      <c r="A3412" s="43">
        <v>44464</v>
      </c>
      <c r="B3412" s="51">
        <v>8471</v>
      </c>
      <c r="C3412" s="66" t="s">
        <v>164</v>
      </c>
      <c r="D3412" s="66" t="s">
        <v>445</v>
      </c>
      <c r="E3412" t="s">
        <v>17</v>
      </c>
      <c r="F3412" s="50" t="s">
        <v>573</v>
      </c>
      <c r="G3412" s="50" t="s">
        <v>574</v>
      </c>
      <c r="H3412" s="50">
        <v>2</v>
      </c>
      <c r="I3412" s="100">
        <v>6.7391919697301583</v>
      </c>
      <c r="J3412" s="52">
        <v>3834.68</v>
      </c>
      <c r="K3412" s="67">
        <f t="shared" si="216"/>
        <v>218913.04293590909</v>
      </c>
      <c r="L3412" s="95">
        <f>+VLOOKUP(E3412,MARGEN!A:B,2,FALSE)</f>
        <v>0.1</v>
      </c>
      <c r="M3412" s="112">
        <f t="shared" si="213"/>
        <v>21891.304293590911</v>
      </c>
      <c r="N3412" s="113">
        <f t="shared" si="214"/>
        <v>875.65217174363636</v>
      </c>
      <c r="O3412" s="113">
        <f t="shared" si="215"/>
        <v>196146.08647057455</v>
      </c>
    </row>
    <row r="3413" spans="1:15" x14ac:dyDescent="0.25">
      <c r="A3413" s="13">
        <v>44464</v>
      </c>
      <c r="B3413" s="97">
        <v>6767</v>
      </c>
      <c r="C3413" t="s">
        <v>150</v>
      </c>
      <c r="D3413" t="s">
        <v>357</v>
      </c>
      <c r="E3413" t="s">
        <v>17</v>
      </c>
      <c r="F3413" t="s">
        <v>573</v>
      </c>
      <c r="G3413" s="50" t="s">
        <v>574</v>
      </c>
      <c r="H3413" s="50">
        <v>2</v>
      </c>
      <c r="I3413" s="100">
        <v>6.7391919697301583</v>
      </c>
      <c r="J3413" s="52">
        <v>3834.68</v>
      </c>
      <c r="K3413" s="67">
        <f t="shared" si="216"/>
        <v>174877.17643103495</v>
      </c>
      <c r="L3413" s="95">
        <f>+VLOOKUP(E3413,MARGEN!A:B,2,FALSE)</f>
        <v>0.1</v>
      </c>
      <c r="M3413" s="112">
        <f t="shared" si="213"/>
        <v>17487.717643103497</v>
      </c>
      <c r="N3413" s="113">
        <f t="shared" si="214"/>
        <v>699.50870572413976</v>
      </c>
      <c r="O3413" s="113">
        <f t="shared" si="215"/>
        <v>156689.9500822073</v>
      </c>
    </row>
    <row r="3414" spans="1:15" x14ac:dyDescent="0.25">
      <c r="A3414" s="13">
        <v>44464</v>
      </c>
      <c r="B3414" s="97">
        <v>5855</v>
      </c>
      <c r="C3414" t="s">
        <v>279</v>
      </c>
      <c r="D3414" t="s">
        <v>493</v>
      </c>
      <c r="E3414" t="s">
        <v>17</v>
      </c>
      <c r="F3414" t="s">
        <v>573</v>
      </c>
      <c r="G3414" s="50" t="s">
        <v>574</v>
      </c>
      <c r="H3414" s="50">
        <v>2</v>
      </c>
      <c r="I3414" s="100">
        <v>6.7391919697301583</v>
      </c>
      <c r="J3414" s="52">
        <v>3834.68</v>
      </c>
      <c r="K3414" s="67">
        <f t="shared" si="216"/>
        <v>151308.68449884877</v>
      </c>
      <c r="L3414" s="95">
        <f>+VLOOKUP(E3414,MARGEN!A:B,2,FALSE)</f>
        <v>0.1</v>
      </c>
      <c r="M3414" s="112">
        <f t="shared" si="213"/>
        <v>15130.868449884878</v>
      </c>
      <c r="N3414" s="113">
        <f t="shared" si="214"/>
        <v>605.23473799539511</v>
      </c>
      <c r="O3414" s="113">
        <f t="shared" si="215"/>
        <v>135572.5813109685</v>
      </c>
    </row>
    <row r="3415" spans="1:15" x14ac:dyDescent="0.25">
      <c r="A3415" s="13">
        <v>44464</v>
      </c>
      <c r="B3415" s="97">
        <v>5447</v>
      </c>
      <c r="C3415" t="s">
        <v>278</v>
      </c>
      <c r="D3415" t="s">
        <v>453</v>
      </c>
      <c r="E3415" t="s">
        <v>17</v>
      </c>
      <c r="F3415" t="s">
        <v>573</v>
      </c>
      <c r="G3415" s="50" t="s">
        <v>574</v>
      </c>
      <c r="H3415" s="50">
        <v>2</v>
      </c>
      <c r="I3415" s="100">
        <v>6.7391919697301583</v>
      </c>
      <c r="J3415" s="52">
        <v>3834.68</v>
      </c>
      <c r="K3415" s="67">
        <f t="shared" si="216"/>
        <v>140764.88547655492</v>
      </c>
      <c r="L3415" s="95">
        <f>+VLOOKUP(E3415,MARGEN!A:B,2,FALSE)</f>
        <v>0.1</v>
      </c>
      <c r="M3415" s="112">
        <f t="shared" si="213"/>
        <v>14076.488547655492</v>
      </c>
      <c r="N3415" s="113">
        <f t="shared" si="214"/>
        <v>563.05954190621969</v>
      </c>
      <c r="O3415" s="113">
        <f t="shared" si="215"/>
        <v>126125.33738699321</v>
      </c>
    </row>
    <row r="3416" spans="1:15" x14ac:dyDescent="0.25">
      <c r="A3416" s="13">
        <v>44464</v>
      </c>
      <c r="B3416" s="97">
        <v>4631</v>
      </c>
      <c r="C3416" t="s">
        <v>136</v>
      </c>
      <c r="D3416" t="s">
        <v>359</v>
      </c>
      <c r="E3416" t="s">
        <v>17</v>
      </c>
      <c r="F3416" t="s">
        <v>573</v>
      </c>
      <c r="G3416" s="50" t="s">
        <v>574</v>
      </c>
      <c r="H3416" s="50">
        <v>2</v>
      </c>
      <c r="I3416" s="100">
        <v>6.7391919697301583</v>
      </c>
      <c r="J3416" s="52">
        <v>3834.68</v>
      </c>
      <c r="K3416" s="67">
        <f t="shared" si="216"/>
        <v>119677.28743196731</v>
      </c>
      <c r="L3416" s="95">
        <f>+VLOOKUP(E3416,MARGEN!A:B,2,FALSE)</f>
        <v>0.1</v>
      </c>
      <c r="M3416" s="112">
        <f t="shared" si="213"/>
        <v>11967.728743196732</v>
      </c>
      <c r="N3416" s="113">
        <f t="shared" si="214"/>
        <v>478.70914972786926</v>
      </c>
      <c r="O3416" s="113">
        <f t="shared" si="215"/>
        <v>107230.84953904271</v>
      </c>
    </row>
    <row r="3417" spans="1:15" x14ac:dyDescent="0.25">
      <c r="A3417" s="13">
        <v>44464</v>
      </c>
      <c r="B3417" s="97">
        <v>4271</v>
      </c>
      <c r="C3417" t="s">
        <v>193</v>
      </c>
      <c r="D3417" t="s">
        <v>380</v>
      </c>
      <c r="E3417" t="s">
        <v>17</v>
      </c>
      <c r="F3417" t="s">
        <v>573</v>
      </c>
      <c r="G3417" s="50" t="s">
        <v>574</v>
      </c>
      <c r="H3417" s="50">
        <v>2</v>
      </c>
      <c r="I3417" s="100">
        <v>6.7391919697301583</v>
      </c>
      <c r="J3417" s="52">
        <v>3834.68</v>
      </c>
      <c r="K3417" s="67">
        <f t="shared" si="216"/>
        <v>110373.93535347277</v>
      </c>
      <c r="L3417" s="95">
        <f>+VLOOKUP(E3417,MARGEN!A:B,2,FALSE)</f>
        <v>0.1</v>
      </c>
      <c r="M3417" s="112">
        <f t="shared" si="213"/>
        <v>11037.393535347277</v>
      </c>
      <c r="N3417" s="113">
        <f t="shared" si="214"/>
        <v>441.4957414138911</v>
      </c>
      <c r="O3417" s="113">
        <f t="shared" si="215"/>
        <v>98895.046076711602</v>
      </c>
    </row>
    <row r="3418" spans="1:15" x14ac:dyDescent="0.25">
      <c r="A3418" s="13">
        <v>44464</v>
      </c>
      <c r="B3418" s="97">
        <v>4079</v>
      </c>
      <c r="C3418" t="s">
        <v>148</v>
      </c>
      <c r="D3418" t="s">
        <v>323</v>
      </c>
      <c r="E3418" t="s">
        <v>17</v>
      </c>
      <c r="F3418" t="s">
        <v>558</v>
      </c>
      <c r="G3418" s="50" t="s">
        <v>574</v>
      </c>
      <c r="H3418" s="50">
        <v>2</v>
      </c>
      <c r="I3418" s="100">
        <v>6.7391919697301583</v>
      </c>
      <c r="J3418" s="52">
        <v>3834.68</v>
      </c>
      <c r="K3418" s="67">
        <f t="shared" si="216"/>
        <v>105412.14757827566</v>
      </c>
      <c r="L3418" s="95">
        <f>+VLOOKUP(E3418,MARGEN!A:B,2,FALSE)</f>
        <v>0.1</v>
      </c>
      <c r="M3418" s="112">
        <f t="shared" si="213"/>
        <v>10541.214757827567</v>
      </c>
      <c r="N3418" s="113">
        <f t="shared" si="214"/>
        <v>421.64859031310266</v>
      </c>
      <c r="O3418" s="113">
        <f t="shared" si="215"/>
        <v>94449.284230135003</v>
      </c>
    </row>
    <row r="3419" spans="1:15" x14ac:dyDescent="0.25">
      <c r="A3419" s="13">
        <v>44464</v>
      </c>
      <c r="B3419" s="97">
        <v>3959</v>
      </c>
      <c r="C3419" t="s">
        <v>301</v>
      </c>
      <c r="D3419" t="s">
        <v>521</v>
      </c>
      <c r="E3419" t="s">
        <v>17</v>
      </c>
      <c r="F3419" t="s">
        <v>562</v>
      </c>
      <c r="G3419" s="50" t="s">
        <v>574</v>
      </c>
      <c r="H3419" s="50">
        <v>2</v>
      </c>
      <c r="I3419" s="100">
        <v>6.7391919697301583</v>
      </c>
      <c r="J3419" s="52">
        <v>3834.68</v>
      </c>
      <c r="K3419" s="67">
        <f t="shared" si="216"/>
        <v>102311.03021877749</v>
      </c>
      <c r="L3419" s="95">
        <f>+VLOOKUP(E3419,MARGEN!A:B,2,FALSE)</f>
        <v>0.1</v>
      </c>
      <c r="M3419" s="112">
        <f t="shared" si="213"/>
        <v>10231.103021877751</v>
      </c>
      <c r="N3419" s="113">
        <f t="shared" si="214"/>
        <v>409.24412087510996</v>
      </c>
      <c r="O3419" s="113">
        <f t="shared" si="215"/>
        <v>91670.683076024638</v>
      </c>
    </row>
    <row r="3420" spans="1:15" x14ac:dyDescent="0.25">
      <c r="A3420" s="13">
        <v>44464</v>
      </c>
      <c r="B3420" s="97">
        <v>3887</v>
      </c>
      <c r="C3420" t="s">
        <v>293</v>
      </c>
      <c r="D3420" t="s">
        <v>499</v>
      </c>
      <c r="E3420" t="s">
        <v>17</v>
      </c>
      <c r="F3420" t="s">
        <v>573</v>
      </c>
      <c r="G3420" s="50" t="s">
        <v>574</v>
      </c>
      <c r="H3420" s="50">
        <v>2</v>
      </c>
      <c r="I3420" s="100">
        <v>6.7391919697301583</v>
      </c>
      <c r="J3420" s="52">
        <v>3834.68</v>
      </c>
      <c r="K3420" s="67">
        <f t="shared" si="216"/>
        <v>100450.35980307858</v>
      </c>
      <c r="L3420" s="95">
        <f>+VLOOKUP(E3420,MARGEN!A:B,2,FALSE)</f>
        <v>0.1</v>
      </c>
      <c r="M3420" s="112">
        <f t="shared" si="213"/>
        <v>10045.035980307859</v>
      </c>
      <c r="N3420" s="113">
        <f t="shared" si="214"/>
        <v>401.80143921231434</v>
      </c>
      <c r="O3420" s="113">
        <f t="shared" si="215"/>
        <v>90003.522383558404</v>
      </c>
    </row>
    <row r="3421" spans="1:15" x14ac:dyDescent="0.25">
      <c r="A3421" s="13">
        <v>44464</v>
      </c>
      <c r="B3421" s="97">
        <v>3791</v>
      </c>
      <c r="C3421" t="s">
        <v>144</v>
      </c>
      <c r="D3421" t="s">
        <v>343</v>
      </c>
      <c r="E3421" t="s">
        <v>17</v>
      </c>
      <c r="F3421" t="s">
        <v>573</v>
      </c>
      <c r="G3421" s="50" t="s">
        <v>574</v>
      </c>
      <c r="H3421" s="50">
        <v>2</v>
      </c>
      <c r="I3421" s="100">
        <v>6.7391919697301583</v>
      </c>
      <c r="J3421" s="52">
        <v>3834.68</v>
      </c>
      <c r="K3421" s="67">
        <f t="shared" si="216"/>
        <v>97969.465915480032</v>
      </c>
      <c r="L3421" s="95">
        <f>+VLOOKUP(E3421,MARGEN!A:B,2,FALSE)</f>
        <v>0.1</v>
      </c>
      <c r="M3421" s="112">
        <f t="shared" si="213"/>
        <v>9796.9465915480032</v>
      </c>
      <c r="N3421" s="113">
        <f t="shared" si="214"/>
        <v>391.87786366192012</v>
      </c>
      <c r="O3421" s="113">
        <f t="shared" si="215"/>
        <v>87780.641460270112</v>
      </c>
    </row>
    <row r="3422" spans="1:15" x14ac:dyDescent="0.25">
      <c r="A3422" s="13">
        <v>44464</v>
      </c>
      <c r="B3422" s="97">
        <v>3623</v>
      </c>
      <c r="C3422" t="s">
        <v>149</v>
      </c>
      <c r="D3422" t="s">
        <v>325</v>
      </c>
      <c r="E3422" t="s">
        <v>17</v>
      </c>
      <c r="F3422" t="s">
        <v>573</v>
      </c>
      <c r="G3422" s="50" t="s">
        <v>574</v>
      </c>
      <c r="H3422" s="50">
        <v>2</v>
      </c>
      <c r="I3422" s="100">
        <v>6.7391919697301583</v>
      </c>
      <c r="J3422" s="52">
        <v>3834.68</v>
      </c>
      <c r="K3422" s="67">
        <f t="shared" si="216"/>
        <v>93627.901612182584</v>
      </c>
      <c r="L3422" s="95">
        <f>+VLOOKUP(E3422,MARGEN!A:B,2,FALSE)</f>
        <v>0.1</v>
      </c>
      <c r="M3422" s="112">
        <f t="shared" si="213"/>
        <v>9362.7901612182595</v>
      </c>
      <c r="N3422" s="113">
        <f t="shared" si="214"/>
        <v>374.51160644873033</v>
      </c>
      <c r="O3422" s="113">
        <f t="shared" si="215"/>
        <v>83890.599844515586</v>
      </c>
    </row>
    <row r="3423" spans="1:15" x14ac:dyDescent="0.25">
      <c r="A3423" s="13">
        <v>44464</v>
      </c>
      <c r="B3423" s="97">
        <v>3599</v>
      </c>
      <c r="C3423" t="s">
        <v>192</v>
      </c>
      <c r="D3423" t="s">
        <v>347</v>
      </c>
      <c r="E3423" t="s">
        <v>17</v>
      </c>
      <c r="F3423" t="s">
        <v>573</v>
      </c>
      <c r="G3423" s="50" t="s">
        <v>574</v>
      </c>
      <c r="H3423" s="50">
        <v>2</v>
      </c>
      <c r="I3423" s="100">
        <v>6.7391919697301583</v>
      </c>
      <c r="J3423" s="52">
        <v>3834.68</v>
      </c>
      <c r="K3423" s="67">
        <f t="shared" si="216"/>
        <v>93007.678140282951</v>
      </c>
      <c r="L3423" s="95">
        <f>+VLOOKUP(E3423,MARGEN!A:B,2,FALSE)</f>
        <v>0.1</v>
      </c>
      <c r="M3423" s="112">
        <f t="shared" si="213"/>
        <v>9300.7678140282951</v>
      </c>
      <c r="N3423" s="113">
        <f t="shared" si="214"/>
        <v>372.03071256113179</v>
      </c>
      <c r="O3423" s="113">
        <f t="shared" si="215"/>
        <v>83334.879613693527</v>
      </c>
    </row>
    <row r="3424" spans="1:15" x14ac:dyDescent="0.25">
      <c r="A3424" s="13">
        <v>44464</v>
      </c>
      <c r="B3424" s="97">
        <v>3479</v>
      </c>
      <c r="C3424" t="s">
        <v>165</v>
      </c>
      <c r="D3424" t="s">
        <v>375</v>
      </c>
      <c r="E3424" t="s">
        <v>17</v>
      </c>
      <c r="F3424" t="s">
        <v>573</v>
      </c>
      <c r="G3424" s="50" t="s">
        <v>574</v>
      </c>
      <c r="H3424" s="50">
        <v>2</v>
      </c>
      <c r="I3424" s="100">
        <v>6.7391919697301583</v>
      </c>
      <c r="J3424" s="52">
        <v>3834.68</v>
      </c>
      <c r="K3424" s="67">
        <f t="shared" si="216"/>
        <v>89906.56078078477</v>
      </c>
      <c r="L3424" s="95">
        <f>+VLOOKUP(E3424,MARGEN!A:B,2,FALSE)</f>
        <v>0.1</v>
      </c>
      <c r="M3424" s="112">
        <f t="shared" si="213"/>
        <v>8990.6560780784766</v>
      </c>
      <c r="N3424" s="113">
        <f t="shared" si="214"/>
        <v>359.62624312313909</v>
      </c>
      <c r="O3424" s="113">
        <f t="shared" si="215"/>
        <v>80556.278459583147</v>
      </c>
    </row>
    <row r="3425" spans="1:15" x14ac:dyDescent="0.25">
      <c r="A3425" s="13">
        <v>44464</v>
      </c>
      <c r="B3425" s="97">
        <v>3359</v>
      </c>
      <c r="C3425" t="s">
        <v>309</v>
      </c>
      <c r="D3425" t="s">
        <v>544</v>
      </c>
      <c r="E3425" t="s">
        <v>17</v>
      </c>
      <c r="F3425" t="s">
        <v>573</v>
      </c>
      <c r="G3425" s="50" t="s">
        <v>574</v>
      </c>
      <c r="H3425" s="50">
        <v>2</v>
      </c>
      <c r="I3425" s="100">
        <v>6.7391919697301583</v>
      </c>
      <c r="J3425" s="52">
        <v>3834.68</v>
      </c>
      <c r="K3425" s="67">
        <f t="shared" si="216"/>
        <v>86805.443421286589</v>
      </c>
      <c r="L3425" s="95">
        <f>+VLOOKUP(E3425,MARGEN!A:B,2,FALSE)</f>
        <v>0.1</v>
      </c>
      <c r="M3425" s="112">
        <f t="shared" si="213"/>
        <v>8680.54434212866</v>
      </c>
      <c r="N3425" s="113">
        <f t="shared" si="214"/>
        <v>347.22177368514633</v>
      </c>
      <c r="O3425" s="113">
        <f t="shared" si="215"/>
        <v>77777.677305472782</v>
      </c>
    </row>
    <row r="3426" spans="1:15" x14ac:dyDescent="0.25">
      <c r="A3426" s="13">
        <v>44464</v>
      </c>
      <c r="B3426" s="97">
        <v>2903</v>
      </c>
      <c r="C3426" t="s">
        <v>134</v>
      </c>
      <c r="D3426" t="s">
        <v>362</v>
      </c>
      <c r="E3426" t="s">
        <v>17</v>
      </c>
      <c r="F3426" t="s">
        <v>573</v>
      </c>
      <c r="G3426" s="50" t="s">
        <v>574</v>
      </c>
      <c r="H3426" s="50">
        <v>2</v>
      </c>
      <c r="I3426" s="100">
        <v>6.7391919697301583</v>
      </c>
      <c r="J3426" s="52">
        <v>3834.68</v>
      </c>
      <c r="K3426" s="67">
        <f t="shared" si="216"/>
        <v>75021.197455193484</v>
      </c>
      <c r="L3426" s="95">
        <f>+VLOOKUP(E3426,MARGEN!A:B,2,FALSE)</f>
        <v>0.1</v>
      </c>
      <c r="M3426" s="112">
        <f t="shared" si="213"/>
        <v>7502.1197455193487</v>
      </c>
      <c r="N3426" s="113">
        <f t="shared" si="214"/>
        <v>300.08478982077395</v>
      </c>
      <c r="O3426" s="113">
        <f t="shared" si="215"/>
        <v>67218.992919853365</v>
      </c>
    </row>
    <row r="3427" spans="1:15" x14ac:dyDescent="0.25">
      <c r="A3427" s="43">
        <v>44464</v>
      </c>
      <c r="B3427" s="51">
        <v>2783</v>
      </c>
      <c r="C3427" s="66" t="s">
        <v>131</v>
      </c>
      <c r="D3427" s="66" t="s">
        <v>344</v>
      </c>
      <c r="E3427" t="s">
        <v>17</v>
      </c>
      <c r="F3427" s="50" t="s">
        <v>573</v>
      </c>
      <c r="G3427" s="50" t="s">
        <v>574</v>
      </c>
      <c r="H3427" s="50">
        <v>2</v>
      </c>
      <c r="I3427" s="100">
        <v>6.7391919697301583</v>
      </c>
      <c r="J3427" s="52">
        <v>3834.68</v>
      </c>
      <c r="K3427" s="67">
        <f t="shared" si="216"/>
        <v>71920.080095695317</v>
      </c>
      <c r="L3427" s="95">
        <f>+VLOOKUP(E3427,MARGEN!A:B,2,FALSE)</f>
        <v>0.1</v>
      </c>
      <c r="M3427" s="112">
        <f t="shared" si="213"/>
        <v>7192.0080095695321</v>
      </c>
      <c r="N3427" s="113">
        <f t="shared" si="214"/>
        <v>287.68032038278125</v>
      </c>
      <c r="O3427" s="113">
        <f t="shared" si="215"/>
        <v>64440.391765743007</v>
      </c>
    </row>
    <row r="3428" spans="1:15" x14ac:dyDescent="0.25">
      <c r="A3428" s="13">
        <v>44464</v>
      </c>
      <c r="B3428" s="97">
        <v>2711</v>
      </c>
      <c r="C3428" t="s">
        <v>132</v>
      </c>
      <c r="D3428" t="s">
        <v>376</v>
      </c>
      <c r="E3428" t="s">
        <v>17</v>
      </c>
      <c r="F3428" t="s">
        <v>573</v>
      </c>
      <c r="G3428" s="50" t="s">
        <v>574</v>
      </c>
      <c r="H3428" s="50">
        <v>2</v>
      </c>
      <c r="I3428" s="100">
        <v>6.7391919697301583</v>
      </c>
      <c r="J3428" s="52">
        <v>3834.68</v>
      </c>
      <c r="K3428" s="67">
        <f t="shared" si="216"/>
        <v>70059.409679996417</v>
      </c>
      <c r="L3428" s="95">
        <f>+VLOOKUP(E3428,MARGEN!A:B,2,FALSE)</f>
        <v>0.1</v>
      </c>
      <c r="M3428" s="112">
        <f t="shared" si="213"/>
        <v>7005.9409679996425</v>
      </c>
      <c r="N3428" s="113">
        <f t="shared" si="214"/>
        <v>280.23763871998568</v>
      </c>
      <c r="O3428" s="113">
        <f t="shared" si="215"/>
        <v>62773.231073276787</v>
      </c>
    </row>
    <row r="3429" spans="1:15" x14ac:dyDescent="0.25">
      <c r="A3429" s="13">
        <v>44464</v>
      </c>
      <c r="B3429" s="97">
        <v>2687</v>
      </c>
      <c r="C3429" t="s">
        <v>146</v>
      </c>
      <c r="D3429" t="s">
        <v>348</v>
      </c>
      <c r="E3429" t="s">
        <v>17</v>
      </c>
      <c r="F3429" t="s">
        <v>573</v>
      </c>
      <c r="G3429" s="50" t="s">
        <v>574</v>
      </c>
      <c r="H3429" s="50">
        <v>2</v>
      </c>
      <c r="I3429" s="100">
        <v>6.7391919697301583</v>
      </c>
      <c r="J3429" s="52">
        <v>3834.68</v>
      </c>
      <c r="K3429" s="67">
        <f t="shared" si="216"/>
        <v>69439.186208096769</v>
      </c>
      <c r="L3429" s="95">
        <f>+VLOOKUP(E3429,MARGEN!A:B,2,FALSE)</f>
        <v>0.1</v>
      </c>
      <c r="M3429" s="112">
        <f t="shared" si="213"/>
        <v>6943.9186208096771</v>
      </c>
      <c r="N3429" s="113">
        <f t="shared" si="214"/>
        <v>277.75674483238708</v>
      </c>
      <c r="O3429" s="113">
        <f t="shared" si="215"/>
        <v>62217.5108424547</v>
      </c>
    </row>
    <row r="3430" spans="1:15" x14ac:dyDescent="0.25">
      <c r="A3430" s="13">
        <v>44464</v>
      </c>
      <c r="B3430" s="97">
        <v>2663</v>
      </c>
      <c r="C3430" t="s">
        <v>186</v>
      </c>
      <c r="D3430" t="s">
        <v>440</v>
      </c>
      <c r="E3430" t="s">
        <v>17</v>
      </c>
      <c r="F3430" t="s">
        <v>573</v>
      </c>
      <c r="G3430" s="50" t="s">
        <v>574</v>
      </c>
      <c r="H3430" s="50">
        <v>2</v>
      </c>
      <c r="I3430" s="100">
        <v>6.7391919697301583</v>
      </c>
      <c r="J3430" s="52">
        <v>3834.68</v>
      </c>
      <c r="K3430" s="67">
        <f t="shared" si="216"/>
        <v>68818.962736197136</v>
      </c>
      <c r="L3430" s="95">
        <f>+VLOOKUP(E3430,MARGEN!A:B,2,FALSE)</f>
        <v>0.1</v>
      </c>
      <c r="M3430" s="112">
        <f t="shared" si="213"/>
        <v>6881.8962736197136</v>
      </c>
      <c r="N3430" s="113">
        <f t="shared" si="214"/>
        <v>275.27585094478854</v>
      </c>
      <c r="O3430" s="113">
        <f t="shared" si="215"/>
        <v>61661.790611632634</v>
      </c>
    </row>
    <row r="3431" spans="1:15" x14ac:dyDescent="0.25">
      <c r="A3431" s="13">
        <v>44464</v>
      </c>
      <c r="B3431" s="97">
        <v>2567</v>
      </c>
      <c r="C3431" t="s">
        <v>310</v>
      </c>
      <c r="D3431" t="s">
        <v>540</v>
      </c>
      <c r="E3431" t="s">
        <v>17</v>
      </c>
      <c r="F3431" t="s">
        <v>573</v>
      </c>
      <c r="G3431" s="50" t="s">
        <v>574</v>
      </c>
      <c r="H3431" s="50">
        <v>2</v>
      </c>
      <c r="I3431" s="100">
        <v>6.7391919697301583</v>
      </c>
      <c r="J3431" s="52">
        <v>3834.68</v>
      </c>
      <c r="K3431" s="67">
        <f t="shared" si="216"/>
        <v>66338.068848598588</v>
      </c>
      <c r="L3431" s="95">
        <f>+VLOOKUP(E3431,MARGEN!A:B,2,FALSE)</f>
        <v>0.1</v>
      </c>
      <c r="M3431" s="112">
        <f t="shared" si="213"/>
        <v>6633.8068848598596</v>
      </c>
      <c r="N3431" s="113">
        <f t="shared" si="214"/>
        <v>265.35227539439433</v>
      </c>
      <c r="O3431" s="113">
        <f t="shared" si="215"/>
        <v>59438.909688344334</v>
      </c>
    </row>
    <row r="3432" spans="1:15" x14ac:dyDescent="0.25">
      <c r="A3432" s="13">
        <v>44464</v>
      </c>
      <c r="B3432" s="97">
        <v>2519</v>
      </c>
      <c r="C3432" t="s">
        <v>127</v>
      </c>
      <c r="D3432" t="s">
        <v>411</v>
      </c>
      <c r="E3432" t="s">
        <v>17</v>
      </c>
      <c r="F3432" t="s">
        <v>573</v>
      </c>
      <c r="G3432" s="50" t="s">
        <v>574</v>
      </c>
      <c r="H3432" s="50">
        <v>2</v>
      </c>
      <c r="I3432" s="100">
        <v>6.7391919697301583</v>
      </c>
      <c r="J3432" s="52">
        <v>3834.68</v>
      </c>
      <c r="K3432" s="67">
        <f t="shared" si="216"/>
        <v>65097.621904799322</v>
      </c>
      <c r="L3432" s="95">
        <f>+VLOOKUP(E3432,MARGEN!A:B,2,FALSE)</f>
        <v>0.1</v>
      </c>
      <c r="M3432" s="112">
        <f t="shared" si="213"/>
        <v>6509.7621904799325</v>
      </c>
      <c r="N3432" s="113">
        <f t="shared" si="214"/>
        <v>260.3904876191973</v>
      </c>
      <c r="O3432" s="113">
        <f t="shared" si="215"/>
        <v>58327.469226700196</v>
      </c>
    </row>
    <row r="3433" spans="1:15" x14ac:dyDescent="0.25">
      <c r="A3433" s="13">
        <v>44464</v>
      </c>
      <c r="B3433" s="97">
        <v>2423</v>
      </c>
      <c r="C3433" t="s">
        <v>162</v>
      </c>
      <c r="D3433" t="s">
        <v>391</v>
      </c>
      <c r="E3433" t="s">
        <v>17</v>
      </c>
      <c r="F3433" t="s">
        <v>562</v>
      </c>
      <c r="G3433" s="50" t="s">
        <v>574</v>
      </c>
      <c r="H3433" s="50">
        <v>2</v>
      </c>
      <c r="I3433" s="100">
        <v>6.7391919697301583</v>
      </c>
      <c r="J3433" s="52">
        <v>3834.68</v>
      </c>
      <c r="K3433" s="67">
        <f t="shared" si="216"/>
        <v>62616.728017200774</v>
      </c>
      <c r="L3433" s="95">
        <f>+VLOOKUP(E3433,MARGEN!A:B,2,FALSE)</f>
        <v>0.1</v>
      </c>
      <c r="M3433" s="112">
        <f t="shared" si="213"/>
        <v>6261.6728017200776</v>
      </c>
      <c r="N3433" s="113">
        <f t="shared" si="214"/>
        <v>250.46691206880308</v>
      </c>
      <c r="O3433" s="113">
        <f t="shared" si="215"/>
        <v>56104.588303411889</v>
      </c>
    </row>
    <row r="3434" spans="1:15" x14ac:dyDescent="0.25">
      <c r="A3434" s="43">
        <v>44464</v>
      </c>
      <c r="B3434" s="51">
        <v>2375</v>
      </c>
      <c r="C3434" s="66" t="s">
        <v>281</v>
      </c>
      <c r="D3434" s="66" t="s">
        <v>495</v>
      </c>
      <c r="E3434" t="s">
        <v>17</v>
      </c>
      <c r="F3434" s="50" t="s">
        <v>573</v>
      </c>
      <c r="G3434" s="50" t="s">
        <v>574</v>
      </c>
      <c r="H3434" s="50">
        <v>2</v>
      </c>
      <c r="I3434" s="100">
        <v>6.7391919697301583</v>
      </c>
      <c r="J3434" s="52">
        <v>3834.68</v>
      </c>
      <c r="K3434" s="67">
        <f t="shared" si="216"/>
        <v>61376.2810734015</v>
      </c>
      <c r="L3434" s="95">
        <f>+VLOOKUP(E3434,MARGEN!A:B,2,FALSE)</f>
        <v>0.1</v>
      </c>
      <c r="M3434" s="112">
        <f t="shared" si="213"/>
        <v>6137.6281073401506</v>
      </c>
      <c r="N3434" s="113">
        <f t="shared" si="214"/>
        <v>245.505124293606</v>
      </c>
      <c r="O3434" s="113">
        <f t="shared" si="215"/>
        <v>54993.14784176775</v>
      </c>
    </row>
    <row r="3435" spans="1:15" x14ac:dyDescent="0.25">
      <c r="A3435" s="13">
        <v>44464</v>
      </c>
      <c r="B3435" s="97">
        <v>2327</v>
      </c>
      <c r="C3435" t="s">
        <v>156</v>
      </c>
      <c r="D3435" t="s">
        <v>429</v>
      </c>
      <c r="E3435" t="s">
        <v>17</v>
      </c>
      <c r="F3435" t="s">
        <v>573</v>
      </c>
      <c r="G3435" s="50" t="s">
        <v>574</v>
      </c>
      <c r="H3435" s="50">
        <v>2</v>
      </c>
      <c r="I3435" s="100">
        <v>6.7391919697301583</v>
      </c>
      <c r="J3435" s="52">
        <v>3834.68</v>
      </c>
      <c r="K3435" s="67">
        <f t="shared" si="216"/>
        <v>60135.834129602234</v>
      </c>
      <c r="L3435" s="95">
        <f>+VLOOKUP(E3435,MARGEN!A:B,2,FALSE)</f>
        <v>0.1</v>
      </c>
      <c r="M3435" s="112">
        <f t="shared" si="213"/>
        <v>6013.5834129602235</v>
      </c>
      <c r="N3435" s="113">
        <f t="shared" si="214"/>
        <v>240.54333651840892</v>
      </c>
      <c r="O3435" s="113">
        <f t="shared" si="215"/>
        <v>53881.707380123604</v>
      </c>
    </row>
    <row r="3436" spans="1:15" x14ac:dyDescent="0.25">
      <c r="A3436" s="13">
        <v>44464</v>
      </c>
      <c r="B3436" s="97">
        <v>2327</v>
      </c>
      <c r="C3436" t="s">
        <v>163</v>
      </c>
      <c r="D3436" t="s">
        <v>398</v>
      </c>
      <c r="E3436" t="s">
        <v>17</v>
      </c>
      <c r="F3436" t="s">
        <v>573</v>
      </c>
      <c r="G3436" s="50" t="s">
        <v>574</v>
      </c>
      <c r="H3436" s="50">
        <v>2</v>
      </c>
      <c r="I3436" s="100">
        <v>6.7391919697301583</v>
      </c>
      <c r="J3436" s="52">
        <v>3834.68</v>
      </c>
      <c r="K3436" s="67">
        <f t="shared" si="216"/>
        <v>60135.834129602234</v>
      </c>
      <c r="L3436" s="95">
        <f>+VLOOKUP(E3436,MARGEN!A:B,2,FALSE)</f>
        <v>0.1</v>
      </c>
      <c r="M3436" s="112">
        <f t="shared" si="213"/>
        <v>6013.5834129602235</v>
      </c>
      <c r="N3436" s="113">
        <f t="shared" si="214"/>
        <v>240.54333651840892</v>
      </c>
      <c r="O3436" s="113">
        <f t="shared" si="215"/>
        <v>53881.707380123604</v>
      </c>
    </row>
    <row r="3437" spans="1:15" x14ac:dyDescent="0.25">
      <c r="A3437" s="13">
        <v>44464</v>
      </c>
      <c r="B3437" s="97">
        <v>2303</v>
      </c>
      <c r="C3437" t="s">
        <v>128</v>
      </c>
      <c r="D3437" t="s">
        <v>416</v>
      </c>
      <c r="E3437" t="s">
        <v>17</v>
      </c>
      <c r="F3437" t="s">
        <v>573</v>
      </c>
      <c r="G3437" s="50" t="s">
        <v>574</v>
      </c>
      <c r="H3437" s="50">
        <v>2</v>
      </c>
      <c r="I3437" s="100">
        <v>6.7391919697301583</v>
      </c>
      <c r="J3437" s="52">
        <v>3834.68</v>
      </c>
      <c r="K3437" s="67">
        <f t="shared" si="216"/>
        <v>59515.610657702593</v>
      </c>
      <c r="L3437" s="95">
        <f>+VLOOKUP(E3437,MARGEN!A:B,2,FALSE)</f>
        <v>0.1</v>
      </c>
      <c r="M3437" s="112">
        <f t="shared" si="213"/>
        <v>5951.56106577026</v>
      </c>
      <c r="N3437" s="113">
        <f t="shared" si="214"/>
        <v>238.06244263081038</v>
      </c>
      <c r="O3437" s="113">
        <f t="shared" si="215"/>
        <v>53325.987149301516</v>
      </c>
    </row>
    <row r="3438" spans="1:15" x14ac:dyDescent="0.25">
      <c r="A3438" s="13">
        <v>44464</v>
      </c>
      <c r="B3438" s="97">
        <v>2303</v>
      </c>
      <c r="C3438" t="s">
        <v>130</v>
      </c>
      <c r="D3438" t="s">
        <v>367</v>
      </c>
      <c r="E3438" t="s">
        <v>17</v>
      </c>
      <c r="F3438" t="s">
        <v>573</v>
      </c>
      <c r="G3438" s="50" t="s">
        <v>574</v>
      </c>
      <c r="H3438" s="50">
        <v>2</v>
      </c>
      <c r="I3438" s="100">
        <v>6.7391919697301583</v>
      </c>
      <c r="J3438" s="52">
        <v>3834.68</v>
      </c>
      <c r="K3438" s="67">
        <f t="shared" si="216"/>
        <v>59515.610657702593</v>
      </c>
      <c r="L3438" s="95">
        <f>+VLOOKUP(E3438,MARGEN!A:B,2,FALSE)</f>
        <v>0.1</v>
      </c>
      <c r="M3438" s="112">
        <f t="shared" si="213"/>
        <v>5951.56106577026</v>
      </c>
      <c r="N3438" s="113">
        <f t="shared" si="214"/>
        <v>238.06244263081038</v>
      </c>
      <c r="O3438" s="113">
        <f t="shared" si="215"/>
        <v>53325.987149301516</v>
      </c>
    </row>
    <row r="3439" spans="1:15" x14ac:dyDescent="0.25">
      <c r="A3439" s="13">
        <v>44464</v>
      </c>
      <c r="B3439" s="97">
        <v>2279</v>
      </c>
      <c r="C3439" t="s">
        <v>122</v>
      </c>
      <c r="D3439" t="s">
        <v>446</v>
      </c>
      <c r="E3439" t="s">
        <v>17</v>
      </c>
      <c r="F3439" t="s">
        <v>573</v>
      </c>
      <c r="G3439" s="50" t="s">
        <v>574</v>
      </c>
      <c r="H3439" s="50">
        <v>2</v>
      </c>
      <c r="I3439" s="100">
        <v>6.7391919697301583</v>
      </c>
      <c r="J3439" s="52">
        <v>3834.68</v>
      </c>
      <c r="K3439" s="67">
        <f t="shared" si="216"/>
        <v>58895.387185802952</v>
      </c>
      <c r="L3439" s="95">
        <f>+VLOOKUP(E3439,MARGEN!A:B,2,FALSE)</f>
        <v>0.1</v>
      </c>
      <c r="M3439" s="112">
        <f t="shared" si="213"/>
        <v>5889.5387185802956</v>
      </c>
      <c r="N3439" s="113">
        <f t="shared" si="214"/>
        <v>235.58154874321181</v>
      </c>
      <c r="O3439" s="113">
        <f t="shared" si="215"/>
        <v>52770.266918479443</v>
      </c>
    </row>
    <row r="3440" spans="1:15" x14ac:dyDescent="0.25">
      <c r="A3440" s="13">
        <v>44464</v>
      </c>
      <c r="B3440" s="97">
        <v>2255</v>
      </c>
      <c r="C3440" t="s">
        <v>305</v>
      </c>
      <c r="D3440" t="s">
        <v>523</v>
      </c>
      <c r="E3440" t="s">
        <v>17</v>
      </c>
      <c r="F3440" t="s">
        <v>562</v>
      </c>
      <c r="G3440" s="50" t="s">
        <v>574</v>
      </c>
      <c r="H3440" s="50">
        <v>2</v>
      </c>
      <c r="I3440" s="100">
        <v>6.7391919697301583</v>
      </c>
      <c r="J3440" s="52">
        <v>3834.68</v>
      </c>
      <c r="K3440" s="67">
        <f t="shared" si="216"/>
        <v>58275.163713903326</v>
      </c>
      <c r="L3440" s="95">
        <f>+VLOOKUP(E3440,MARGEN!A:B,2,FALSE)</f>
        <v>0.1</v>
      </c>
      <c r="M3440" s="112">
        <f t="shared" si="213"/>
        <v>5827.516371390333</v>
      </c>
      <c r="N3440" s="113">
        <f t="shared" si="214"/>
        <v>233.1006548556133</v>
      </c>
      <c r="O3440" s="113">
        <f t="shared" si="215"/>
        <v>52214.546687657385</v>
      </c>
    </row>
    <row r="3441" spans="1:15" x14ac:dyDescent="0.25">
      <c r="A3441" s="13">
        <v>44464</v>
      </c>
      <c r="B3441" s="97">
        <v>2231</v>
      </c>
      <c r="C3441" t="s">
        <v>126</v>
      </c>
      <c r="D3441" t="s">
        <v>438</v>
      </c>
      <c r="E3441" t="s">
        <v>17</v>
      </c>
      <c r="F3441" t="s">
        <v>573</v>
      </c>
      <c r="G3441" s="50" t="s">
        <v>574</v>
      </c>
      <c r="H3441" s="50">
        <v>2</v>
      </c>
      <c r="I3441" s="100">
        <v>6.7391919697301583</v>
      </c>
      <c r="J3441" s="52">
        <v>3834.68</v>
      </c>
      <c r="K3441" s="67">
        <f t="shared" si="216"/>
        <v>57654.940242003679</v>
      </c>
      <c r="L3441" s="95">
        <f>+VLOOKUP(E3441,MARGEN!A:B,2,FALSE)</f>
        <v>0.1</v>
      </c>
      <c r="M3441" s="112">
        <f t="shared" si="213"/>
        <v>5765.4940242003686</v>
      </c>
      <c r="N3441" s="113">
        <f t="shared" si="214"/>
        <v>230.6197609680147</v>
      </c>
      <c r="O3441" s="113">
        <f t="shared" si="215"/>
        <v>51658.826456835297</v>
      </c>
    </row>
    <row r="3442" spans="1:15" x14ac:dyDescent="0.25">
      <c r="A3442" s="13">
        <v>44464</v>
      </c>
      <c r="B3442" s="97">
        <v>2231</v>
      </c>
      <c r="C3442" t="s">
        <v>284</v>
      </c>
      <c r="D3442" t="s">
        <v>525</v>
      </c>
      <c r="E3442" t="s">
        <v>17</v>
      </c>
      <c r="F3442" t="s">
        <v>562</v>
      </c>
      <c r="G3442" s="50" t="s">
        <v>574</v>
      </c>
      <c r="H3442" s="50">
        <v>2</v>
      </c>
      <c r="I3442" s="100">
        <v>6.7391919697301583</v>
      </c>
      <c r="J3442" s="52">
        <v>3834.68</v>
      </c>
      <c r="K3442" s="67">
        <f t="shared" si="216"/>
        <v>57654.940242003679</v>
      </c>
      <c r="L3442" s="95">
        <f>+VLOOKUP(E3442,MARGEN!A:B,2,FALSE)</f>
        <v>0.1</v>
      </c>
      <c r="M3442" s="112">
        <f t="shared" si="213"/>
        <v>5765.4940242003686</v>
      </c>
      <c r="N3442" s="113">
        <f t="shared" si="214"/>
        <v>230.6197609680147</v>
      </c>
      <c r="O3442" s="113">
        <f t="shared" si="215"/>
        <v>51658.826456835297</v>
      </c>
    </row>
    <row r="3443" spans="1:15" x14ac:dyDescent="0.25">
      <c r="A3443" s="13">
        <v>44464</v>
      </c>
      <c r="B3443" s="97">
        <v>2159</v>
      </c>
      <c r="C3443" t="s">
        <v>157</v>
      </c>
      <c r="D3443" t="s">
        <v>435</v>
      </c>
      <c r="E3443" t="s">
        <v>17</v>
      </c>
      <c r="F3443" t="s">
        <v>573</v>
      </c>
      <c r="G3443" s="50" t="s">
        <v>574</v>
      </c>
      <c r="H3443" s="50">
        <v>2</v>
      </c>
      <c r="I3443" s="100">
        <v>6.7391919697301583</v>
      </c>
      <c r="J3443" s="52">
        <v>3834.68</v>
      </c>
      <c r="K3443" s="67">
        <f t="shared" si="216"/>
        <v>55794.269826304779</v>
      </c>
      <c r="L3443" s="95">
        <f>+VLOOKUP(E3443,MARGEN!A:B,2,FALSE)</f>
        <v>0.1</v>
      </c>
      <c r="M3443" s="112">
        <f t="shared" si="213"/>
        <v>5579.4269826304781</v>
      </c>
      <c r="N3443" s="113">
        <f t="shared" si="214"/>
        <v>223.17707930521911</v>
      </c>
      <c r="O3443" s="113">
        <f t="shared" si="215"/>
        <v>49991.665764369078</v>
      </c>
    </row>
    <row r="3444" spans="1:15" x14ac:dyDescent="0.25">
      <c r="A3444" s="13">
        <v>44464</v>
      </c>
      <c r="B3444" s="97">
        <v>2135</v>
      </c>
      <c r="C3444" t="s">
        <v>312</v>
      </c>
      <c r="D3444" t="s">
        <v>542</v>
      </c>
      <c r="E3444" t="s">
        <v>17</v>
      </c>
      <c r="F3444" t="s">
        <v>573</v>
      </c>
      <c r="G3444" s="50" t="s">
        <v>574</v>
      </c>
      <c r="H3444" s="50">
        <v>2</v>
      </c>
      <c r="I3444" s="100">
        <v>6.7391919697301583</v>
      </c>
      <c r="J3444" s="52">
        <v>3834.68</v>
      </c>
      <c r="K3444" s="67">
        <f t="shared" si="216"/>
        <v>55174.046354405145</v>
      </c>
      <c r="L3444" s="95">
        <f>+VLOOKUP(E3444,MARGEN!A:B,2,FALSE)</f>
        <v>0.1</v>
      </c>
      <c r="M3444" s="112">
        <f t="shared" si="213"/>
        <v>5517.4046354405145</v>
      </c>
      <c r="N3444" s="113">
        <f t="shared" si="214"/>
        <v>220.69618541762057</v>
      </c>
      <c r="O3444" s="113">
        <f t="shared" si="215"/>
        <v>49435.945533547012</v>
      </c>
    </row>
    <row r="3445" spans="1:15" x14ac:dyDescent="0.25">
      <c r="A3445" s="13">
        <v>44464</v>
      </c>
      <c r="B3445" s="97">
        <v>2135</v>
      </c>
      <c r="C3445" t="s">
        <v>282</v>
      </c>
      <c r="D3445" t="s">
        <v>494</v>
      </c>
      <c r="E3445" t="s">
        <v>17</v>
      </c>
      <c r="F3445" t="s">
        <v>566</v>
      </c>
      <c r="G3445" s="50" t="s">
        <v>574</v>
      </c>
      <c r="H3445" s="50">
        <v>2</v>
      </c>
      <c r="I3445" s="100">
        <v>6.7391919697301583</v>
      </c>
      <c r="J3445" s="52">
        <v>3834.68</v>
      </c>
      <c r="K3445" s="67">
        <f t="shared" si="216"/>
        <v>55174.046354405145</v>
      </c>
      <c r="L3445" s="95">
        <f>+VLOOKUP(E3445,MARGEN!A:B,2,FALSE)</f>
        <v>0.1</v>
      </c>
      <c r="M3445" s="112">
        <f t="shared" si="213"/>
        <v>5517.4046354405145</v>
      </c>
      <c r="N3445" s="113">
        <f t="shared" si="214"/>
        <v>220.69618541762057</v>
      </c>
      <c r="O3445" s="113">
        <f t="shared" si="215"/>
        <v>49435.945533547012</v>
      </c>
    </row>
    <row r="3446" spans="1:15" x14ac:dyDescent="0.25">
      <c r="A3446" s="13">
        <v>44464</v>
      </c>
      <c r="B3446" s="97">
        <v>2039</v>
      </c>
      <c r="C3446" t="s">
        <v>306</v>
      </c>
      <c r="D3446" t="s">
        <v>524</v>
      </c>
      <c r="E3446" t="s">
        <v>17</v>
      </c>
      <c r="F3446" t="s">
        <v>562</v>
      </c>
      <c r="G3446" s="50" t="s">
        <v>574</v>
      </c>
      <c r="H3446" s="50">
        <v>2</v>
      </c>
      <c r="I3446" s="100">
        <v>6.7391919697301583</v>
      </c>
      <c r="J3446" s="52">
        <v>3834.68</v>
      </c>
      <c r="K3446" s="67">
        <f t="shared" si="216"/>
        <v>52693.152466806598</v>
      </c>
      <c r="L3446" s="95">
        <f>+VLOOKUP(E3446,MARGEN!A:B,2,FALSE)</f>
        <v>0.1</v>
      </c>
      <c r="M3446" s="112">
        <f t="shared" si="213"/>
        <v>5269.3152466806605</v>
      </c>
      <c r="N3446" s="113">
        <f t="shared" si="214"/>
        <v>210.77260986722638</v>
      </c>
      <c r="O3446" s="113">
        <f t="shared" si="215"/>
        <v>47213.064610258705</v>
      </c>
    </row>
    <row r="3447" spans="1:15" x14ac:dyDescent="0.25">
      <c r="A3447" s="13">
        <v>44464</v>
      </c>
      <c r="B3447" s="97">
        <v>2015</v>
      </c>
      <c r="C3447" t="s">
        <v>123</v>
      </c>
      <c r="D3447" t="s">
        <v>396</v>
      </c>
      <c r="E3447" t="s">
        <v>17</v>
      </c>
      <c r="F3447" t="s">
        <v>573</v>
      </c>
      <c r="G3447" s="50" t="s">
        <v>574</v>
      </c>
      <c r="H3447" s="50">
        <v>2</v>
      </c>
      <c r="I3447" s="100">
        <v>6.7391919697301583</v>
      </c>
      <c r="J3447" s="52">
        <v>3834.68</v>
      </c>
      <c r="K3447" s="67">
        <f t="shared" si="216"/>
        <v>52072.928994906957</v>
      </c>
      <c r="L3447" s="95">
        <f>+VLOOKUP(E3447,MARGEN!A:B,2,FALSE)</f>
        <v>0.1</v>
      </c>
      <c r="M3447" s="112">
        <f t="shared" si="213"/>
        <v>5207.2928994906961</v>
      </c>
      <c r="N3447" s="113">
        <f t="shared" si="214"/>
        <v>208.29171597962784</v>
      </c>
      <c r="O3447" s="113">
        <f t="shared" si="215"/>
        <v>46657.344379436632</v>
      </c>
    </row>
    <row r="3448" spans="1:15" x14ac:dyDescent="0.25">
      <c r="A3448" s="13">
        <v>44464</v>
      </c>
      <c r="B3448" s="97">
        <v>1967</v>
      </c>
      <c r="C3448" t="s">
        <v>155</v>
      </c>
      <c r="D3448" t="s">
        <v>399</v>
      </c>
      <c r="E3448" t="s">
        <v>17</v>
      </c>
      <c r="F3448" t="s">
        <v>573</v>
      </c>
      <c r="G3448" s="50" t="s">
        <v>574</v>
      </c>
      <c r="H3448" s="50">
        <v>2</v>
      </c>
      <c r="I3448" s="100">
        <v>6.7391919697301583</v>
      </c>
      <c r="J3448" s="52">
        <v>3834.68</v>
      </c>
      <c r="K3448" s="67">
        <f t="shared" si="216"/>
        <v>50832.482051107683</v>
      </c>
      <c r="L3448" s="95">
        <f>+VLOOKUP(E3448,MARGEN!A:B,2,FALSE)</f>
        <v>0.1</v>
      </c>
      <c r="M3448" s="112">
        <f t="shared" si="213"/>
        <v>5083.248205110769</v>
      </c>
      <c r="N3448" s="113">
        <f t="shared" si="214"/>
        <v>203.32992820443073</v>
      </c>
      <c r="O3448" s="113">
        <f t="shared" si="215"/>
        <v>45545.903917792486</v>
      </c>
    </row>
    <row r="3449" spans="1:15" x14ac:dyDescent="0.25">
      <c r="A3449" s="13">
        <v>44464</v>
      </c>
      <c r="B3449" s="97">
        <v>1919</v>
      </c>
      <c r="C3449" t="s">
        <v>295</v>
      </c>
      <c r="D3449" t="s">
        <v>532</v>
      </c>
      <c r="E3449" t="s">
        <v>17</v>
      </c>
      <c r="F3449" t="s">
        <v>573</v>
      </c>
      <c r="G3449" s="50" t="s">
        <v>574</v>
      </c>
      <c r="H3449" s="50">
        <v>2</v>
      </c>
      <c r="I3449" s="100">
        <v>6.7391919697301583</v>
      </c>
      <c r="J3449" s="52">
        <v>3834.68</v>
      </c>
      <c r="K3449" s="67">
        <f t="shared" si="216"/>
        <v>49592.035107308409</v>
      </c>
      <c r="L3449" s="95">
        <f>+VLOOKUP(E3449,MARGEN!A:B,2,FALSE)</f>
        <v>0.1</v>
      </c>
      <c r="M3449" s="112">
        <f t="shared" si="213"/>
        <v>4959.2035107308411</v>
      </c>
      <c r="N3449" s="113">
        <f t="shared" si="214"/>
        <v>198.36814042923365</v>
      </c>
      <c r="O3449" s="113">
        <f t="shared" si="215"/>
        <v>44434.463456148333</v>
      </c>
    </row>
    <row r="3450" spans="1:15" x14ac:dyDescent="0.25">
      <c r="A3450" s="13">
        <v>44464</v>
      </c>
      <c r="B3450" s="97">
        <v>1895</v>
      </c>
      <c r="C3450" t="s">
        <v>125</v>
      </c>
      <c r="D3450" t="s">
        <v>341</v>
      </c>
      <c r="E3450" t="s">
        <v>17</v>
      </c>
      <c r="F3450" t="s">
        <v>573</v>
      </c>
      <c r="G3450" s="50" t="s">
        <v>574</v>
      </c>
      <c r="H3450" s="50">
        <v>2</v>
      </c>
      <c r="I3450" s="100">
        <v>6.7391919697301583</v>
      </c>
      <c r="J3450" s="52">
        <v>3834.68</v>
      </c>
      <c r="K3450" s="67">
        <f t="shared" si="216"/>
        <v>48971.811635408776</v>
      </c>
      <c r="L3450" s="95">
        <f>+VLOOKUP(E3450,MARGEN!A:B,2,FALSE)</f>
        <v>0.1</v>
      </c>
      <c r="M3450" s="112">
        <f t="shared" si="213"/>
        <v>4897.1811635408776</v>
      </c>
      <c r="N3450" s="113">
        <f t="shared" si="214"/>
        <v>195.88724654163511</v>
      </c>
      <c r="O3450" s="113">
        <f t="shared" si="215"/>
        <v>43878.743225326267</v>
      </c>
    </row>
    <row r="3451" spans="1:15" x14ac:dyDescent="0.25">
      <c r="A3451" s="13">
        <v>44464</v>
      </c>
      <c r="B3451" s="97">
        <v>1847</v>
      </c>
      <c r="C3451" t="s">
        <v>304</v>
      </c>
      <c r="D3451" t="s">
        <v>522</v>
      </c>
      <c r="E3451" t="s">
        <v>17</v>
      </c>
      <c r="F3451" t="s">
        <v>573</v>
      </c>
      <c r="G3451" s="50" t="s">
        <v>574</v>
      </c>
      <c r="H3451" s="50">
        <v>2</v>
      </c>
      <c r="I3451" s="100">
        <v>6.7391919697301583</v>
      </c>
      <c r="J3451" s="52">
        <v>3834.68</v>
      </c>
      <c r="K3451" s="67">
        <f t="shared" si="216"/>
        <v>47731.364691609502</v>
      </c>
      <c r="L3451" s="95">
        <f>+VLOOKUP(E3451,MARGEN!A:B,2,FALSE)</f>
        <v>0.1</v>
      </c>
      <c r="M3451" s="112">
        <f t="shared" si="213"/>
        <v>4773.1364691609506</v>
      </c>
      <c r="N3451" s="113">
        <f t="shared" si="214"/>
        <v>190.925458766438</v>
      </c>
      <c r="O3451" s="113">
        <f t="shared" si="215"/>
        <v>42767.302763682113</v>
      </c>
    </row>
    <row r="3452" spans="1:15" x14ac:dyDescent="0.25">
      <c r="A3452" s="13">
        <v>44464</v>
      </c>
      <c r="B3452" s="97">
        <v>1847</v>
      </c>
      <c r="C3452" t="s">
        <v>159</v>
      </c>
      <c r="D3452" t="s">
        <v>360</v>
      </c>
      <c r="E3452" t="s">
        <v>17</v>
      </c>
      <c r="F3452" t="s">
        <v>562</v>
      </c>
      <c r="G3452" s="50" t="s">
        <v>574</v>
      </c>
      <c r="H3452" s="50">
        <v>2</v>
      </c>
      <c r="I3452" s="100">
        <v>6.7391919697301583</v>
      </c>
      <c r="J3452" s="52">
        <v>3834.68</v>
      </c>
      <c r="K3452" s="67">
        <f t="shared" si="216"/>
        <v>47731.364691609502</v>
      </c>
      <c r="L3452" s="95">
        <f>+VLOOKUP(E3452,MARGEN!A:B,2,FALSE)</f>
        <v>0.1</v>
      </c>
      <c r="M3452" s="112">
        <f t="shared" si="213"/>
        <v>4773.1364691609506</v>
      </c>
      <c r="N3452" s="113">
        <f t="shared" si="214"/>
        <v>190.925458766438</v>
      </c>
      <c r="O3452" s="113">
        <f t="shared" si="215"/>
        <v>42767.302763682113</v>
      </c>
    </row>
    <row r="3453" spans="1:15" x14ac:dyDescent="0.25">
      <c r="A3453" s="13">
        <v>44464</v>
      </c>
      <c r="B3453" s="97">
        <v>1847</v>
      </c>
      <c r="C3453" t="s">
        <v>124</v>
      </c>
      <c r="D3453" t="s">
        <v>388</v>
      </c>
      <c r="E3453" t="s">
        <v>17</v>
      </c>
      <c r="F3453" t="s">
        <v>562</v>
      </c>
      <c r="G3453" s="50" t="s">
        <v>574</v>
      </c>
      <c r="H3453" s="50">
        <v>2</v>
      </c>
      <c r="I3453" s="100">
        <v>6.7391919697301583</v>
      </c>
      <c r="J3453" s="52">
        <v>3834.68</v>
      </c>
      <c r="K3453" s="67">
        <f t="shared" si="216"/>
        <v>47731.364691609502</v>
      </c>
      <c r="L3453" s="95">
        <f>+VLOOKUP(E3453,MARGEN!A:B,2,FALSE)</f>
        <v>0.1</v>
      </c>
      <c r="M3453" s="112">
        <f t="shared" si="213"/>
        <v>4773.1364691609506</v>
      </c>
      <c r="N3453" s="113">
        <f t="shared" si="214"/>
        <v>190.925458766438</v>
      </c>
      <c r="O3453" s="113">
        <f t="shared" si="215"/>
        <v>42767.302763682113</v>
      </c>
    </row>
    <row r="3454" spans="1:15" x14ac:dyDescent="0.25">
      <c r="A3454" s="13">
        <v>44464</v>
      </c>
      <c r="B3454" s="97">
        <v>1799</v>
      </c>
      <c r="C3454" t="s">
        <v>172</v>
      </c>
      <c r="D3454" t="s">
        <v>371</v>
      </c>
      <c r="E3454" t="s">
        <v>17</v>
      </c>
      <c r="F3454" t="s">
        <v>573</v>
      </c>
      <c r="G3454" s="50" t="s">
        <v>574</v>
      </c>
      <c r="H3454" s="50">
        <v>2</v>
      </c>
      <c r="I3454" s="100">
        <v>6.7391919697301583</v>
      </c>
      <c r="J3454" s="52">
        <v>3834.68</v>
      </c>
      <c r="K3454" s="67">
        <f t="shared" si="216"/>
        <v>46490.917747810228</v>
      </c>
      <c r="L3454" s="95">
        <f>+VLOOKUP(E3454,MARGEN!A:B,2,FALSE)</f>
        <v>0.1</v>
      </c>
      <c r="M3454" s="112">
        <f t="shared" si="213"/>
        <v>4649.0917747810227</v>
      </c>
      <c r="N3454" s="113">
        <f t="shared" si="214"/>
        <v>185.96367099124092</v>
      </c>
      <c r="O3454" s="113">
        <f t="shared" si="215"/>
        <v>41655.862302037967</v>
      </c>
    </row>
    <row r="3455" spans="1:15" x14ac:dyDescent="0.25">
      <c r="A3455" s="13">
        <v>44464</v>
      </c>
      <c r="B3455" s="97">
        <v>1751</v>
      </c>
      <c r="C3455" t="s">
        <v>223</v>
      </c>
      <c r="D3455" t="s">
        <v>389</v>
      </c>
      <c r="E3455" t="s">
        <v>17</v>
      </c>
      <c r="F3455" t="s">
        <v>562</v>
      </c>
      <c r="G3455" s="50" t="s">
        <v>574</v>
      </c>
      <c r="H3455" s="50">
        <v>2</v>
      </c>
      <c r="I3455" s="100">
        <v>6.7391919697301583</v>
      </c>
      <c r="J3455" s="52">
        <v>3834.68</v>
      </c>
      <c r="K3455" s="67">
        <f t="shared" si="216"/>
        <v>45250.470804010954</v>
      </c>
      <c r="L3455" s="95">
        <f>+VLOOKUP(E3455,MARGEN!A:B,2,FALSE)</f>
        <v>0.1</v>
      </c>
      <c r="M3455" s="112">
        <f t="shared" si="213"/>
        <v>4525.0470804010956</v>
      </c>
      <c r="N3455" s="113">
        <f t="shared" si="214"/>
        <v>181.00188321604381</v>
      </c>
      <c r="O3455" s="113">
        <f t="shared" si="215"/>
        <v>40544.421840393814</v>
      </c>
    </row>
    <row r="3456" spans="1:15" x14ac:dyDescent="0.25">
      <c r="A3456" s="13">
        <v>44464</v>
      </c>
      <c r="B3456" s="97">
        <v>1751</v>
      </c>
      <c r="C3456" t="s">
        <v>154</v>
      </c>
      <c r="D3456" t="s">
        <v>419</v>
      </c>
      <c r="E3456" t="s">
        <v>17</v>
      </c>
      <c r="F3456" t="s">
        <v>573</v>
      </c>
      <c r="G3456" s="50" t="s">
        <v>574</v>
      </c>
      <c r="H3456" s="50">
        <v>2</v>
      </c>
      <c r="I3456" s="100">
        <v>6.7391919697301583</v>
      </c>
      <c r="J3456" s="52">
        <v>3834.68</v>
      </c>
      <c r="K3456" s="67">
        <f t="shared" si="216"/>
        <v>45250.470804010954</v>
      </c>
      <c r="L3456" s="95">
        <f>+VLOOKUP(E3456,MARGEN!A:B,2,FALSE)</f>
        <v>0.1</v>
      </c>
      <c r="M3456" s="112">
        <f t="shared" si="213"/>
        <v>4525.0470804010956</v>
      </c>
      <c r="N3456" s="113">
        <f t="shared" si="214"/>
        <v>181.00188321604381</v>
      </c>
      <c r="O3456" s="113">
        <f t="shared" si="215"/>
        <v>40544.421840393814</v>
      </c>
    </row>
    <row r="3457" spans="1:15" x14ac:dyDescent="0.25">
      <c r="A3457" s="13">
        <v>44464</v>
      </c>
      <c r="B3457" s="97">
        <v>1751</v>
      </c>
      <c r="C3457" t="s">
        <v>238</v>
      </c>
      <c r="D3457" t="s">
        <v>427</v>
      </c>
      <c r="E3457" t="s">
        <v>17</v>
      </c>
      <c r="F3457" t="s">
        <v>562</v>
      </c>
      <c r="G3457" s="50" t="s">
        <v>574</v>
      </c>
      <c r="H3457" s="50">
        <v>2</v>
      </c>
      <c r="I3457" s="100">
        <v>6.7391919697301583</v>
      </c>
      <c r="J3457" s="52">
        <v>3834.68</v>
      </c>
      <c r="K3457" s="67">
        <f t="shared" si="216"/>
        <v>45250.470804010954</v>
      </c>
      <c r="L3457" s="95">
        <f>+VLOOKUP(E3457,MARGEN!A:B,2,FALSE)</f>
        <v>0.1</v>
      </c>
      <c r="M3457" s="112">
        <f t="shared" si="213"/>
        <v>4525.0470804010956</v>
      </c>
      <c r="N3457" s="113">
        <f t="shared" si="214"/>
        <v>181.00188321604381</v>
      </c>
      <c r="O3457" s="113">
        <f t="shared" si="215"/>
        <v>40544.421840393814</v>
      </c>
    </row>
    <row r="3458" spans="1:15" x14ac:dyDescent="0.25">
      <c r="A3458" s="13">
        <v>44464</v>
      </c>
      <c r="B3458" s="97">
        <v>1727</v>
      </c>
      <c r="C3458" t="s">
        <v>170</v>
      </c>
      <c r="D3458" t="s">
        <v>437</v>
      </c>
      <c r="E3458" t="s">
        <v>17</v>
      </c>
      <c r="F3458" t="s">
        <v>573</v>
      </c>
      <c r="G3458" s="50" t="s">
        <v>574</v>
      </c>
      <c r="H3458" s="50">
        <v>2</v>
      </c>
      <c r="I3458" s="100">
        <v>6.7391919697301583</v>
      </c>
      <c r="J3458" s="52">
        <v>3834.68</v>
      </c>
      <c r="K3458" s="67">
        <f t="shared" si="216"/>
        <v>44630.247332111321</v>
      </c>
      <c r="L3458" s="95">
        <f>+VLOOKUP(E3458,MARGEN!A:B,2,FALSE)</f>
        <v>0.1</v>
      </c>
      <c r="M3458" s="112">
        <f t="shared" si="213"/>
        <v>4463.0247332111321</v>
      </c>
      <c r="N3458" s="113">
        <f t="shared" si="214"/>
        <v>178.5209893284453</v>
      </c>
      <c r="O3458" s="113">
        <f t="shared" si="215"/>
        <v>39988.701609571741</v>
      </c>
    </row>
    <row r="3459" spans="1:15" x14ac:dyDescent="0.25">
      <c r="A3459" s="13">
        <v>44464</v>
      </c>
      <c r="B3459" s="97">
        <v>1727</v>
      </c>
      <c r="C3459" t="s">
        <v>174</v>
      </c>
      <c r="D3459" t="s">
        <v>395</v>
      </c>
      <c r="E3459" t="s">
        <v>17</v>
      </c>
      <c r="F3459" t="s">
        <v>573</v>
      </c>
      <c r="G3459" s="50" t="s">
        <v>574</v>
      </c>
      <c r="H3459" s="50">
        <v>2</v>
      </c>
      <c r="I3459" s="100">
        <v>6.7391919697301583</v>
      </c>
      <c r="J3459" s="52">
        <v>3834.68</v>
      </c>
      <c r="K3459" s="67">
        <f t="shared" si="216"/>
        <v>44630.247332111321</v>
      </c>
      <c r="L3459" s="95">
        <f>+VLOOKUP(E3459,MARGEN!A:B,2,FALSE)</f>
        <v>0.1</v>
      </c>
      <c r="M3459" s="112">
        <f t="shared" ref="M3459:M3522" si="217">+K3459*L3459</f>
        <v>4463.0247332111321</v>
      </c>
      <c r="N3459" s="113">
        <f t="shared" ref="N3459:N3522" si="218">+K3459*4/1000</f>
        <v>178.5209893284453</v>
      </c>
      <c r="O3459" s="113">
        <f t="shared" ref="O3459:O3522" si="219">+K3459-M3459-N3459</f>
        <v>39988.701609571741</v>
      </c>
    </row>
    <row r="3460" spans="1:15" x14ac:dyDescent="0.25">
      <c r="A3460" s="13">
        <v>44464</v>
      </c>
      <c r="B3460" s="97">
        <v>1727</v>
      </c>
      <c r="C3460" t="s">
        <v>188</v>
      </c>
      <c r="D3460" t="s">
        <v>397</v>
      </c>
      <c r="E3460" t="s">
        <v>17</v>
      </c>
      <c r="F3460" t="s">
        <v>573</v>
      </c>
      <c r="G3460" s="50" t="s">
        <v>574</v>
      </c>
      <c r="H3460" s="50">
        <v>2</v>
      </c>
      <c r="I3460" s="100">
        <v>6.7391919697301583</v>
      </c>
      <c r="J3460" s="52">
        <v>3834.68</v>
      </c>
      <c r="K3460" s="67">
        <f t="shared" si="216"/>
        <v>44630.247332111321</v>
      </c>
      <c r="L3460" s="95">
        <f>+VLOOKUP(E3460,MARGEN!A:B,2,FALSE)</f>
        <v>0.1</v>
      </c>
      <c r="M3460" s="112">
        <f t="shared" si="217"/>
        <v>4463.0247332111321</v>
      </c>
      <c r="N3460" s="113">
        <f t="shared" si="218"/>
        <v>178.5209893284453</v>
      </c>
      <c r="O3460" s="113">
        <f t="shared" si="219"/>
        <v>39988.701609571741</v>
      </c>
    </row>
    <row r="3461" spans="1:15" x14ac:dyDescent="0.25">
      <c r="A3461" s="13">
        <v>44464</v>
      </c>
      <c r="B3461" s="97">
        <v>1727</v>
      </c>
      <c r="C3461" t="s">
        <v>158</v>
      </c>
      <c r="D3461" t="s">
        <v>442</v>
      </c>
      <c r="E3461" t="s">
        <v>17</v>
      </c>
      <c r="F3461" t="s">
        <v>562</v>
      </c>
      <c r="G3461" s="50" t="s">
        <v>574</v>
      </c>
      <c r="H3461" s="50">
        <v>2</v>
      </c>
      <c r="I3461" s="100">
        <v>6.7391919697301583</v>
      </c>
      <c r="J3461" s="52">
        <v>3834.68</v>
      </c>
      <c r="K3461" s="67">
        <f t="shared" si="216"/>
        <v>44630.247332111321</v>
      </c>
      <c r="L3461" s="95">
        <f>+VLOOKUP(E3461,MARGEN!A:B,2,FALSE)</f>
        <v>0.1</v>
      </c>
      <c r="M3461" s="112">
        <f t="shared" si="217"/>
        <v>4463.0247332111321</v>
      </c>
      <c r="N3461" s="113">
        <f t="shared" si="218"/>
        <v>178.5209893284453</v>
      </c>
      <c r="O3461" s="113">
        <f t="shared" si="219"/>
        <v>39988.701609571741</v>
      </c>
    </row>
    <row r="3462" spans="1:15" x14ac:dyDescent="0.25">
      <c r="A3462" s="13">
        <v>44464</v>
      </c>
      <c r="B3462" s="97">
        <v>1703</v>
      </c>
      <c r="C3462" t="s">
        <v>296</v>
      </c>
      <c r="D3462" t="s">
        <v>498</v>
      </c>
      <c r="E3462" t="s">
        <v>17</v>
      </c>
      <c r="F3462" t="s">
        <v>573</v>
      </c>
      <c r="G3462" s="50" t="s">
        <v>574</v>
      </c>
      <c r="H3462" s="50">
        <v>2</v>
      </c>
      <c r="I3462" s="100">
        <v>6.7391919697301583</v>
      </c>
      <c r="J3462" s="52">
        <v>3834.68</v>
      </c>
      <c r="K3462" s="67">
        <f t="shared" si="216"/>
        <v>44010.023860211688</v>
      </c>
      <c r="L3462" s="95">
        <f>+VLOOKUP(E3462,MARGEN!A:B,2,FALSE)</f>
        <v>0.1</v>
      </c>
      <c r="M3462" s="112">
        <f t="shared" si="217"/>
        <v>4401.0023860211686</v>
      </c>
      <c r="N3462" s="113">
        <f t="shared" si="218"/>
        <v>176.04009544084676</v>
      </c>
      <c r="O3462" s="113">
        <f t="shared" si="219"/>
        <v>39432.981378749675</v>
      </c>
    </row>
    <row r="3463" spans="1:15" x14ac:dyDescent="0.25">
      <c r="A3463" s="13">
        <v>44464</v>
      </c>
      <c r="B3463" s="97">
        <v>1679</v>
      </c>
      <c r="C3463" t="s">
        <v>287</v>
      </c>
      <c r="D3463" t="s">
        <v>496</v>
      </c>
      <c r="E3463" t="s">
        <v>17</v>
      </c>
      <c r="F3463" t="s">
        <v>573</v>
      </c>
      <c r="G3463" s="50" t="s">
        <v>574</v>
      </c>
      <c r="H3463" s="50">
        <v>2</v>
      </c>
      <c r="I3463" s="100">
        <v>6.7391919697301583</v>
      </c>
      <c r="J3463" s="52">
        <v>3834.68</v>
      </c>
      <c r="K3463" s="67">
        <f t="shared" si="216"/>
        <v>43389.800388312047</v>
      </c>
      <c r="L3463" s="95">
        <f>+VLOOKUP(E3463,MARGEN!A:B,2,FALSE)</f>
        <v>0.1</v>
      </c>
      <c r="M3463" s="112">
        <f t="shared" si="217"/>
        <v>4338.9800388312051</v>
      </c>
      <c r="N3463" s="113">
        <f t="shared" si="218"/>
        <v>173.55920155324819</v>
      </c>
      <c r="O3463" s="113">
        <f t="shared" si="219"/>
        <v>38877.261147927595</v>
      </c>
    </row>
    <row r="3464" spans="1:15" x14ac:dyDescent="0.25">
      <c r="A3464" s="13">
        <v>44464</v>
      </c>
      <c r="B3464" s="97">
        <v>1679</v>
      </c>
      <c r="C3464" t="s">
        <v>121</v>
      </c>
      <c r="D3464" t="s">
        <v>381</v>
      </c>
      <c r="E3464" t="s">
        <v>17</v>
      </c>
      <c r="F3464" t="s">
        <v>573</v>
      </c>
      <c r="G3464" s="50" t="s">
        <v>574</v>
      </c>
      <c r="H3464" s="50">
        <v>2</v>
      </c>
      <c r="I3464" s="100">
        <v>6.7391919697301583</v>
      </c>
      <c r="J3464" s="52">
        <v>3834.68</v>
      </c>
      <c r="K3464" s="67">
        <f t="shared" si="216"/>
        <v>43389.800388312047</v>
      </c>
      <c r="L3464" s="95">
        <f>+VLOOKUP(E3464,MARGEN!A:B,2,FALSE)</f>
        <v>0.1</v>
      </c>
      <c r="M3464" s="112">
        <f t="shared" si="217"/>
        <v>4338.9800388312051</v>
      </c>
      <c r="N3464" s="113">
        <f t="shared" si="218"/>
        <v>173.55920155324819</v>
      </c>
      <c r="O3464" s="113">
        <f t="shared" si="219"/>
        <v>38877.261147927595</v>
      </c>
    </row>
    <row r="3465" spans="1:15" x14ac:dyDescent="0.25">
      <c r="A3465" s="13">
        <v>44464</v>
      </c>
      <c r="B3465" s="97">
        <v>1679</v>
      </c>
      <c r="C3465" t="s">
        <v>288</v>
      </c>
      <c r="D3465" t="s">
        <v>530</v>
      </c>
      <c r="E3465" t="s">
        <v>17</v>
      </c>
      <c r="F3465" t="s">
        <v>573</v>
      </c>
      <c r="G3465" s="50" t="s">
        <v>574</v>
      </c>
      <c r="H3465" s="50">
        <v>2</v>
      </c>
      <c r="I3465" s="100">
        <v>6.7391919697301583</v>
      </c>
      <c r="J3465" s="52">
        <v>3834.68</v>
      </c>
      <c r="K3465" s="67">
        <f t="shared" ref="K3465:K3528" si="220">+B3465*I3465*J3465/1000</f>
        <v>43389.800388312047</v>
      </c>
      <c r="L3465" s="95">
        <f>+VLOOKUP(E3465,MARGEN!A:B,2,FALSE)</f>
        <v>0.1</v>
      </c>
      <c r="M3465" s="112">
        <f t="shared" si="217"/>
        <v>4338.9800388312051</v>
      </c>
      <c r="N3465" s="113">
        <f t="shared" si="218"/>
        <v>173.55920155324819</v>
      </c>
      <c r="O3465" s="113">
        <f t="shared" si="219"/>
        <v>38877.261147927595</v>
      </c>
    </row>
    <row r="3466" spans="1:15" x14ac:dyDescent="0.25">
      <c r="A3466" s="13">
        <v>44464</v>
      </c>
      <c r="B3466" s="97">
        <v>1679</v>
      </c>
      <c r="C3466" t="s">
        <v>194</v>
      </c>
      <c r="D3466" t="s">
        <v>417</v>
      </c>
      <c r="E3466" t="s">
        <v>17</v>
      </c>
      <c r="F3466" t="s">
        <v>573</v>
      </c>
      <c r="G3466" s="50" t="s">
        <v>574</v>
      </c>
      <c r="H3466" s="50">
        <v>2</v>
      </c>
      <c r="I3466" s="100">
        <v>6.7391919697301583</v>
      </c>
      <c r="J3466" s="52">
        <v>3834.68</v>
      </c>
      <c r="K3466" s="67">
        <f t="shared" si="220"/>
        <v>43389.800388312047</v>
      </c>
      <c r="L3466" s="95">
        <f>+VLOOKUP(E3466,MARGEN!A:B,2,FALSE)</f>
        <v>0.1</v>
      </c>
      <c r="M3466" s="112">
        <f t="shared" si="217"/>
        <v>4338.9800388312051</v>
      </c>
      <c r="N3466" s="113">
        <f t="shared" si="218"/>
        <v>173.55920155324819</v>
      </c>
      <c r="O3466" s="113">
        <f t="shared" si="219"/>
        <v>38877.261147927595</v>
      </c>
    </row>
    <row r="3467" spans="1:15" x14ac:dyDescent="0.25">
      <c r="A3467" s="13">
        <v>44464</v>
      </c>
      <c r="B3467" s="97">
        <v>1655</v>
      </c>
      <c r="C3467" t="s">
        <v>209</v>
      </c>
      <c r="D3467" t="s">
        <v>441</v>
      </c>
      <c r="E3467" t="s">
        <v>17</v>
      </c>
      <c r="F3467" t="s">
        <v>573</v>
      </c>
      <c r="G3467" s="50" t="s">
        <v>574</v>
      </c>
      <c r="H3467" s="50">
        <v>2</v>
      </c>
      <c r="I3467" s="100">
        <v>6.7391919697301583</v>
      </c>
      <c r="J3467" s="52">
        <v>3834.68</v>
      </c>
      <c r="K3467" s="67">
        <f t="shared" si="220"/>
        <v>42769.576916412421</v>
      </c>
      <c r="L3467" s="95">
        <f>+VLOOKUP(E3467,MARGEN!A:B,2,FALSE)</f>
        <v>0.1</v>
      </c>
      <c r="M3467" s="112">
        <f t="shared" si="217"/>
        <v>4276.9576916412425</v>
      </c>
      <c r="N3467" s="113">
        <f t="shared" si="218"/>
        <v>171.07830766564967</v>
      </c>
      <c r="O3467" s="113">
        <f t="shared" si="219"/>
        <v>38321.540917105529</v>
      </c>
    </row>
    <row r="3468" spans="1:15" x14ac:dyDescent="0.25">
      <c r="A3468" s="13">
        <v>44464</v>
      </c>
      <c r="B3468" s="97">
        <v>1655</v>
      </c>
      <c r="C3468" t="s">
        <v>120</v>
      </c>
      <c r="D3468" t="s">
        <v>452</v>
      </c>
      <c r="E3468" t="s">
        <v>17</v>
      </c>
      <c r="F3468" t="s">
        <v>573</v>
      </c>
      <c r="G3468" s="50" t="s">
        <v>574</v>
      </c>
      <c r="H3468" s="50">
        <v>2</v>
      </c>
      <c r="I3468" s="100">
        <v>6.7391919697301583</v>
      </c>
      <c r="J3468" s="52">
        <v>3834.68</v>
      </c>
      <c r="K3468" s="67">
        <f t="shared" si="220"/>
        <v>42769.576916412421</v>
      </c>
      <c r="L3468" s="95">
        <f>+VLOOKUP(E3468,MARGEN!A:B,2,FALSE)</f>
        <v>0.1</v>
      </c>
      <c r="M3468" s="112">
        <f t="shared" si="217"/>
        <v>4276.9576916412425</v>
      </c>
      <c r="N3468" s="113">
        <f t="shared" si="218"/>
        <v>171.07830766564967</v>
      </c>
      <c r="O3468" s="113">
        <f t="shared" si="219"/>
        <v>38321.540917105529</v>
      </c>
    </row>
    <row r="3469" spans="1:15" x14ac:dyDescent="0.25">
      <c r="A3469" s="13">
        <v>44464</v>
      </c>
      <c r="B3469" s="97">
        <v>1631</v>
      </c>
      <c r="C3469" t="s">
        <v>196</v>
      </c>
      <c r="D3469" t="s">
        <v>413</v>
      </c>
      <c r="E3469" t="s">
        <v>17</v>
      </c>
      <c r="F3469" t="s">
        <v>573</v>
      </c>
      <c r="G3469" s="50" t="s">
        <v>574</v>
      </c>
      <c r="H3469" s="50">
        <v>2</v>
      </c>
      <c r="I3469" s="100">
        <v>6.7391919697301583</v>
      </c>
      <c r="J3469" s="52">
        <v>3834.68</v>
      </c>
      <c r="K3469" s="67">
        <f t="shared" si="220"/>
        <v>42149.353444512773</v>
      </c>
      <c r="L3469" s="95">
        <f>+VLOOKUP(E3469,MARGEN!A:B,2,FALSE)</f>
        <v>0.1</v>
      </c>
      <c r="M3469" s="112">
        <f t="shared" si="217"/>
        <v>4214.9353444512772</v>
      </c>
      <c r="N3469" s="113">
        <f t="shared" si="218"/>
        <v>168.59741377805111</v>
      </c>
      <c r="O3469" s="113">
        <f t="shared" si="219"/>
        <v>37765.820686283449</v>
      </c>
    </row>
    <row r="3470" spans="1:15" x14ac:dyDescent="0.25">
      <c r="A3470" s="13">
        <v>44464</v>
      </c>
      <c r="B3470" s="97">
        <v>1607</v>
      </c>
      <c r="C3470" t="s">
        <v>180</v>
      </c>
      <c r="D3470" t="s">
        <v>447</v>
      </c>
      <c r="E3470" t="s">
        <v>17</v>
      </c>
      <c r="F3470" t="s">
        <v>573</v>
      </c>
      <c r="G3470" s="50" t="s">
        <v>574</v>
      </c>
      <c r="H3470" s="50">
        <v>2</v>
      </c>
      <c r="I3470" s="100">
        <v>6.7391919697301583</v>
      </c>
      <c r="J3470" s="52">
        <v>3834.68</v>
      </c>
      <c r="K3470" s="67">
        <f t="shared" si="220"/>
        <v>41529.12997261314</v>
      </c>
      <c r="L3470" s="95">
        <f>+VLOOKUP(E3470,MARGEN!A:B,2,FALSE)</f>
        <v>0.1</v>
      </c>
      <c r="M3470" s="112">
        <f t="shared" si="217"/>
        <v>4152.9129972613146</v>
      </c>
      <c r="N3470" s="113">
        <f t="shared" si="218"/>
        <v>166.11651989045257</v>
      </c>
      <c r="O3470" s="113">
        <f t="shared" si="219"/>
        <v>37210.100455461376</v>
      </c>
    </row>
    <row r="3471" spans="1:15" x14ac:dyDescent="0.25">
      <c r="A3471" s="13">
        <v>44464</v>
      </c>
      <c r="B3471" s="97">
        <v>1559</v>
      </c>
      <c r="C3471" t="s">
        <v>552</v>
      </c>
      <c r="D3471" t="s">
        <v>563</v>
      </c>
      <c r="E3471" t="s">
        <v>17</v>
      </c>
      <c r="F3471" t="s">
        <v>573</v>
      </c>
      <c r="G3471" s="50" t="s">
        <v>574</v>
      </c>
      <c r="H3471" s="50">
        <v>2</v>
      </c>
      <c r="I3471" s="100">
        <v>6.7391919697301583</v>
      </c>
      <c r="J3471" s="52">
        <v>3834.68</v>
      </c>
      <c r="K3471" s="67">
        <f t="shared" si="220"/>
        <v>40288.683028813866</v>
      </c>
      <c r="L3471" s="95">
        <f>+VLOOKUP(E3471,MARGEN!A:B,2,FALSE)</f>
        <v>0.1</v>
      </c>
      <c r="M3471" s="112">
        <f t="shared" si="217"/>
        <v>4028.8683028813866</v>
      </c>
      <c r="N3471" s="113">
        <f t="shared" si="218"/>
        <v>161.15473211525546</v>
      </c>
      <c r="O3471" s="113">
        <f t="shared" si="219"/>
        <v>36098.659993817222</v>
      </c>
    </row>
    <row r="3472" spans="1:15" x14ac:dyDescent="0.25">
      <c r="A3472" s="13">
        <v>44464</v>
      </c>
      <c r="B3472" s="97">
        <v>1559</v>
      </c>
      <c r="C3472" t="s">
        <v>294</v>
      </c>
      <c r="D3472" t="s">
        <v>527</v>
      </c>
      <c r="E3472" t="s">
        <v>17</v>
      </c>
      <c r="F3472" t="s">
        <v>573</v>
      </c>
      <c r="G3472" s="50" t="s">
        <v>574</v>
      </c>
      <c r="H3472" s="50">
        <v>2</v>
      </c>
      <c r="I3472" s="100">
        <v>6.7391919697301583</v>
      </c>
      <c r="J3472" s="52">
        <v>3834.68</v>
      </c>
      <c r="K3472" s="67">
        <f t="shared" si="220"/>
        <v>40288.683028813866</v>
      </c>
      <c r="L3472" s="95">
        <f>+VLOOKUP(E3472,MARGEN!A:B,2,FALSE)</f>
        <v>0.1</v>
      </c>
      <c r="M3472" s="112">
        <f t="shared" si="217"/>
        <v>4028.8683028813866</v>
      </c>
      <c r="N3472" s="113">
        <f t="shared" si="218"/>
        <v>161.15473211525546</v>
      </c>
      <c r="O3472" s="113">
        <f t="shared" si="219"/>
        <v>36098.659993817222</v>
      </c>
    </row>
    <row r="3473" spans="1:15" x14ac:dyDescent="0.25">
      <c r="A3473" s="13">
        <v>44464</v>
      </c>
      <c r="B3473" s="97">
        <v>1559</v>
      </c>
      <c r="C3473" t="s">
        <v>152</v>
      </c>
      <c r="D3473" t="s">
        <v>425</v>
      </c>
      <c r="E3473" t="s">
        <v>17</v>
      </c>
      <c r="F3473" t="s">
        <v>573</v>
      </c>
      <c r="G3473" s="50" t="s">
        <v>574</v>
      </c>
      <c r="H3473" s="50">
        <v>2</v>
      </c>
      <c r="I3473" s="100">
        <v>6.7391919697301583</v>
      </c>
      <c r="J3473" s="52">
        <v>3834.68</v>
      </c>
      <c r="K3473" s="67">
        <f t="shared" si="220"/>
        <v>40288.683028813866</v>
      </c>
      <c r="L3473" s="95">
        <f>+VLOOKUP(E3473,MARGEN!A:B,2,FALSE)</f>
        <v>0.1</v>
      </c>
      <c r="M3473" s="112">
        <f t="shared" si="217"/>
        <v>4028.8683028813866</v>
      </c>
      <c r="N3473" s="113">
        <f t="shared" si="218"/>
        <v>161.15473211525546</v>
      </c>
      <c r="O3473" s="113">
        <f t="shared" si="219"/>
        <v>36098.659993817222</v>
      </c>
    </row>
    <row r="3474" spans="1:15" x14ac:dyDescent="0.25">
      <c r="A3474" s="13">
        <v>44464</v>
      </c>
      <c r="B3474" s="97">
        <v>1559</v>
      </c>
      <c r="C3474" t="s">
        <v>176</v>
      </c>
      <c r="D3474" t="s">
        <v>430</v>
      </c>
      <c r="E3474" t="s">
        <v>17</v>
      </c>
      <c r="F3474" t="s">
        <v>573</v>
      </c>
      <c r="G3474" s="50" t="s">
        <v>574</v>
      </c>
      <c r="H3474" s="50">
        <v>2</v>
      </c>
      <c r="I3474" s="100">
        <v>6.7391919697301583</v>
      </c>
      <c r="J3474" s="52">
        <v>3834.68</v>
      </c>
      <c r="K3474" s="67">
        <f t="shared" si="220"/>
        <v>40288.683028813866</v>
      </c>
      <c r="L3474" s="95">
        <f>+VLOOKUP(E3474,MARGEN!A:B,2,FALSE)</f>
        <v>0.1</v>
      </c>
      <c r="M3474" s="112">
        <f t="shared" si="217"/>
        <v>4028.8683028813866</v>
      </c>
      <c r="N3474" s="113">
        <f t="shared" si="218"/>
        <v>161.15473211525546</v>
      </c>
      <c r="O3474" s="113">
        <f t="shared" si="219"/>
        <v>36098.659993817222</v>
      </c>
    </row>
    <row r="3475" spans="1:15" x14ac:dyDescent="0.25">
      <c r="A3475" s="13">
        <v>44464</v>
      </c>
      <c r="B3475" s="97">
        <v>1535</v>
      </c>
      <c r="C3475" t="s">
        <v>137</v>
      </c>
      <c r="D3475" t="s">
        <v>418</v>
      </c>
      <c r="E3475" t="s">
        <v>17</v>
      </c>
      <c r="F3475" t="s">
        <v>573</v>
      </c>
      <c r="G3475" s="50" t="s">
        <v>574</v>
      </c>
      <c r="H3475" s="50">
        <v>2</v>
      </c>
      <c r="I3475" s="100">
        <v>6.7391919697301583</v>
      </c>
      <c r="J3475" s="52">
        <v>3834.68</v>
      </c>
      <c r="K3475" s="67">
        <f t="shared" si="220"/>
        <v>39668.459556914233</v>
      </c>
      <c r="L3475" s="95">
        <f>+VLOOKUP(E3475,MARGEN!A:B,2,FALSE)</f>
        <v>0.1</v>
      </c>
      <c r="M3475" s="112">
        <f t="shared" si="217"/>
        <v>3966.8459556914236</v>
      </c>
      <c r="N3475" s="113">
        <f t="shared" si="218"/>
        <v>158.67383822765694</v>
      </c>
      <c r="O3475" s="113">
        <f t="shared" si="219"/>
        <v>35542.939762995149</v>
      </c>
    </row>
    <row r="3476" spans="1:15" x14ac:dyDescent="0.25">
      <c r="A3476" s="13">
        <v>44464</v>
      </c>
      <c r="B3476" s="97">
        <v>1511</v>
      </c>
      <c r="C3476" t="s">
        <v>291</v>
      </c>
      <c r="D3476" t="s">
        <v>492</v>
      </c>
      <c r="E3476" t="s">
        <v>17</v>
      </c>
      <c r="F3476" t="s">
        <v>573</v>
      </c>
      <c r="G3476" s="50" t="s">
        <v>574</v>
      </c>
      <c r="H3476" s="50">
        <v>2</v>
      </c>
      <c r="I3476" s="100">
        <v>6.7391919697301583</v>
      </c>
      <c r="J3476" s="52">
        <v>3834.68</v>
      </c>
      <c r="K3476" s="67">
        <f t="shared" si="220"/>
        <v>39048.2360850146</v>
      </c>
      <c r="L3476" s="95">
        <f>+VLOOKUP(E3476,MARGEN!A:B,2,FALSE)</f>
        <v>0.1</v>
      </c>
      <c r="M3476" s="112">
        <f t="shared" si="217"/>
        <v>3904.8236085014601</v>
      </c>
      <c r="N3476" s="113">
        <f t="shared" si="218"/>
        <v>156.1929443400584</v>
      </c>
      <c r="O3476" s="113">
        <f t="shared" si="219"/>
        <v>34987.219532173083</v>
      </c>
    </row>
    <row r="3477" spans="1:15" x14ac:dyDescent="0.25">
      <c r="A3477" s="13">
        <v>44464</v>
      </c>
      <c r="B3477" s="97">
        <v>1487</v>
      </c>
      <c r="C3477" t="s">
        <v>169</v>
      </c>
      <c r="D3477" t="s">
        <v>351</v>
      </c>
      <c r="E3477" t="s">
        <v>17</v>
      </c>
      <c r="F3477" t="s">
        <v>573</v>
      </c>
      <c r="G3477" s="50" t="s">
        <v>574</v>
      </c>
      <c r="H3477" s="50">
        <v>2</v>
      </c>
      <c r="I3477" s="100">
        <v>6.7391919697301583</v>
      </c>
      <c r="J3477" s="52">
        <v>3834.68</v>
      </c>
      <c r="K3477" s="67">
        <f t="shared" si="220"/>
        <v>38428.012613114959</v>
      </c>
      <c r="L3477" s="95">
        <f>+VLOOKUP(E3477,MARGEN!A:B,2,FALSE)</f>
        <v>0.1</v>
      </c>
      <c r="M3477" s="112">
        <f t="shared" si="217"/>
        <v>3842.8012613114961</v>
      </c>
      <c r="N3477" s="113">
        <f t="shared" si="218"/>
        <v>153.71205045245983</v>
      </c>
      <c r="O3477" s="113">
        <f t="shared" si="219"/>
        <v>34431.499301351003</v>
      </c>
    </row>
    <row r="3478" spans="1:15" x14ac:dyDescent="0.25">
      <c r="A3478" s="13">
        <v>44464</v>
      </c>
      <c r="B3478" s="97">
        <v>1487</v>
      </c>
      <c r="C3478" t="s">
        <v>119</v>
      </c>
      <c r="D3478" t="s">
        <v>377</v>
      </c>
      <c r="E3478" t="s">
        <v>17</v>
      </c>
      <c r="F3478" t="s">
        <v>573</v>
      </c>
      <c r="G3478" s="50" t="s">
        <v>574</v>
      </c>
      <c r="H3478" s="50">
        <v>2</v>
      </c>
      <c r="I3478" s="100">
        <v>6.7391919697301583</v>
      </c>
      <c r="J3478" s="52">
        <v>3834.68</v>
      </c>
      <c r="K3478" s="67">
        <f t="shared" si="220"/>
        <v>38428.012613114959</v>
      </c>
      <c r="L3478" s="95">
        <f>+VLOOKUP(E3478,MARGEN!A:B,2,FALSE)</f>
        <v>0.1</v>
      </c>
      <c r="M3478" s="112">
        <f t="shared" si="217"/>
        <v>3842.8012613114961</v>
      </c>
      <c r="N3478" s="113">
        <f t="shared" si="218"/>
        <v>153.71205045245983</v>
      </c>
      <c r="O3478" s="113">
        <f t="shared" si="219"/>
        <v>34431.499301351003</v>
      </c>
    </row>
    <row r="3479" spans="1:15" x14ac:dyDescent="0.25">
      <c r="A3479" s="13">
        <v>44464</v>
      </c>
      <c r="B3479" s="97">
        <v>1463</v>
      </c>
      <c r="C3479" t="s">
        <v>297</v>
      </c>
      <c r="D3479" t="s">
        <v>526</v>
      </c>
      <c r="E3479" t="s">
        <v>17</v>
      </c>
      <c r="F3479" t="s">
        <v>573</v>
      </c>
      <c r="G3479" s="50" t="s">
        <v>574</v>
      </c>
      <c r="H3479" s="50">
        <v>2</v>
      </c>
      <c r="I3479" s="100">
        <v>6.7391919697301583</v>
      </c>
      <c r="J3479" s="52">
        <v>3834.68</v>
      </c>
      <c r="K3479" s="67">
        <f t="shared" si="220"/>
        <v>37807.789141215326</v>
      </c>
      <c r="L3479" s="95">
        <f>+VLOOKUP(E3479,MARGEN!A:B,2,FALSE)</f>
        <v>0.1</v>
      </c>
      <c r="M3479" s="112">
        <f t="shared" si="217"/>
        <v>3780.7789141215326</v>
      </c>
      <c r="N3479" s="113">
        <f t="shared" si="218"/>
        <v>151.23115656486129</v>
      </c>
      <c r="O3479" s="113">
        <f t="shared" si="219"/>
        <v>33875.77907052893</v>
      </c>
    </row>
    <row r="3480" spans="1:15" x14ac:dyDescent="0.25">
      <c r="A3480" s="13">
        <v>44464</v>
      </c>
      <c r="B3480" s="97">
        <v>1439</v>
      </c>
      <c r="C3480" t="s">
        <v>210</v>
      </c>
      <c r="D3480" t="s">
        <v>402</v>
      </c>
      <c r="E3480" t="s">
        <v>17</v>
      </c>
      <c r="F3480" t="s">
        <v>573</v>
      </c>
      <c r="G3480" s="50" t="s">
        <v>574</v>
      </c>
      <c r="H3480" s="50">
        <v>2</v>
      </c>
      <c r="I3480" s="100">
        <v>6.7391919697301583</v>
      </c>
      <c r="J3480" s="52">
        <v>3834.68</v>
      </c>
      <c r="K3480" s="67">
        <f t="shared" si="220"/>
        <v>37187.565669315685</v>
      </c>
      <c r="L3480" s="95">
        <f>+VLOOKUP(E3480,MARGEN!A:B,2,FALSE)</f>
        <v>0.1</v>
      </c>
      <c r="M3480" s="112">
        <f t="shared" si="217"/>
        <v>3718.7565669315686</v>
      </c>
      <c r="N3480" s="113">
        <f t="shared" si="218"/>
        <v>148.75026267726275</v>
      </c>
      <c r="O3480" s="113">
        <f t="shared" si="219"/>
        <v>33320.058839706857</v>
      </c>
    </row>
    <row r="3481" spans="1:15" x14ac:dyDescent="0.25">
      <c r="A3481" s="13">
        <v>44464</v>
      </c>
      <c r="B3481" s="97">
        <v>1439</v>
      </c>
      <c r="C3481" t="s">
        <v>168</v>
      </c>
      <c r="D3481" t="s">
        <v>352</v>
      </c>
      <c r="E3481" t="s">
        <v>17</v>
      </c>
      <c r="F3481" t="s">
        <v>573</v>
      </c>
      <c r="G3481" s="50" t="s">
        <v>574</v>
      </c>
      <c r="H3481" s="50">
        <v>2</v>
      </c>
      <c r="I3481" s="100">
        <v>6.7391919697301583</v>
      </c>
      <c r="J3481" s="52">
        <v>3834.68</v>
      </c>
      <c r="K3481" s="67">
        <f t="shared" si="220"/>
        <v>37187.565669315685</v>
      </c>
      <c r="L3481" s="95">
        <f>+VLOOKUP(E3481,MARGEN!A:B,2,FALSE)</f>
        <v>0.1</v>
      </c>
      <c r="M3481" s="112">
        <f t="shared" si="217"/>
        <v>3718.7565669315686</v>
      </c>
      <c r="N3481" s="113">
        <f t="shared" si="218"/>
        <v>148.75026267726275</v>
      </c>
      <c r="O3481" s="113">
        <f t="shared" si="219"/>
        <v>33320.058839706857</v>
      </c>
    </row>
    <row r="3482" spans="1:15" x14ac:dyDescent="0.25">
      <c r="A3482" s="13">
        <v>44464</v>
      </c>
      <c r="B3482" s="97">
        <v>1439</v>
      </c>
      <c r="C3482" t="s">
        <v>200</v>
      </c>
      <c r="D3482" t="s">
        <v>428</v>
      </c>
      <c r="E3482" t="s">
        <v>17</v>
      </c>
      <c r="F3482" t="s">
        <v>573</v>
      </c>
      <c r="G3482" s="50" t="s">
        <v>574</v>
      </c>
      <c r="H3482" s="50">
        <v>2</v>
      </c>
      <c r="I3482" s="100">
        <v>6.7391919697301583</v>
      </c>
      <c r="J3482" s="52">
        <v>3834.68</v>
      </c>
      <c r="K3482" s="67">
        <f t="shared" si="220"/>
        <v>37187.565669315685</v>
      </c>
      <c r="L3482" s="95">
        <f>+VLOOKUP(E3482,MARGEN!A:B,2,FALSE)</f>
        <v>0.1</v>
      </c>
      <c r="M3482" s="112">
        <f t="shared" si="217"/>
        <v>3718.7565669315686</v>
      </c>
      <c r="N3482" s="113">
        <f t="shared" si="218"/>
        <v>148.75026267726275</v>
      </c>
      <c r="O3482" s="113">
        <f t="shared" si="219"/>
        <v>33320.058839706857</v>
      </c>
    </row>
    <row r="3483" spans="1:15" x14ac:dyDescent="0.25">
      <c r="A3483" s="13">
        <v>44464</v>
      </c>
      <c r="B3483" s="97">
        <v>1415</v>
      </c>
      <c r="C3483" t="s">
        <v>289</v>
      </c>
      <c r="D3483" t="s">
        <v>528</v>
      </c>
      <c r="E3483" t="s">
        <v>17</v>
      </c>
      <c r="F3483" t="s">
        <v>562</v>
      </c>
      <c r="G3483" s="50" t="s">
        <v>574</v>
      </c>
      <c r="H3483" s="50">
        <v>2</v>
      </c>
      <c r="I3483" s="100">
        <v>6.7391919697301583</v>
      </c>
      <c r="J3483" s="52">
        <v>3834.68</v>
      </c>
      <c r="K3483" s="67">
        <f t="shared" si="220"/>
        <v>36567.342197416052</v>
      </c>
      <c r="L3483" s="95">
        <f>+VLOOKUP(E3483,MARGEN!A:B,2,FALSE)</f>
        <v>0.1</v>
      </c>
      <c r="M3483" s="112">
        <f t="shared" si="217"/>
        <v>3656.7342197416056</v>
      </c>
      <c r="N3483" s="113">
        <f t="shared" si="218"/>
        <v>146.26936878966421</v>
      </c>
      <c r="O3483" s="113">
        <f t="shared" si="219"/>
        <v>32764.33860888478</v>
      </c>
    </row>
    <row r="3484" spans="1:15" x14ac:dyDescent="0.25">
      <c r="A3484" s="13">
        <v>44464</v>
      </c>
      <c r="B3484" s="97">
        <v>1367</v>
      </c>
      <c r="C3484" t="s">
        <v>173</v>
      </c>
      <c r="D3484" t="s">
        <v>451</v>
      </c>
      <c r="E3484" t="s">
        <v>17</v>
      </c>
      <c r="F3484" t="s">
        <v>573</v>
      </c>
      <c r="G3484" s="50" t="s">
        <v>574</v>
      </c>
      <c r="H3484" s="50">
        <v>2</v>
      </c>
      <c r="I3484" s="100">
        <v>6.7391919697301583</v>
      </c>
      <c r="J3484" s="52">
        <v>3834.68</v>
      </c>
      <c r="K3484" s="67">
        <f t="shared" si="220"/>
        <v>35326.895253616778</v>
      </c>
      <c r="L3484" s="95">
        <f>+VLOOKUP(E3484,MARGEN!A:B,2,FALSE)</f>
        <v>0.1</v>
      </c>
      <c r="M3484" s="112">
        <f t="shared" si="217"/>
        <v>3532.6895253616781</v>
      </c>
      <c r="N3484" s="113">
        <f t="shared" si="218"/>
        <v>141.3075810144671</v>
      </c>
      <c r="O3484" s="113">
        <f t="shared" si="219"/>
        <v>31652.898147240634</v>
      </c>
    </row>
    <row r="3485" spans="1:15" x14ac:dyDescent="0.25">
      <c r="A3485" s="13">
        <v>44464</v>
      </c>
      <c r="B3485" s="97">
        <v>1343</v>
      </c>
      <c r="C3485" t="s">
        <v>292</v>
      </c>
      <c r="D3485" t="s">
        <v>535</v>
      </c>
      <c r="E3485" t="s">
        <v>17</v>
      </c>
      <c r="F3485" t="s">
        <v>573</v>
      </c>
      <c r="G3485" s="50" t="s">
        <v>574</v>
      </c>
      <c r="H3485" s="50">
        <v>2</v>
      </c>
      <c r="I3485" s="100">
        <v>6.7391919697301583</v>
      </c>
      <c r="J3485" s="52">
        <v>3834.68</v>
      </c>
      <c r="K3485" s="67">
        <f t="shared" si="220"/>
        <v>34706.671781717145</v>
      </c>
      <c r="L3485" s="95">
        <f>+VLOOKUP(E3485,MARGEN!A:B,2,FALSE)</f>
        <v>0.1</v>
      </c>
      <c r="M3485" s="112">
        <f t="shared" si="217"/>
        <v>3470.6671781717146</v>
      </c>
      <c r="N3485" s="113">
        <f t="shared" si="218"/>
        <v>138.82668712686859</v>
      </c>
      <c r="O3485" s="113">
        <f t="shared" si="219"/>
        <v>31097.177916418561</v>
      </c>
    </row>
    <row r="3486" spans="1:15" x14ac:dyDescent="0.25">
      <c r="A3486" s="13">
        <v>44464</v>
      </c>
      <c r="B3486" s="97">
        <v>1343</v>
      </c>
      <c r="C3486" t="s">
        <v>298</v>
      </c>
      <c r="D3486" t="s">
        <v>536</v>
      </c>
      <c r="E3486" t="s">
        <v>17</v>
      </c>
      <c r="F3486" t="s">
        <v>573</v>
      </c>
      <c r="G3486" s="50" t="s">
        <v>574</v>
      </c>
      <c r="H3486" s="50">
        <v>2</v>
      </c>
      <c r="I3486" s="100">
        <v>6.7391919697301583</v>
      </c>
      <c r="J3486" s="52">
        <v>3834.68</v>
      </c>
      <c r="K3486" s="67">
        <f t="shared" si="220"/>
        <v>34706.671781717145</v>
      </c>
      <c r="L3486" s="95">
        <f>+VLOOKUP(E3486,MARGEN!A:B,2,FALSE)</f>
        <v>0.1</v>
      </c>
      <c r="M3486" s="112">
        <f t="shared" si="217"/>
        <v>3470.6671781717146</v>
      </c>
      <c r="N3486" s="113">
        <f t="shared" si="218"/>
        <v>138.82668712686859</v>
      </c>
      <c r="O3486" s="113">
        <f t="shared" si="219"/>
        <v>31097.177916418561</v>
      </c>
    </row>
    <row r="3487" spans="1:15" x14ac:dyDescent="0.25">
      <c r="A3487" s="43">
        <v>44464</v>
      </c>
      <c r="B3487" s="51">
        <v>1319</v>
      </c>
      <c r="C3487" s="66" t="s">
        <v>141</v>
      </c>
      <c r="D3487" s="66" t="s">
        <v>450</v>
      </c>
      <c r="E3487" t="s">
        <v>17</v>
      </c>
      <c r="F3487" s="50" t="s">
        <v>573</v>
      </c>
      <c r="G3487" s="50" t="s">
        <v>574</v>
      </c>
      <c r="H3487" s="50">
        <v>2</v>
      </c>
      <c r="I3487" s="100">
        <v>6.7391919697301583</v>
      </c>
      <c r="J3487" s="52">
        <v>3834.68</v>
      </c>
      <c r="K3487" s="67">
        <f t="shared" si="220"/>
        <v>34086.448309817511</v>
      </c>
      <c r="L3487" s="95">
        <f>+VLOOKUP(E3487,MARGEN!A:B,2,FALSE)</f>
        <v>0.1</v>
      </c>
      <c r="M3487" s="112">
        <f t="shared" si="217"/>
        <v>3408.6448309817515</v>
      </c>
      <c r="N3487" s="113">
        <f t="shared" si="218"/>
        <v>136.34579323927005</v>
      </c>
      <c r="O3487" s="113">
        <f t="shared" si="219"/>
        <v>30541.457685596492</v>
      </c>
    </row>
    <row r="3488" spans="1:15" x14ac:dyDescent="0.25">
      <c r="A3488" s="13">
        <v>44464</v>
      </c>
      <c r="B3488" s="97">
        <v>1319</v>
      </c>
      <c r="C3488" t="s">
        <v>166</v>
      </c>
      <c r="D3488" t="s">
        <v>426</v>
      </c>
      <c r="E3488" t="s">
        <v>17</v>
      </c>
      <c r="F3488" t="s">
        <v>562</v>
      </c>
      <c r="G3488" s="50" t="s">
        <v>574</v>
      </c>
      <c r="H3488" s="50">
        <v>2</v>
      </c>
      <c r="I3488" s="100">
        <v>6.7391919697301583</v>
      </c>
      <c r="J3488" s="52">
        <v>3834.68</v>
      </c>
      <c r="K3488" s="67">
        <f t="shared" si="220"/>
        <v>34086.448309817511</v>
      </c>
      <c r="L3488" s="95">
        <f>+VLOOKUP(E3488,MARGEN!A:B,2,FALSE)</f>
        <v>0.1</v>
      </c>
      <c r="M3488" s="112">
        <f t="shared" si="217"/>
        <v>3408.6448309817515</v>
      </c>
      <c r="N3488" s="113">
        <f t="shared" si="218"/>
        <v>136.34579323927005</v>
      </c>
      <c r="O3488" s="113">
        <f t="shared" si="219"/>
        <v>30541.457685596492</v>
      </c>
    </row>
    <row r="3489" spans="1:15" x14ac:dyDescent="0.25">
      <c r="A3489" s="13">
        <v>44464</v>
      </c>
      <c r="B3489" s="97">
        <v>1319</v>
      </c>
      <c r="C3489" t="s">
        <v>118</v>
      </c>
      <c r="D3489" t="s">
        <v>329</v>
      </c>
      <c r="E3489" t="s">
        <v>17</v>
      </c>
      <c r="F3489" t="s">
        <v>573</v>
      </c>
      <c r="G3489" s="50" t="s">
        <v>574</v>
      </c>
      <c r="H3489" s="50">
        <v>2</v>
      </c>
      <c r="I3489" s="100">
        <v>6.7391919697301583</v>
      </c>
      <c r="J3489" s="52">
        <v>3834.68</v>
      </c>
      <c r="K3489" s="67">
        <f t="shared" si="220"/>
        <v>34086.448309817511</v>
      </c>
      <c r="L3489" s="95">
        <f>+VLOOKUP(E3489,MARGEN!A:B,2,FALSE)</f>
        <v>0.1</v>
      </c>
      <c r="M3489" s="112">
        <f t="shared" si="217"/>
        <v>3408.6448309817515</v>
      </c>
      <c r="N3489" s="113">
        <f t="shared" si="218"/>
        <v>136.34579323927005</v>
      </c>
      <c r="O3489" s="113">
        <f t="shared" si="219"/>
        <v>30541.457685596492</v>
      </c>
    </row>
    <row r="3490" spans="1:15" x14ac:dyDescent="0.25">
      <c r="A3490" s="13">
        <v>44464</v>
      </c>
      <c r="B3490" s="97">
        <v>1295</v>
      </c>
      <c r="C3490" t="s">
        <v>302</v>
      </c>
      <c r="D3490" t="s">
        <v>538</v>
      </c>
      <c r="E3490" t="s">
        <v>17</v>
      </c>
      <c r="F3490" t="s">
        <v>573</v>
      </c>
      <c r="G3490" s="50" t="s">
        <v>574</v>
      </c>
      <c r="H3490" s="50">
        <v>2</v>
      </c>
      <c r="I3490" s="100">
        <v>6.7391919697301583</v>
      </c>
      <c r="J3490" s="52">
        <v>3834.68</v>
      </c>
      <c r="K3490" s="67">
        <f t="shared" si="220"/>
        <v>33466.224837917871</v>
      </c>
      <c r="L3490" s="95">
        <f>+VLOOKUP(E3490,MARGEN!A:B,2,FALSE)</f>
        <v>0.1</v>
      </c>
      <c r="M3490" s="112">
        <f t="shared" si="217"/>
        <v>3346.6224837917871</v>
      </c>
      <c r="N3490" s="113">
        <f t="shared" si="218"/>
        <v>133.86489935167148</v>
      </c>
      <c r="O3490" s="113">
        <f t="shared" si="219"/>
        <v>29985.737454774411</v>
      </c>
    </row>
    <row r="3491" spans="1:15" x14ac:dyDescent="0.25">
      <c r="A3491" s="13">
        <v>44464</v>
      </c>
      <c r="B3491" s="97">
        <v>1295</v>
      </c>
      <c r="C3491" t="s">
        <v>151</v>
      </c>
      <c r="D3491" t="s">
        <v>394</v>
      </c>
      <c r="E3491" t="s">
        <v>17</v>
      </c>
      <c r="F3491" t="s">
        <v>573</v>
      </c>
      <c r="G3491" s="50" t="s">
        <v>574</v>
      </c>
      <c r="H3491" s="50">
        <v>2</v>
      </c>
      <c r="I3491" s="100">
        <v>6.7391919697301583</v>
      </c>
      <c r="J3491" s="52">
        <v>3834.68</v>
      </c>
      <c r="K3491" s="67">
        <f t="shared" si="220"/>
        <v>33466.224837917871</v>
      </c>
      <c r="L3491" s="95">
        <f>+VLOOKUP(E3491,MARGEN!A:B,2,FALSE)</f>
        <v>0.1</v>
      </c>
      <c r="M3491" s="112">
        <f t="shared" si="217"/>
        <v>3346.6224837917871</v>
      </c>
      <c r="N3491" s="113">
        <f t="shared" si="218"/>
        <v>133.86489935167148</v>
      </c>
      <c r="O3491" s="113">
        <f t="shared" si="219"/>
        <v>29985.737454774411</v>
      </c>
    </row>
    <row r="3492" spans="1:15" x14ac:dyDescent="0.25">
      <c r="A3492" s="13">
        <v>44464</v>
      </c>
      <c r="B3492" s="97">
        <v>1295</v>
      </c>
      <c r="C3492" t="s">
        <v>303</v>
      </c>
      <c r="D3492" t="s">
        <v>539</v>
      </c>
      <c r="E3492" t="s">
        <v>17</v>
      </c>
      <c r="F3492" t="s">
        <v>573</v>
      </c>
      <c r="G3492" s="50" t="s">
        <v>574</v>
      </c>
      <c r="H3492" s="50">
        <v>2</v>
      </c>
      <c r="I3492" s="100">
        <v>6.7391919697301583</v>
      </c>
      <c r="J3492" s="52">
        <v>3834.68</v>
      </c>
      <c r="K3492" s="67">
        <f t="shared" si="220"/>
        <v>33466.224837917871</v>
      </c>
      <c r="L3492" s="95">
        <f>+VLOOKUP(E3492,MARGEN!A:B,2,FALSE)</f>
        <v>0.1</v>
      </c>
      <c r="M3492" s="112">
        <f t="shared" si="217"/>
        <v>3346.6224837917871</v>
      </c>
      <c r="N3492" s="113">
        <f t="shared" si="218"/>
        <v>133.86489935167148</v>
      </c>
      <c r="O3492" s="113">
        <f t="shared" si="219"/>
        <v>29985.737454774411</v>
      </c>
    </row>
    <row r="3493" spans="1:15" x14ac:dyDescent="0.25">
      <c r="A3493" s="13">
        <v>44464</v>
      </c>
      <c r="B3493" s="97">
        <v>1295</v>
      </c>
      <c r="C3493" t="s">
        <v>183</v>
      </c>
      <c r="D3493" t="s">
        <v>390</v>
      </c>
      <c r="E3493" t="s">
        <v>17</v>
      </c>
      <c r="F3493" t="s">
        <v>573</v>
      </c>
      <c r="G3493" s="50" t="s">
        <v>574</v>
      </c>
      <c r="H3493" s="50">
        <v>2</v>
      </c>
      <c r="I3493" s="100">
        <v>6.7391919697301583</v>
      </c>
      <c r="J3493" s="52">
        <v>3834.68</v>
      </c>
      <c r="K3493" s="67">
        <f t="shared" si="220"/>
        <v>33466.224837917871</v>
      </c>
      <c r="L3493" s="95">
        <f>+VLOOKUP(E3493,MARGEN!A:B,2,FALSE)</f>
        <v>0.1</v>
      </c>
      <c r="M3493" s="112">
        <f t="shared" si="217"/>
        <v>3346.6224837917871</v>
      </c>
      <c r="N3493" s="113">
        <f t="shared" si="218"/>
        <v>133.86489935167148</v>
      </c>
      <c r="O3493" s="113">
        <f t="shared" si="219"/>
        <v>29985.737454774411</v>
      </c>
    </row>
    <row r="3494" spans="1:15" x14ac:dyDescent="0.25">
      <c r="A3494" s="13">
        <v>44464</v>
      </c>
      <c r="B3494" s="97">
        <v>1247</v>
      </c>
      <c r="C3494" t="s">
        <v>300</v>
      </c>
      <c r="D3494" t="s">
        <v>529</v>
      </c>
      <c r="E3494" t="s">
        <v>17</v>
      </c>
      <c r="F3494" t="s">
        <v>562</v>
      </c>
      <c r="G3494" s="50" t="s">
        <v>574</v>
      </c>
      <c r="H3494" s="50">
        <v>2</v>
      </c>
      <c r="I3494" s="100">
        <v>6.7391919697301583</v>
      </c>
      <c r="J3494" s="52">
        <v>3834.68</v>
      </c>
      <c r="K3494" s="67">
        <f t="shared" si="220"/>
        <v>32225.777894118601</v>
      </c>
      <c r="L3494" s="95">
        <f>+VLOOKUP(E3494,MARGEN!A:B,2,FALSE)</f>
        <v>0.1</v>
      </c>
      <c r="M3494" s="112">
        <f t="shared" si="217"/>
        <v>3222.5777894118601</v>
      </c>
      <c r="N3494" s="113">
        <f t="shared" si="218"/>
        <v>128.9031115764744</v>
      </c>
      <c r="O3494" s="113">
        <f t="shared" si="219"/>
        <v>28874.296993130265</v>
      </c>
    </row>
    <row r="3495" spans="1:15" x14ac:dyDescent="0.25">
      <c r="A3495" s="13">
        <v>44464</v>
      </c>
      <c r="B3495" s="97">
        <v>1223</v>
      </c>
      <c r="C3495" t="s">
        <v>199</v>
      </c>
      <c r="D3495" t="s">
        <v>414</v>
      </c>
      <c r="E3495" t="s">
        <v>17</v>
      </c>
      <c r="F3495" t="s">
        <v>573</v>
      </c>
      <c r="G3495" s="50" t="s">
        <v>574</v>
      </c>
      <c r="H3495" s="50">
        <v>2</v>
      </c>
      <c r="I3495" s="100">
        <v>6.7391919697301583</v>
      </c>
      <c r="J3495" s="52">
        <v>3834.68</v>
      </c>
      <c r="K3495" s="67">
        <f t="shared" si="220"/>
        <v>31605.55442221896</v>
      </c>
      <c r="L3495" s="95">
        <f>+VLOOKUP(E3495,MARGEN!A:B,2,FALSE)</f>
        <v>0.1</v>
      </c>
      <c r="M3495" s="112">
        <f t="shared" si="217"/>
        <v>3160.5554422218961</v>
      </c>
      <c r="N3495" s="113">
        <f t="shared" si="218"/>
        <v>126.42221768887585</v>
      </c>
      <c r="O3495" s="113">
        <f t="shared" si="219"/>
        <v>28318.576762308188</v>
      </c>
    </row>
    <row r="3496" spans="1:15" x14ac:dyDescent="0.25">
      <c r="A3496" s="13">
        <v>44464</v>
      </c>
      <c r="B3496" s="97">
        <v>1175</v>
      </c>
      <c r="C3496" t="s">
        <v>201</v>
      </c>
      <c r="D3496" t="s">
        <v>374</v>
      </c>
      <c r="E3496" t="s">
        <v>17</v>
      </c>
      <c r="F3496" t="s">
        <v>573</v>
      </c>
      <c r="G3496" s="50" t="s">
        <v>574</v>
      </c>
      <c r="H3496" s="50">
        <v>2</v>
      </c>
      <c r="I3496" s="100">
        <v>6.7391919697301583</v>
      </c>
      <c r="J3496" s="52">
        <v>3834.68</v>
      </c>
      <c r="K3496" s="67">
        <f t="shared" si="220"/>
        <v>30365.10747841969</v>
      </c>
      <c r="L3496" s="95">
        <f>+VLOOKUP(E3496,MARGEN!A:B,2,FALSE)</f>
        <v>0.1</v>
      </c>
      <c r="M3496" s="112">
        <f t="shared" si="217"/>
        <v>3036.5107478419691</v>
      </c>
      <c r="N3496" s="113">
        <f t="shared" si="218"/>
        <v>121.46042991367877</v>
      </c>
      <c r="O3496" s="113">
        <f t="shared" si="219"/>
        <v>27207.136300664042</v>
      </c>
    </row>
    <row r="3497" spans="1:15" x14ac:dyDescent="0.25">
      <c r="A3497" s="13">
        <v>44464</v>
      </c>
      <c r="B3497" s="97">
        <v>1151</v>
      </c>
      <c r="C3497" t="s">
        <v>184</v>
      </c>
      <c r="D3497" t="s">
        <v>443</v>
      </c>
      <c r="E3497" t="s">
        <v>17</v>
      </c>
      <c r="F3497" t="s">
        <v>573</v>
      </c>
      <c r="G3497" s="50" t="s">
        <v>574</v>
      </c>
      <c r="H3497" s="50">
        <v>2</v>
      </c>
      <c r="I3497" s="100">
        <v>6.7391919697301583</v>
      </c>
      <c r="J3497" s="52">
        <v>3834.68</v>
      </c>
      <c r="K3497" s="67">
        <f t="shared" si="220"/>
        <v>29744.884006520053</v>
      </c>
      <c r="L3497" s="95">
        <f>+VLOOKUP(E3497,MARGEN!A:B,2,FALSE)</f>
        <v>0.1</v>
      </c>
      <c r="M3497" s="112">
        <f t="shared" si="217"/>
        <v>2974.4884006520056</v>
      </c>
      <c r="N3497" s="113">
        <f t="shared" si="218"/>
        <v>118.97953602608021</v>
      </c>
      <c r="O3497" s="113">
        <f t="shared" si="219"/>
        <v>26651.416069841969</v>
      </c>
    </row>
    <row r="3498" spans="1:15" x14ac:dyDescent="0.25">
      <c r="A3498" s="13">
        <v>44464</v>
      </c>
      <c r="B3498" s="97">
        <v>1079</v>
      </c>
      <c r="C3498" t="s">
        <v>153</v>
      </c>
      <c r="D3498" t="s">
        <v>444</v>
      </c>
      <c r="E3498" t="s">
        <v>17</v>
      </c>
      <c r="F3498" t="s">
        <v>573</v>
      </c>
      <c r="G3498" s="50" t="s">
        <v>574</v>
      </c>
      <c r="H3498" s="50">
        <v>2</v>
      </c>
      <c r="I3498" s="100">
        <v>6.7391919697301583</v>
      </c>
      <c r="J3498" s="52">
        <v>3834.68</v>
      </c>
      <c r="K3498" s="67">
        <f t="shared" si="220"/>
        <v>27884.213590821142</v>
      </c>
      <c r="L3498" s="95">
        <f>+VLOOKUP(E3498,MARGEN!A:B,2,FALSE)</f>
        <v>0.1</v>
      </c>
      <c r="M3498" s="112">
        <f t="shared" si="217"/>
        <v>2788.4213590821146</v>
      </c>
      <c r="N3498" s="113">
        <f t="shared" si="218"/>
        <v>111.53685436328456</v>
      </c>
      <c r="O3498" s="113">
        <f t="shared" si="219"/>
        <v>24984.255377375743</v>
      </c>
    </row>
    <row r="3499" spans="1:15" x14ac:dyDescent="0.25">
      <c r="A3499" s="13">
        <v>44464</v>
      </c>
      <c r="B3499" s="97">
        <v>1079</v>
      </c>
      <c r="C3499" t="s">
        <v>195</v>
      </c>
      <c r="D3499" t="s">
        <v>392</v>
      </c>
      <c r="E3499" t="s">
        <v>17</v>
      </c>
      <c r="F3499" t="s">
        <v>562</v>
      </c>
      <c r="G3499" s="50" t="s">
        <v>574</v>
      </c>
      <c r="H3499" s="50">
        <v>2</v>
      </c>
      <c r="I3499" s="100">
        <v>6.7391919697301583</v>
      </c>
      <c r="J3499" s="52">
        <v>3834.68</v>
      </c>
      <c r="K3499" s="67">
        <f t="shared" si="220"/>
        <v>27884.213590821142</v>
      </c>
      <c r="L3499" s="95">
        <f>+VLOOKUP(E3499,MARGEN!A:B,2,FALSE)</f>
        <v>0.1</v>
      </c>
      <c r="M3499" s="112">
        <f t="shared" si="217"/>
        <v>2788.4213590821146</v>
      </c>
      <c r="N3499" s="113">
        <f t="shared" si="218"/>
        <v>111.53685436328456</v>
      </c>
      <c r="O3499" s="113">
        <f t="shared" si="219"/>
        <v>24984.255377375743</v>
      </c>
    </row>
    <row r="3500" spans="1:15" x14ac:dyDescent="0.25">
      <c r="A3500" s="13">
        <v>44464</v>
      </c>
      <c r="B3500" s="97">
        <v>791</v>
      </c>
      <c r="C3500" t="s">
        <v>307</v>
      </c>
      <c r="D3500" t="s">
        <v>497</v>
      </c>
      <c r="E3500" t="s">
        <v>17</v>
      </c>
      <c r="F3500" t="s">
        <v>573</v>
      </c>
      <c r="G3500" s="50" t="s">
        <v>574</v>
      </c>
      <c r="H3500" s="50">
        <v>2</v>
      </c>
      <c r="I3500" s="100">
        <v>6.7391919697301583</v>
      </c>
      <c r="J3500" s="52">
        <v>3834.68</v>
      </c>
      <c r="K3500" s="67">
        <f t="shared" si="220"/>
        <v>20441.53192802551</v>
      </c>
      <c r="L3500" s="95">
        <f>+VLOOKUP(E3500,MARGEN!A:B,2,FALSE)</f>
        <v>0.1</v>
      </c>
      <c r="M3500" s="112">
        <f t="shared" si="217"/>
        <v>2044.1531928025511</v>
      </c>
      <c r="N3500" s="113">
        <f t="shared" si="218"/>
        <v>81.766127712102033</v>
      </c>
      <c r="O3500" s="113">
        <f t="shared" si="219"/>
        <v>18315.612607510859</v>
      </c>
    </row>
    <row r="3501" spans="1:15" x14ac:dyDescent="0.25">
      <c r="A3501" s="13">
        <v>44464</v>
      </c>
      <c r="B3501" s="97">
        <v>767</v>
      </c>
      <c r="C3501" t="s">
        <v>181</v>
      </c>
      <c r="D3501" t="s">
        <v>415</v>
      </c>
      <c r="E3501" t="s">
        <v>17</v>
      </c>
      <c r="F3501" t="s">
        <v>573</v>
      </c>
      <c r="G3501" s="50" t="s">
        <v>574</v>
      </c>
      <c r="H3501" s="50">
        <v>2</v>
      </c>
      <c r="I3501" s="100">
        <v>6.7391919697301583</v>
      </c>
      <c r="J3501" s="52">
        <v>3834.68</v>
      </c>
      <c r="K3501" s="67">
        <f t="shared" si="220"/>
        <v>19821.308456125873</v>
      </c>
      <c r="L3501" s="95">
        <f>+VLOOKUP(E3501,MARGEN!A:B,2,FALSE)</f>
        <v>0.1</v>
      </c>
      <c r="M3501" s="112">
        <f t="shared" si="217"/>
        <v>1982.1308456125873</v>
      </c>
      <c r="N3501" s="113">
        <f t="shared" si="218"/>
        <v>79.285233824503493</v>
      </c>
      <c r="O3501" s="113">
        <f t="shared" si="219"/>
        <v>17759.892376688782</v>
      </c>
    </row>
    <row r="3502" spans="1:15" x14ac:dyDescent="0.25">
      <c r="A3502" s="43">
        <v>44465</v>
      </c>
      <c r="B3502" s="51">
        <v>7151</v>
      </c>
      <c r="C3502" s="66" t="s">
        <v>164</v>
      </c>
      <c r="D3502" s="66" t="s">
        <v>445</v>
      </c>
      <c r="E3502" t="s">
        <v>17</v>
      </c>
      <c r="F3502" s="50" t="s">
        <v>573</v>
      </c>
      <c r="G3502" s="50" t="s">
        <v>574</v>
      </c>
      <c r="H3502" s="50">
        <v>2</v>
      </c>
      <c r="I3502" s="100">
        <v>6.7391919697301583</v>
      </c>
      <c r="J3502" s="52">
        <v>3834.68</v>
      </c>
      <c r="K3502" s="67">
        <f t="shared" si="220"/>
        <v>184800.75198142909</v>
      </c>
      <c r="L3502" s="95">
        <f>+VLOOKUP(E3502,MARGEN!A:B,2,FALSE)</f>
        <v>0.1</v>
      </c>
      <c r="M3502" s="112">
        <f t="shared" si="217"/>
        <v>18480.075198142909</v>
      </c>
      <c r="N3502" s="113">
        <f t="shared" si="218"/>
        <v>739.20300792571629</v>
      </c>
      <c r="O3502" s="113">
        <f t="shared" si="219"/>
        <v>165581.47377536047</v>
      </c>
    </row>
    <row r="3503" spans="1:15" x14ac:dyDescent="0.25">
      <c r="A3503" s="13">
        <v>44465</v>
      </c>
      <c r="B3503" s="97">
        <v>6119</v>
      </c>
      <c r="C3503" t="s">
        <v>150</v>
      </c>
      <c r="D3503" t="s">
        <v>357</v>
      </c>
      <c r="E3503" t="s">
        <v>17</v>
      </c>
      <c r="F3503" t="s">
        <v>573</v>
      </c>
      <c r="G3503" s="50" t="s">
        <v>574</v>
      </c>
      <c r="H3503" s="50">
        <v>2</v>
      </c>
      <c r="I3503" s="100">
        <v>6.7391919697301583</v>
      </c>
      <c r="J3503" s="52">
        <v>3834.68</v>
      </c>
      <c r="K3503" s="67">
        <f t="shared" si="220"/>
        <v>158131.14268974474</v>
      </c>
      <c r="L3503" s="95">
        <f>+VLOOKUP(E3503,MARGEN!A:B,2,FALSE)</f>
        <v>0.1</v>
      </c>
      <c r="M3503" s="112">
        <f t="shared" si="217"/>
        <v>15813.114268974474</v>
      </c>
      <c r="N3503" s="113">
        <f t="shared" si="218"/>
        <v>632.52457075897894</v>
      </c>
      <c r="O3503" s="113">
        <f t="shared" si="219"/>
        <v>141685.50385001127</v>
      </c>
    </row>
    <row r="3504" spans="1:15" x14ac:dyDescent="0.25">
      <c r="A3504" s="43">
        <v>44465</v>
      </c>
      <c r="B3504" s="51">
        <v>4919</v>
      </c>
      <c r="C3504" s="66" t="s">
        <v>278</v>
      </c>
      <c r="D3504" s="66" t="s">
        <v>453</v>
      </c>
      <c r="E3504" t="s">
        <v>17</v>
      </c>
      <c r="F3504" s="50" t="s">
        <v>573</v>
      </c>
      <c r="G3504" s="50" t="s">
        <v>574</v>
      </c>
      <c r="H3504" s="50">
        <v>2</v>
      </c>
      <c r="I3504" s="100">
        <v>6.7391919697301583</v>
      </c>
      <c r="J3504" s="52">
        <v>3834.68</v>
      </c>
      <c r="K3504" s="67">
        <f t="shared" si="220"/>
        <v>127119.96909476294</v>
      </c>
      <c r="L3504" s="95">
        <f>+VLOOKUP(E3504,MARGEN!A:B,2,FALSE)</f>
        <v>0.1</v>
      </c>
      <c r="M3504" s="112">
        <f t="shared" si="217"/>
        <v>12711.996909476295</v>
      </c>
      <c r="N3504" s="113">
        <f t="shared" si="218"/>
        <v>508.47987637905175</v>
      </c>
      <c r="O3504" s="113">
        <f t="shared" si="219"/>
        <v>113899.4923089076</v>
      </c>
    </row>
    <row r="3505" spans="1:15" x14ac:dyDescent="0.25">
      <c r="A3505" s="43">
        <v>44465</v>
      </c>
      <c r="B3505" s="51">
        <v>4607</v>
      </c>
      <c r="C3505" s="66" t="s">
        <v>279</v>
      </c>
      <c r="D3505" s="66" t="s">
        <v>493</v>
      </c>
      <c r="E3505" t="s">
        <v>17</v>
      </c>
      <c r="F3505" s="50" t="s">
        <v>573</v>
      </c>
      <c r="G3505" s="50" t="s">
        <v>574</v>
      </c>
      <c r="H3505" s="50">
        <v>2</v>
      </c>
      <c r="I3505" s="100">
        <v>6.7391919697301583</v>
      </c>
      <c r="J3505" s="52">
        <v>3834.68</v>
      </c>
      <c r="K3505" s="67">
        <f t="shared" si="220"/>
        <v>119057.06396006768</v>
      </c>
      <c r="L3505" s="95">
        <f>+VLOOKUP(E3505,MARGEN!A:B,2,FALSE)</f>
        <v>0.1</v>
      </c>
      <c r="M3505" s="112">
        <f t="shared" si="217"/>
        <v>11905.706396006768</v>
      </c>
      <c r="N3505" s="113">
        <f t="shared" si="218"/>
        <v>476.22825584027072</v>
      </c>
      <c r="O3505" s="113">
        <f t="shared" si="219"/>
        <v>106675.12930822065</v>
      </c>
    </row>
    <row r="3506" spans="1:15" x14ac:dyDescent="0.25">
      <c r="A3506" s="43">
        <v>44465</v>
      </c>
      <c r="B3506" s="51">
        <v>4295</v>
      </c>
      <c r="C3506" s="66" t="s">
        <v>136</v>
      </c>
      <c r="D3506" s="66" t="s">
        <v>359</v>
      </c>
      <c r="E3506" t="s">
        <v>17</v>
      </c>
      <c r="F3506" s="50" t="s">
        <v>573</v>
      </c>
      <c r="G3506" s="50" t="s">
        <v>574</v>
      </c>
      <c r="H3506" s="50">
        <v>2</v>
      </c>
      <c r="I3506" s="100">
        <v>6.7391919697301583</v>
      </c>
      <c r="J3506" s="52">
        <v>3834.68</v>
      </c>
      <c r="K3506" s="67">
        <f t="shared" si="220"/>
        <v>110994.1588253724</v>
      </c>
      <c r="L3506" s="95">
        <f>+VLOOKUP(E3506,MARGEN!A:B,2,FALSE)</f>
        <v>0.1</v>
      </c>
      <c r="M3506" s="112">
        <f t="shared" si="217"/>
        <v>11099.415882537241</v>
      </c>
      <c r="N3506" s="113">
        <f t="shared" si="218"/>
        <v>443.97663530148964</v>
      </c>
      <c r="O3506" s="113">
        <f t="shared" si="219"/>
        <v>99450.766307533675</v>
      </c>
    </row>
    <row r="3507" spans="1:15" x14ac:dyDescent="0.25">
      <c r="A3507" s="43">
        <v>44465</v>
      </c>
      <c r="B3507" s="51">
        <v>4271</v>
      </c>
      <c r="C3507" s="66" t="s">
        <v>193</v>
      </c>
      <c r="D3507" s="66" t="s">
        <v>380</v>
      </c>
      <c r="E3507" t="s">
        <v>17</v>
      </c>
      <c r="F3507" s="50" t="s">
        <v>573</v>
      </c>
      <c r="G3507" s="50" t="s">
        <v>574</v>
      </c>
      <c r="H3507" s="50">
        <v>2</v>
      </c>
      <c r="I3507" s="100">
        <v>6.7391919697301583</v>
      </c>
      <c r="J3507" s="52">
        <v>3834.68</v>
      </c>
      <c r="K3507" s="67">
        <f t="shared" si="220"/>
        <v>110373.93535347277</v>
      </c>
      <c r="L3507" s="95">
        <f>+VLOOKUP(E3507,MARGEN!A:B,2,FALSE)</f>
        <v>0.1</v>
      </c>
      <c r="M3507" s="112">
        <f t="shared" si="217"/>
        <v>11037.393535347277</v>
      </c>
      <c r="N3507" s="113">
        <f t="shared" si="218"/>
        <v>441.4957414138911</v>
      </c>
      <c r="O3507" s="113">
        <f t="shared" si="219"/>
        <v>98895.046076711602</v>
      </c>
    </row>
    <row r="3508" spans="1:15" x14ac:dyDescent="0.25">
      <c r="A3508" s="43">
        <v>44465</v>
      </c>
      <c r="B3508" s="51">
        <v>3887</v>
      </c>
      <c r="C3508" s="66" t="s">
        <v>293</v>
      </c>
      <c r="D3508" s="66" t="s">
        <v>499</v>
      </c>
      <c r="E3508" t="s">
        <v>17</v>
      </c>
      <c r="F3508" s="50" t="s">
        <v>573</v>
      </c>
      <c r="G3508" s="50" t="s">
        <v>574</v>
      </c>
      <c r="H3508" s="50">
        <v>2</v>
      </c>
      <c r="I3508" s="100">
        <v>6.7391919697301583</v>
      </c>
      <c r="J3508" s="52">
        <v>3834.68</v>
      </c>
      <c r="K3508" s="67">
        <f t="shared" si="220"/>
        <v>100450.35980307858</v>
      </c>
      <c r="L3508" s="95">
        <f>+VLOOKUP(E3508,MARGEN!A:B,2,FALSE)</f>
        <v>0.1</v>
      </c>
      <c r="M3508" s="112">
        <f t="shared" si="217"/>
        <v>10045.035980307859</v>
      </c>
      <c r="N3508" s="113">
        <f t="shared" si="218"/>
        <v>401.80143921231434</v>
      </c>
      <c r="O3508" s="113">
        <f t="shared" si="219"/>
        <v>90003.522383558404</v>
      </c>
    </row>
    <row r="3509" spans="1:15" x14ac:dyDescent="0.25">
      <c r="A3509" s="13">
        <v>44465</v>
      </c>
      <c r="B3509" s="97">
        <v>3863</v>
      </c>
      <c r="C3509" t="s">
        <v>301</v>
      </c>
      <c r="D3509" t="s">
        <v>521</v>
      </c>
      <c r="E3509" t="s">
        <v>17</v>
      </c>
      <c r="F3509" t="s">
        <v>566</v>
      </c>
      <c r="G3509" s="50" t="s">
        <v>574</v>
      </c>
      <c r="H3509" s="50">
        <v>2</v>
      </c>
      <c r="I3509" s="100">
        <v>6.7391919697301583</v>
      </c>
      <c r="J3509" s="52">
        <v>3834.68</v>
      </c>
      <c r="K3509" s="67">
        <f t="shared" si="220"/>
        <v>99830.136331178932</v>
      </c>
      <c r="L3509" s="95">
        <f>+VLOOKUP(E3509,MARGEN!A:B,2,FALSE)</f>
        <v>0.1</v>
      </c>
      <c r="M3509" s="112">
        <f t="shared" si="217"/>
        <v>9983.0136331178946</v>
      </c>
      <c r="N3509" s="113">
        <f t="shared" si="218"/>
        <v>399.32054532471574</v>
      </c>
      <c r="O3509" s="113">
        <f t="shared" si="219"/>
        <v>89447.802152736316</v>
      </c>
    </row>
    <row r="3510" spans="1:15" x14ac:dyDescent="0.25">
      <c r="A3510" s="43">
        <v>44465</v>
      </c>
      <c r="B3510" s="51">
        <v>3599</v>
      </c>
      <c r="C3510" s="66" t="s">
        <v>192</v>
      </c>
      <c r="D3510" s="66" t="s">
        <v>347</v>
      </c>
      <c r="E3510" t="s">
        <v>17</v>
      </c>
      <c r="F3510" s="50" t="s">
        <v>573</v>
      </c>
      <c r="G3510" s="50" t="s">
        <v>574</v>
      </c>
      <c r="H3510" s="50">
        <v>2</v>
      </c>
      <c r="I3510" s="100">
        <v>6.7391919697301583</v>
      </c>
      <c r="J3510" s="52">
        <v>3834.68</v>
      </c>
      <c r="K3510" s="67">
        <f t="shared" si="220"/>
        <v>93007.678140282951</v>
      </c>
      <c r="L3510" s="95">
        <f>+VLOOKUP(E3510,MARGEN!A:B,2,FALSE)</f>
        <v>0.1</v>
      </c>
      <c r="M3510" s="112">
        <f t="shared" si="217"/>
        <v>9300.7678140282951</v>
      </c>
      <c r="N3510" s="113">
        <f t="shared" si="218"/>
        <v>372.03071256113179</v>
      </c>
      <c r="O3510" s="113">
        <f t="shared" si="219"/>
        <v>83334.879613693527</v>
      </c>
    </row>
    <row r="3511" spans="1:15" x14ac:dyDescent="0.25">
      <c r="A3511" s="43">
        <v>44465</v>
      </c>
      <c r="B3511" s="51">
        <v>3503</v>
      </c>
      <c r="C3511" s="66" t="s">
        <v>144</v>
      </c>
      <c r="D3511" s="66" t="s">
        <v>343</v>
      </c>
      <c r="E3511" t="s">
        <v>17</v>
      </c>
      <c r="F3511" s="50" t="s">
        <v>573</v>
      </c>
      <c r="G3511" s="50" t="s">
        <v>574</v>
      </c>
      <c r="H3511" s="50">
        <v>2</v>
      </c>
      <c r="I3511" s="100">
        <v>6.7391919697301583</v>
      </c>
      <c r="J3511" s="52">
        <v>3834.68</v>
      </c>
      <c r="K3511" s="67">
        <f t="shared" si="220"/>
        <v>90526.784252684418</v>
      </c>
      <c r="L3511" s="95">
        <f>+VLOOKUP(E3511,MARGEN!A:B,2,FALSE)</f>
        <v>0.1</v>
      </c>
      <c r="M3511" s="112">
        <f t="shared" si="217"/>
        <v>9052.6784252684429</v>
      </c>
      <c r="N3511" s="113">
        <f t="shared" si="218"/>
        <v>362.10713701073769</v>
      </c>
      <c r="O3511" s="113">
        <f t="shared" si="219"/>
        <v>81111.998690405235</v>
      </c>
    </row>
    <row r="3512" spans="1:15" x14ac:dyDescent="0.25">
      <c r="A3512" s="43">
        <v>44465</v>
      </c>
      <c r="B3512" s="51">
        <v>3335</v>
      </c>
      <c r="C3512" s="66" t="s">
        <v>149</v>
      </c>
      <c r="D3512" s="66" t="s">
        <v>325</v>
      </c>
      <c r="E3512" t="s">
        <v>17</v>
      </c>
      <c r="F3512" s="50" t="s">
        <v>573</v>
      </c>
      <c r="G3512" s="50" t="s">
        <v>574</v>
      </c>
      <c r="H3512" s="50">
        <v>2</v>
      </c>
      <c r="I3512" s="100">
        <v>6.7391919697301583</v>
      </c>
      <c r="J3512" s="52">
        <v>3834.68</v>
      </c>
      <c r="K3512" s="67">
        <f t="shared" si="220"/>
        <v>86185.219949386941</v>
      </c>
      <c r="L3512" s="95">
        <f>+VLOOKUP(E3512,MARGEN!A:B,2,FALSE)</f>
        <v>0.1</v>
      </c>
      <c r="M3512" s="112">
        <f t="shared" si="217"/>
        <v>8618.5219949386938</v>
      </c>
      <c r="N3512" s="113">
        <f t="shared" si="218"/>
        <v>344.74087979754779</v>
      </c>
      <c r="O3512" s="113">
        <f t="shared" si="219"/>
        <v>77221.957074650694</v>
      </c>
    </row>
    <row r="3513" spans="1:15" x14ac:dyDescent="0.25">
      <c r="A3513" s="43">
        <v>44465</v>
      </c>
      <c r="B3513" s="51">
        <v>3311</v>
      </c>
      <c r="C3513" s="66" t="s">
        <v>309</v>
      </c>
      <c r="D3513" s="66" t="s">
        <v>544</v>
      </c>
      <c r="E3513" t="s">
        <v>17</v>
      </c>
      <c r="F3513" s="50" t="s">
        <v>573</v>
      </c>
      <c r="G3513" s="50" t="s">
        <v>574</v>
      </c>
      <c r="H3513" s="50">
        <v>2</v>
      </c>
      <c r="I3513" s="100">
        <v>6.7391919697301583</v>
      </c>
      <c r="J3513" s="52">
        <v>3834.68</v>
      </c>
      <c r="K3513" s="67">
        <f t="shared" si="220"/>
        <v>85564.996477487308</v>
      </c>
      <c r="L3513" s="95">
        <f>+VLOOKUP(E3513,MARGEN!A:B,2,FALSE)</f>
        <v>0.1</v>
      </c>
      <c r="M3513" s="112">
        <f t="shared" si="217"/>
        <v>8556.4996477487311</v>
      </c>
      <c r="N3513" s="113">
        <f t="shared" si="218"/>
        <v>342.25998590994925</v>
      </c>
      <c r="O3513" s="113">
        <f t="shared" si="219"/>
        <v>76666.236843828636</v>
      </c>
    </row>
    <row r="3514" spans="1:15" x14ac:dyDescent="0.25">
      <c r="A3514" s="43">
        <v>44465</v>
      </c>
      <c r="B3514" s="51">
        <v>2903</v>
      </c>
      <c r="C3514" s="66" t="s">
        <v>134</v>
      </c>
      <c r="D3514" s="66" t="s">
        <v>362</v>
      </c>
      <c r="E3514" t="s">
        <v>17</v>
      </c>
      <c r="F3514" s="50" t="s">
        <v>573</v>
      </c>
      <c r="G3514" s="50" t="s">
        <v>574</v>
      </c>
      <c r="H3514" s="50">
        <v>2</v>
      </c>
      <c r="I3514" s="100">
        <v>6.7391919697301583</v>
      </c>
      <c r="J3514" s="52">
        <v>3834.68</v>
      </c>
      <c r="K3514" s="67">
        <f t="shared" si="220"/>
        <v>75021.197455193484</v>
      </c>
      <c r="L3514" s="95">
        <f>+VLOOKUP(E3514,MARGEN!A:B,2,FALSE)</f>
        <v>0.1</v>
      </c>
      <c r="M3514" s="112">
        <f t="shared" si="217"/>
        <v>7502.1197455193487</v>
      </c>
      <c r="N3514" s="113">
        <f t="shared" si="218"/>
        <v>300.08478982077395</v>
      </c>
      <c r="O3514" s="113">
        <f t="shared" si="219"/>
        <v>67218.992919853365</v>
      </c>
    </row>
    <row r="3515" spans="1:15" x14ac:dyDescent="0.25">
      <c r="A3515" s="43">
        <v>44465</v>
      </c>
      <c r="B3515" s="51">
        <v>2855</v>
      </c>
      <c r="C3515" s="66" t="s">
        <v>165</v>
      </c>
      <c r="D3515" s="66" t="s">
        <v>375</v>
      </c>
      <c r="E3515" t="s">
        <v>17</v>
      </c>
      <c r="F3515" s="50" t="s">
        <v>573</v>
      </c>
      <c r="G3515" s="50" t="s">
        <v>574</v>
      </c>
      <c r="H3515" s="50">
        <v>2</v>
      </c>
      <c r="I3515" s="100">
        <v>6.7391919697301583</v>
      </c>
      <c r="J3515" s="52">
        <v>3834.68</v>
      </c>
      <c r="K3515" s="67">
        <f t="shared" si="220"/>
        <v>73780.750511394232</v>
      </c>
      <c r="L3515" s="95">
        <f>+VLOOKUP(E3515,MARGEN!A:B,2,FALSE)</f>
        <v>0.1</v>
      </c>
      <c r="M3515" s="112">
        <f t="shared" si="217"/>
        <v>7378.0750511394235</v>
      </c>
      <c r="N3515" s="113">
        <f t="shared" si="218"/>
        <v>295.12300204557692</v>
      </c>
      <c r="O3515" s="113">
        <f t="shared" si="219"/>
        <v>66107.552458209218</v>
      </c>
    </row>
    <row r="3516" spans="1:15" x14ac:dyDescent="0.25">
      <c r="A3516" s="43">
        <v>44465</v>
      </c>
      <c r="B3516" s="51">
        <v>2759</v>
      </c>
      <c r="C3516" s="66" t="s">
        <v>131</v>
      </c>
      <c r="D3516" s="66" t="s">
        <v>344</v>
      </c>
      <c r="E3516" t="s">
        <v>17</v>
      </c>
      <c r="F3516" s="50" t="s">
        <v>573</v>
      </c>
      <c r="G3516" s="50" t="s">
        <v>574</v>
      </c>
      <c r="H3516" s="50">
        <v>2</v>
      </c>
      <c r="I3516" s="100">
        <v>6.7391919697301583</v>
      </c>
      <c r="J3516" s="52">
        <v>3834.68</v>
      </c>
      <c r="K3516" s="67">
        <f t="shared" si="220"/>
        <v>71299.856623795669</v>
      </c>
      <c r="L3516" s="95">
        <f>+VLOOKUP(E3516,MARGEN!A:B,2,FALSE)</f>
        <v>0.1</v>
      </c>
      <c r="M3516" s="112">
        <f t="shared" si="217"/>
        <v>7129.9856623795677</v>
      </c>
      <c r="N3516" s="113">
        <f t="shared" si="218"/>
        <v>285.19942649518265</v>
      </c>
      <c r="O3516" s="113">
        <f t="shared" si="219"/>
        <v>63884.671534920926</v>
      </c>
    </row>
    <row r="3517" spans="1:15" x14ac:dyDescent="0.25">
      <c r="A3517" s="43">
        <v>44465</v>
      </c>
      <c r="B3517" s="51">
        <v>2567</v>
      </c>
      <c r="C3517" s="66" t="s">
        <v>132</v>
      </c>
      <c r="D3517" s="66" t="s">
        <v>376</v>
      </c>
      <c r="E3517" t="s">
        <v>17</v>
      </c>
      <c r="F3517" s="50" t="s">
        <v>573</v>
      </c>
      <c r="G3517" s="50" t="s">
        <v>574</v>
      </c>
      <c r="H3517" s="50">
        <v>2</v>
      </c>
      <c r="I3517" s="100">
        <v>6.7391919697301583</v>
      </c>
      <c r="J3517" s="52">
        <v>3834.68</v>
      </c>
      <c r="K3517" s="67">
        <f t="shared" si="220"/>
        <v>66338.068848598588</v>
      </c>
      <c r="L3517" s="95">
        <f>+VLOOKUP(E3517,MARGEN!A:B,2,FALSE)</f>
        <v>0.1</v>
      </c>
      <c r="M3517" s="112">
        <f t="shared" si="217"/>
        <v>6633.8068848598596</v>
      </c>
      <c r="N3517" s="113">
        <f t="shared" si="218"/>
        <v>265.35227539439433</v>
      </c>
      <c r="O3517" s="113">
        <f t="shared" si="219"/>
        <v>59438.909688344334</v>
      </c>
    </row>
    <row r="3518" spans="1:15" x14ac:dyDescent="0.25">
      <c r="A3518" s="43">
        <v>44465</v>
      </c>
      <c r="B3518" s="51">
        <v>2567</v>
      </c>
      <c r="C3518" s="66" t="s">
        <v>310</v>
      </c>
      <c r="D3518" s="66" t="s">
        <v>540</v>
      </c>
      <c r="E3518" t="s">
        <v>17</v>
      </c>
      <c r="F3518" s="50" t="s">
        <v>573</v>
      </c>
      <c r="G3518" s="50" t="s">
        <v>574</v>
      </c>
      <c r="H3518" s="50">
        <v>2</v>
      </c>
      <c r="I3518" s="100">
        <v>6.7391919697301583</v>
      </c>
      <c r="J3518" s="52">
        <v>3834.68</v>
      </c>
      <c r="K3518" s="67">
        <f t="shared" si="220"/>
        <v>66338.068848598588</v>
      </c>
      <c r="L3518" s="95">
        <f>+VLOOKUP(E3518,MARGEN!A:B,2,FALSE)</f>
        <v>0.1</v>
      </c>
      <c r="M3518" s="112">
        <f t="shared" si="217"/>
        <v>6633.8068848598596</v>
      </c>
      <c r="N3518" s="113">
        <f t="shared" si="218"/>
        <v>265.35227539439433</v>
      </c>
      <c r="O3518" s="113">
        <f t="shared" si="219"/>
        <v>59438.909688344334</v>
      </c>
    </row>
    <row r="3519" spans="1:15" x14ac:dyDescent="0.25">
      <c r="A3519" s="43">
        <v>44465</v>
      </c>
      <c r="B3519" s="51">
        <v>2399</v>
      </c>
      <c r="C3519" s="66" t="s">
        <v>186</v>
      </c>
      <c r="D3519" s="66" t="s">
        <v>440</v>
      </c>
      <c r="E3519" t="s">
        <v>17</v>
      </c>
      <c r="F3519" s="50" t="s">
        <v>573</v>
      </c>
      <c r="G3519" s="50" t="s">
        <v>574</v>
      </c>
      <c r="H3519" s="50">
        <v>2</v>
      </c>
      <c r="I3519" s="100">
        <v>6.7391919697301583</v>
      </c>
      <c r="J3519" s="52">
        <v>3834.68</v>
      </c>
      <c r="K3519" s="67">
        <f t="shared" si="220"/>
        <v>61996.504545301133</v>
      </c>
      <c r="L3519" s="95">
        <f>+VLOOKUP(E3519,MARGEN!A:B,2,FALSE)</f>
        <v>0.1</v>
      </c>
      <c r="M3519" s="112">
        <f t="shared" si="217"/>
        <v>6199.6504545301141</v>
      </c>
      <c r="N3519" s="113">
        <f t="shared" si="218"/>
        <v>247.98601818120454</v>
      </c>
      <c r="O3519" s="113">
        <f t="shared" si="219"/>
        <v>55548.868072589816</v>
      </c>
    </row>
    <row r="3520" spans="1:15" x14ac:dyDescent="0.25">
      <c r="A3520" s="13">
        <v>44465</v>
      </c>
      <c r="B3520" s="97">
        <v>2303</v>
      </c>
      <c r="C3520" t="s">
        <v>128</v>
      </c>
      <c r="D3520" t="s">
        <v>416</v>
      </c>
      <c r="E3520" t="s">
        <v>17</v>
      </c>
      <c r="F3520" t="s">
        <v>573</v>
      </c>
      <c r="G3520" s="50" t="s">
        <v>574</v>
      </c>
      <c r="H3520" s="50">
        <v>2</v>
      </c>
      <c r="I3520" s="100">
        <v>6.7391919697301583</v>
      </c>
      <c r="J3520" s="52">
        <v>3834.68</v>
      </c>
      <c r="K3520" s="67">
        <f t="shared" si="220"/>
        <v>59515.610657702593</v>
      </c>
      <c r="L3520" s="95">
        <f>+VLOOKUP(E3520,MARGEN!A:B,2,FALSE)</f>
        <v>0.1</v>
      </c>
      <c r="M3520" s="112">
        <f t="shared" si="217"/>
        <v>5951.56106577026</v>
      </c>
      <c r="N3520" s="113">
        <f t="shared" si="218"/>
        <v>238.06244263081038</v>
      </c>
      <c r="O3520" s="113">
        <f t="shared" si="219"/>
        <v>53325.987149301516</v>
      </c>
    </row>
    <row r="3521" spans="1:15" x14ac:dyDescent="0.25">
      <c r="A3521" s="43">
        <v>44465</v>
      </c>
      <c r="B3521" s="51">
        <v>2303</v>
      </c>
      <c r="C3521" s="66" t="s">
        <v>130</v>
      </c>
      <c r="D3521" s="66" t="s">
        <v>367</v>
      </c>
      <c r="E3521" t="s">
        <v>17</v>
      </c>
      <c r="F3521" s="50" t="s">
        <v>573</v>
      </c>
      <c r="G3521" s="50" t="s">
        <v>574</v>
      </c>
      <c r="H3521" s="50">
        <v>2</v>
      </c>
      <c r="I3521" s="100">
        <v>6.7391919697301583</v>
      </c>
      <c r="J3521" s="52">
        <v>3834.68</v>
      </c>
      <c r="K3521" s="67">
        <f t="shared" si="220"/>
        <v>59515.610657702593</v>
      </c>
      <c r="L3521" s="95">
        <f>+VLOOKUP(E3521,MARGEN!A:B,2,FALSE)</f>
        <v>0.1</v>
      </c>
      <c r="M3521" s="112">
        <f t="shared" si="217"/>
        <v>5951.56106577026</v>
      </c>
      <c r="N3521" s="113">
        <f t="shared" si="218"/>
        <v>238.06244263081038</v>
      </c>
      <c r="O3521" s="113">
        <f t="shared" si="219"/>
        <v>53325.987149301516</v>
      </c>
    </row>
    <row r="3522" spans="1:15" x14ac:dyDescent="0.25">
      <c r="A3522" s="43">
        <v>44465</v>
      </c>
      <c r="B3522" s="51">
        <v>2231</v>
      </c>
      <c r="C3522" s="66" t="s">
        <v>126</v>
      </c>
      <c r="D3522" s="66" t="s">
        <v>438</v>
      </c>
      <c r="E3522" t="s">
        <v>17</v>
      </c>
      <c r="F3522" s="50" t="s">
        <v>573</v>
      </c>
      <c r="G3522" s="50" t="s">
        <v>574</v>
      </c>
      <c r="H3522" s="50">
        <v>2</v>
      </c>
      <c r="I3522" s="100">
        <v>6.7391919697301583</v>
      </c>
      <c r="J3522" s="52">
        <v>3834.68</v>
      </c>
      <c r="K3522" s="67">
        <f t="shared" si="220"/>
        <v>57654.940242003679</v>
      </c>
      <c r="L3522" s="95">
        <f>+VLOOKUP(E3522,MARGEN!A:B,2,FALSE)</f>
        <v>0.1</v>
      </c>
      <c r="M3522" s="112">
        <f t="shared" si="217"/>
        <v>5765.4940242003686</v>
      </c>
      <c r="N3522" s="113">
        <f t="shared" si="218"/>
        <v>230.6197609680147</v>
      </c>
      <c r="O3522" s="113">
        <f t="shared" si="219"/>
        <v>51658.826456835297</v>
      </c>
    </row>
    <row r="3523" spans="1:15" x14ac:dyDescent="0.25">
      <c r="A3523" s="43">
        <v>44465</v>
      </c>
      <c r="B3523" s="51">
        <v>2207</v>
      </c>
      <c r="C3523" s="66" t="s">
        <v>162</v>
      </c>
      <c r="D3523" s="66" t="s">
        <v>391</v>
      </c>
      <c r="E3523" t="s">
        <v>17</v>
      </c>
      <c r="F3523" s="50" t="s">
        <v>566</v>
      </c>
      <c r="G3523" s="50" t="s">
        <v>574</v>
      </c>
      <c r="H3523" s="50">
        <v>2</v>
      </c>
      <c r="I3523" s="100">
        <v>6.7391919697301583</v>
      </c>
      <c r="J3523" s="52">
        <v>3834.68</v>
      </c>
      <c r="K3523" s="67">
        <f t="shared" si="220"/>
        <v>57034.716770104053</v>
      </c>
      <c r="L3523" s="95">
        <f>+VLOOKUP(E3523,MARGEN!A:B,2,FALSE)</f>
        <v>0.1</v>
      </c>
      <c r="M3523" s="112">
        <f t="shared" ref="M3523:M3586" si="221">+K3523*L3523</f>
        <v>5703.471677010406</v>
      </c>
      <c r="N3523" s="113">
        <f t="shared" ref="N3523:N3586" si="222">+K3523*4/1000</f>
        <v>228.13886708041622</v>
      </c>
      <c r="O3523" s="113">
        <f t="shared" ref="O3523:O3586" si="223">+K3523-M3523-N3523</f>
        <v>51103.106226013231</v>
      </c>
    </row>
    <row r="3524" spans="1:15" x14ac:dyDescent="0.25">
      <c r="A3524" s="43">
        <v>44465</v>
      </c>
      <c r="B3524" s="51">
        <v>2183</v>
      </c>
      <c r="C3524" s="66" t="s">
        <v>305</v>
      </c>
      <c r="D3524" s="66" t="s">
        <v>523</v>
      </c>
      <c r="E3524" t="s">
        <v>17</v>
      </c>
      <c r="F3524" s="50" t="s">
        <v>566</v>
      </c>
      <c r="G3524" s="50" t="s">
        <v>574</v>
      </c>
      <c r="H3524" s="50">
        <v>2</v>
      </c>
      <c r="I3524" s="100">
        <v>6.7391919697301583</v>
      </c>
      <c r="J3524" s="52">
        <v>3834.68</v>
      </c>
      <c r="K3524" s="67">
        <f t="shared" si="220"/>
        <v>56414.493298204405</v>
      </c>
      <c r="L3524" s="95">
        <f>+VLOOKUP(E3524,MARGEN!A:B,2,FALSE)</f>
        <v>0.1</v>
      </c>
      <c r="M3524" s="112">
        <f t="shared" si="221"/>
        <v>5641.4493298204407</v>
      </c>
      <c r="N3524" s="113">
        <f t="shared" si="222"/>
        <v>225.65797319281762</v>
      </c>
      <c r="O3524" s="113">
        <f t="shared" si="223"/>
        <v>50547.385995191151</v>
      </c>
    </row>
    <row r="3525" spans="1:15" x14ac:dyDescent="0.25">
      <c r="A3525" s="13">
        <v>44465</v>
      </c>
      <c r="B3525" s="97">
        <v>2159</v>
      </c>
      <c r="C3525" t="s">
        <v>281</v>
      </c>
      <c r="D3525" t="s">
        <v>495</v>
      </c>
      <c r="E3525" t="s">
        <v>17</v>
      </c>
      <c r="F3525" t="s">
        <v>573</v>
      </c>
      <c r="G3525" s="50" t="s">
        <v>574</v>
      </c>
      <c r="H3525" s="50">
        <v>2</v>
      </c>
      <c r="I3525" s="100">
        <v>6.7391919697301583</v>
      </c>
      <c r="J3525" s="52">
        <v>3834.68</v>
      </c>
      <c r="K3525" s="67">
        <f t="shared" si="220"/>
        <v>55794.269826304779</v>
      </c>
      <c r="L3525" s="95">
        <f>+VLOOKUP(E3525,MARGEN!A:B,2,FALSE)</f>
        <v>0.1</v>
      </c>
      <c r="M3525" s="112">
        <f t="shared" si="221"/>
        <v>5579.4269826304781</v>
      </c>
      <c r="N3525" s="113">
        <f t="shared" si="222"/>
        <v>223.17707930521911</v>
      </c>
      <c r="O3525" s="113">
        <f t="shared" si="223"/>
        <v>49991.665764369078</v>
      </c>
    </row>
    <row r="3526" spans="1:15" x14ac:dyDescent="0.25">
      <c r="A3526" s="43">
        <v>44465</v>
      </c>
      <c r="B3526" s="51">
        <v>2135</v>
      </c>
      <c r="C3526" s="66" t="s">
        <v>312</v>
      </c>
      <c r="D3526" s="66" t="s">
        <v>542</v>
      </c>
      <c r="E3526" t="s">
        <v>17</v>
      </c>
      <c r="F3526" s="50" t="s">
        <v>573</v>
      </c>
      <c r="G3526" s="50" t="s">
        <v>574</v>
      </c>
      <c r="H3526" s="50">
        <v>2</v>
      </c>
      <c r="I3526" s="100">
        <v>6.7391919697301583</v>
      </c>
      <c r="J3526" s="52">
        <v>3834.68</v>
      </c>
      <c r="K3526" s="67">
        <f t="shared" si="220"/>
        <v>55174.046354405145</v>
      </c>
      <c r="L3526" s="95">
        <f>+VLOOKUP(E3526,MARGEN!A:B,2,FALSE)</f>
        <v>0.1</v>
      </c>
      <c r="M3526" s="112">
        <f t="shared" si="221"/>
        <v>5517.4046354405145</v>
      </c>
      <c r="N3526" s="113">
        <f t="shared" si="222"/>
        <v>220.69618541762057</v>
      </c>
      <c r="O3526" s="113">
        <f t="shared" si="223"/>
        <v>49435.945533547012</v>
      </c>
    </row>
    <row r="3527" spans="1:15" x14ac:dyDescent="0.25">
      <c r="A3527" s="43">
        <v>44465</v>
      </c>
      <c r="B3527" s="51">
        <v>2111</v>
      </c>
      <c r="C3527" s="66" t="s">
        <v>122</v>
      </c>
      <c r="D3527" s="66" t="s">
        <v>446</v>
      </c>
      <c r="E3527" t="s">
        <v>17</v>
      </c>
      <c r="F3527" s="50" t="s">
        <v>573</v>
      </c>
      <c r="G3527" s="50" t="s">
        <v>574</v>
      </c>
      <c r="H3527" s="50">
        <v>2</v>
      </c>
      <c r="I3527" s="100">
        <v>6.7391919697301583</v>
      </c>
      <c r="J3527" s="52">
        <v>3834.68</v>
      </c>
      <c r="K3527" s="67">
        <f t="shared" si="220"/>
        <v>54553.822882505498</v>
      </c>
      <c r="L3527" s="95">
        <f>+VLOOKUP(E3527,MARGEN!A:B,2,FALSE)</f>
        <v>0.1</v>
      </c>
      <c r="M3527" s="112">
        <f t="shared" si="221"/>
        <v>5455.3822882505501</v>
      </c>
      <c r="N3527" s="113">
        <f t="shared" si="222"/>
        <v>218.215291530022</v>
      </c>
      <c r="O3527" s="113">
        <f t="shared" si="223"/>
        <v>48880.225302724924</v>
      </c>
    </row>
    <row r="3528" spans="1:15" x14ac:dyDescent="0.25">
      <c r="A3528" s="43">
        <v>44465</v>
      </c>
      <c r="B3528" s="51">
        <v>2063</v>
      </c>
      <c r="C3528" s="66" t="s">
        <v>157</v>
      </c>
      <c r="D3528" s="66" t="s">
        <v>435</v>
      </c>
      <c r="E3528" t="s">
        <v>17</v>
      </c>
      <c r="F3528" s="50" t="s">
        <v>573</v>
      </c>
      <c r="G3528" s="50" t="s">
        <v>574</v>
      </c>
      <c r="H3528" s="50">
        <v>2</v>
      </c>
      <c r="I3528" s="100">
        <v>6.7391919697301583</v>
      </c>
      <c r="J3528" s="52">
        <v>3834.68</v>
      </c>
      <c r="K3528" s="67">
        <f t="shared" si="220"/>
        <v>53313.375938706224</v>
      </c>
      <c r="L3528" s="95">
        <f>+VLOOKUP(E3528,MARGEN!A:B,2,FALSE)</f>
        <v>0.1</v>
      </c>
      <c r="M3528" s="112">
        <f t="shared" si="221"/>
        <v>5331.3375938706231</v>
      </c>
      <c r="N3528" s="113">
        <f t="shared" si="222"/>
        <v>213.25350375482489</v>
      </c>
      <c r="O3528" s="113">
        <f t="shared" si="223"/>
        <v>47768.784841080778</v>
      </c>
    </row>
    <row r="3529" spans="1:15" x14ac:dyDescent="0.25">
      <c r="A3529" s="43">
        <v>44465</v>
      </c>
      <c r="B3529" s="51">
        <v>2015</v>
      </c>
      <c r="C3529" s="66" t="s">
        <v>284</v>
      </c>
      <c r="D3529" s="66" t="s">
        <v>525</v>
      </c>
      <c r="E3529" t="s">
        <v>17</v>
      </c>
      <c r="F3529" s="50" t="s">
        <v>566</v>
      </c>
      <c r="G3529" s="50" t="s">
        <v>574</v>
      </c>
      <c r="H3529" s="50">
        <v>2</v>
      </c>
      <c r="I3529" s="100">
        <v>6.7391919697301583</v>
      </c>
      <c r="J3529" s="52">
        <v>3834.68</v>
      </c>
      <c r="K3529" s="67">
        <f t="shared" ref="K3529:K3592" si="224">+B3529*I3529*J3529/1000</f>
        <v>52072.928994906957</v>
      </c>
      <c r="L3529" s="95">
        <f>+VLOOKUP(E3529,MARGEN!A:B,2,FALSE)</f>
        <v>0.1</v>
      </c>
      <c r="M3529" s="112">
        <f t="shared" si="221"/>
        <v>5207.2928994906961</v>
      </c>
      <c r="N3529" s="113">
        <f t="shared" si="222"/>
        <v>208.29171597962784</v>
      </c>
      <c r="O3529" s="113">
        <f t="shared" si="223"/>
        <v>46657.344379436632</v>
      </c>
    </row>
    <row r="3530" spans="1:15" x14ac:dyDescent="0.25">
      <c r="A3530" s="43">
        <v>44465</v>
      </c>
      <c r="B3530" s="51">
        <v>2015</v>
      </c>
      <c r="C3530" s="66" t="s">
        <v>123</v>
      </c>
      <c r="D3530" s="66" t="s">
        <v>396</v>
      </c>
      <c r="E3530" t="s">
        <v>17</v>
      </c>
      <c r="F3530" s="50" t="s">
        <v>573</v>
      </c>
      <c r="G3530" s="50" t="s">
        <v>574</v>
      </c>
      <c r="H3530" s="50">
        <v>2</v>
      </c>
      <c r="I3530" s="100">
        <v>6.7391919697301583</v>
      </c>
      <c r="J3530" s="52">
        <v>3834.68</v>
      </c>
      <c r="K3530" s="67">
        <f t="shared" si="224"/>
        <v>52072.928994906957</v>
      </c>
      <c r="L3530" s="95">
        <f>+VLOOKUP(E3530,MARGEN!A:B,2,FALSE)</f>
        <v>0.1</v>
      </c>
      <c r="M3530" s="112">
        <f t="shared" si="221"/>
        <v>5207.2928994906961</v>
      </c>
      <c r="N3530" s="113">
        <f t="shared" si="222"/>
        <v>208.29171597962784</v>
      </c>
      <c r="O3530" s="113">
        <f t="shared" si="223"/>
        <v>46657.344379436632</v>
      </c>
    </row>
    <row r="3531" spans="1:15" x14ac:dyDescent="0.25">
      <c r="A3531" s="43">
        <v>44465</v>
      </c>
      <c r="B3531" s="51">
        <v>2015</v>
      </c>
      <c r="C3531" s="66" t="s">
        <v>156</v>
      </c>
      <c r="D3531" s="66" t="s">
        <v>429</v>
      </c>
      <c r="E3531" t="s">
        <v>17</v>
      </c>
      <c r="F3531" s="50" t="s">
        <v>573</v>
      </c>
      <c r="G3531" s="50" t="s">
        <v>574</v>
      </c>
      <c r="H3531" s="50">
        <v>2</v>
      </c>
      <c r="I3531" s="100">
        <v>6.7391919697301583</v>
      </c>
      <c r="J3531" s="52">
        <v>3834.68</v>
      </c>
      <c r="K3531" s="67">
        <f t="shared" si="224"/>
        <v>52072.928994906957</v>
      </c>
      <c r="L3531" s="95">
        <f>+VLOOKUP(E3531,MARGEN!A:B,2,FALSE)</f>
        <v>0.1</v>
      </c>
      <c r="M3531" s="112">
        <f t="shared" si="221"/>
        <v>5207.2928994906961</v>
      </c>
      <c r="N3531" s="113">
        <f t="shared" si="222"/>
        <v>208.29171597962784</v>
      </c>
      <c r="O3531" s="113">
        <f t="shared" si="223"/>
        <v>46657.344379436632</v>
      </c>
    </row>
    <row r="3532" spans="1:15" x14ac:dyDescent="0.25">
      <c r="A3532" s="43">
        <v>44465</v>
      </c>
      <c r="B3532" s="51">
        <v>1991</v>
      </c>
      <c r="C3532" s="66" t="s">
        <v>146</v>
      </c>
      <c r="D3532" s="66" t="s">
        <v>348</v>
      </c>
      <c r="E3532" t="s">
        <v>17</v>
      </c>
      <c r="F3532" s="50" t="s">
        <v>573</v>
      </c>
      <c r="G3532" s="50" t="s">
        <v>574</v>
      </c>
      <c r="H3532" s="50">
        <v>2</v>
      </c>
      <c r="I3532" s="100">
        <v>6.7391919697301583</v>
      </c>
      <c r="J3532" s="52">
        <v>3834.68</v>
      </c>
      <c r="K3532" s="67">
        <f t="shared" si="224"/>
        <v>51452.705523007324</v>
      </c>
      <c r="L3532" s="95">
        <f>+VLOOKUP(E3532,MARGEN!A:B,2,FALSE)</f>
        <v>0.1</v>
      </c>
      <c r="M3532" s="112">
        <f t="shared" si="221"/>
        <v>5145.2705523007326</v>
      </c>
      <c r="N3532" s="113">
        <f t="shared" si="222"/>
        <v>205.8108220920293</v>
      </c>
      <c r="O3532" s="113">
        <f t="shared" si="223"/>
        <v>46101.624148614566</v>
      </c>
    </row>
    <row r="3533" spans="1:15" x14ac:dyDescent="0.25">
      <c r="A3533" s="43">
        <v>44465</v>
      </c>
      <c r="B3533" s="51">
        <v>1991</v>
      </c>
      <c r="C3533" s="66" t="s">
        <v>306</v>
      </c>
      <c r="D3533" s="66" t="s">
        <v>524</v>
      </c>
      <c r="E3533" t="s">
        <v>17</v>
      </c>
      <c r="F3533" s="50" t="s">
        <v>566</v>
      </c>
      <c r="G3533" s="50" t="s">
        <v>574</v>
      </c>
      <c r="H3533" s="50">
        <v>2</v>
      </c>
      <c r="I3533" s="100">
        <v>6.7391919697301583</v>
      </c>
      <c r="J3533" s="52">
        <v>3834.68</v>
      </c>
      <c r="K3533" s="67">
        <f t="shared" si="224"/>
        <v>51452.705523007324</v>
      </c>
      <c r="L3533" s="95">
        <f>+VLOOKUP(E3533,MARGEN!A:B,2,FALSE)</f>
        <v>0.1</v>
      </c>
      <c r="M3533" s="112">
        <f t="shared" si="221"/>
        <v>5145.2705523007326</v>
      </c>
      <c r="N3533" s="113">
        <f t="shared" si="222"/>
        <v>205.8108220920293</v>
      </c>
      <c r="O3533" s="113">
        <f t="shared" si="223"/>
        <v>46101.624148614566</v>
      </c>
    </row>
    <row r="3534" spans="1:15" x14ac:dyDescent="0.25">
      <c r="A3534" s="43">
        <v>44465</v>
      </c>
      <c r="B3534" s="51">
        <v>1991</v>
      </c>
      <c r="C3534" s="66" t="s">
        <v>282</v>
      </c>
      <c r="D3534" s="66" t="s">
        <v>494</v>
      </c>
      <c r="E3534" t="s">
        <v>17</v>
      </c>
      <c r="F3534" s="50" t="s">
        <v>573</v>
      </c>
      <c r="G3534" s="50" t="s">
        <v>574</v>
      </c>
      <c r="H3534" s="50">
        <v>2</v>
      </c>
      <c r="I3534" s="100">
        <v>6.7391919697301583</v>
      </c>
      <c r="J3534" s="52">
        <v>3834.68</v>
      </c>
      <c r="K3534" s="67">
        <f t="shared" si="224"/>
        <v>51452.705523007324</v>
      </c>
      <c r="L3534" s="95">
        <f>+VLOOKUP(E3534,MARGEN!A:B,2,FALSE)</f>
        <v>0.1</v>
      </c>
      <c r="M3534" s="112">
        <f t="shared" si="221"/>
        <v>5145.2705523007326</v>
      </c>
      <c r="N3534" s="113">
        <f t="shared" si="222"/>
        <v>205.8108220920293</v>
      </c>
      <c r="O3534" s="113">
        <f t="shared" si="223"/>
        <v>46101.624148614566</v>
      </c>
    </row>
    <row r="3535" spans="1:15" x14ac:dyDescent="0.25">
      <c r="A3535" s="43">
        <v>44465</v>
      </c>
      <c r="B3535" s="51">
        <v>1823</v>
      </c>
      <c r="C3535" s="66" t="s">
        <v>295</v>
      </c>
      <c r="D3535" s="66" t="s">
        <v>532</v>
      </c>
      <c r="E3535" t="s">
        <v>17</v>
      </c>
      <c r="F3535" s="50" t="s">
        <v>573</v>
      </c>
      <c r="G3535" s="50" t="s">
        <v>574</v>
      </c>
      <c r="H3535" s="50">
        <v>2</v>
      </c>
      <c r="I3535" s="100">
        <v>6.7391919697301583</v>
      </c>
      <c r="J3535" s="52">
        <v>3834.68</v>
      </c>
      <c r="K3535" s="67">
        <f t="shared" si="224"/>
        <v>47111.141219709876</v>
      </c>
      <c r="L3535" s="95">
        <f>+VLOOKUP(E3535,MARGEN!A:B,2,FALSE)</f>
        <v>0.1</v>
      </c>
      <c r="M3535" s="112">
        <f t="shared" si="221"/>
        <v>4711.114121970988</v>
      </c>
      <c r="N3535" s="113">
        <f t="shared" si="222"/>
        <v>188.44456487883951</v>
      </c>
      <c r="O3535" s="113">
        <f t="shared" si="223"/>
        <v>42211.582532860048</v>
      </c>
    </row>
    <row r="3536" spans="1:15" x14ac:dyDescent="0.25">
      <c r="A3536" s="43">
        <v>44465</v>
      </c>
      <c r="B3536" s="51">
        <v>1799</v>
      </c>
      <c r="C3536" s="66" t="s">
        <v>125</v>
      </c>
      <c r="D3536" s="66" t="s">
        <v>341</v>
      </c>
      <c r="E3536" t="s">
        <v>17</v>
      </c>
      <c r="F3536" s="50" t="s">
        <v>573</v>
      </c>
      <c r="G3536" s="50" t="s">
        <v>574</v>
      </c>
      <c r="H3536" s="50">
        <v>2</v>
      </c>
      <c r="I3536" s="100">
        <v>6.7391919697301583</v>
      </c>
      <c r="J3536" s="52">
        <v>3834.68</v>
      </c>
      <c r="K3536" s="67">
        <f t="shared" si="224"/>
        <v>46490.917747810228</v>
      </c>
      <c r="L3536" s="95">
        <f>+VLOOKUP(E3536,MARGEN!A:B,2,FALSE)</f>
        <v>0.1</v>
      </c>
      <c r="M3536" s="112">
        <f t="shared" si="221"/>
        <v>4649.0917747810227</v>
      </c>
      <c r="N3536" s="113">
        <f t="shared" si="222"/>
        <v>185.96367099124092</v>
      </c>
      <c r="O3536" s="113">
        <f t="shared" si="223"/>
        <v>41655.862302037967</v>
      </c>
    </row>
    <row r="3537" spans="1:15" x14ac:dyDescent="0.25">
      <c r="A3537" s="43">
        <v>44465</v>
      </c>
      <c r="B3537" s="51">
        <v>1775</v>
      </c>
      <c r="C3537" s="66" t="s">
        <v>155</v>
      </c>
      <c r="D3537" s="66" t="s">
        <v>399</v>
      </c>
      <c r="E3537" t="s">
        <v>17</v>
      </c>
      <c r="F3537" s="50" t="s">
        <v>573</v>
      </c>
      <c r="G3537" s="50" t="s">
        <v>574</v>
      </c>
      <c r="H3537" s="50">
        <v>2</v>
      </c>
      <c r="I3537" s="100">
        <v>6.7391919697301583</v>
      </c>
      <c r="J3537" s="52">
        <v>3834.68</v>
      </c>
      <c r="K3537" s="67">
        <f t="shared" si="224"/>
        <v>45870.694275910595</v>
      </c>
      <c r="L3537" s="95">
        <f>+VLOOKUP(E3537,MARGEN!A:B,2,FALSE)</f>
        <v>0.1</v>
      </c>
      <c r="M3537" s="112">
        <f t="shared" si="221"/>
        <v>4587.06942759106</v>
      </c>
      <c r="N3537" s="113">
        <f t="shared" si="222"/>
        <v>183.48277710364238</v>
      </c>
      <c r="O3537" s="113">
        <f t="shared" si="223"/>
        <v>41100.142071215894</v>
      </c>
    </row>
    <row r="3538" spans="1:15" x14ac:dyDescent="0.25">
      <c r="A3538" s="43">
        <v>44465</v>
      </c>
      <c r="B3538" s="51">
        <v>1751</v>
      </c>
      <c r="C3538" s="66" t="s">
        <v>124</v>
      </c>
      <c r="D3538" s="66" t="s">
        <v>388</v>
      </c>
      <c r="E3538" t="s">
        <v>17</v>
      </c>
      <c r="F3538" s="50" t="s">
        <v>566</v>
      </c>
      <c r="G3538" s="50" t="s">
        <v>574</v>
      </c>
      <c r="H3538" s="50">
        <v>2</v>
      </c>
      <c r="I3538" s="100">
        <v>6.7391919697301583</v>
      </c>
      <c r="J3538" s="52">
        <v>3834.68</v>
      </c>
      <c r="K3538" s="67">
        <f t="shared" si="224"/>
        <v>45250.470804010954</v>
      </c>
      <c r="L3538" s="95">
        <f>+VLOOKUP(E3538,MARGEN!A:B,2,FALSE)</f>
        <v>0.1</v>
      </c>
      <c r="M3538" s="112">
        <f t="shared" si="221"/>
        <v>4525.0470804010956</v>
      </c>
      <c r="N3538" s="113">
        <f t="shared" si="222"/>
        <v>181.00188321604381</v>
      </c>
      <c r="O3538" s="113">
        <f t="shared" si="223"/>
        <v>40544.421840393814</v>
      </c>
    </row>
    <row r="3539" spans="1:15" x14ac:dyDescent="0.25">
      <c r="A3539" s="43">
        <v>44465</v>
      </c>
      <c r="B3539" s="51">
        <v>1727</v>
      </c>
      <c r="C3539" s="66" t="s">
        <v>188</v>
      </c>
      <c r="D3539" s="66" t="s">
        <v>397</v>
      </c>
      <c r="E3539" t="s">
        <v>17</v>
      </c>
      <c r="F3539" s="50" t="s">
        <v>573</v>
      </c>
      <c r="G3539" s="50" t="s">
        <v>574</v>
      </c>
      <c r="H3539" s="50">
        <v>2</v>
      </c>
      <c r="I3539" s="100">
        <v>6.7391919697301583</v>
      </c>
      <c r="J3539" s="52">
        <v>3834.68</v>
      </c>
      <c r="K3539" s="67">
        <f t="shared" si="224"/>
        <v>44630.247332111321</v>
      </c>
      <c r="L3539" s="95">
        <f>+VLOOKUP(E3539,MARGEN!A:B,2,FALSE)</f>
        <v>0.1</v>
      </c>
      <c r="M3539" s="112">
        <f t="shared" si="221"/>
        <v>4463.0247332111321</v>
      </c>
      <c r="N3539" s="113">
        <f t="shared" si="222"/>
        <v>178.5209893284453</v>
      </c>
      <c r="O3539" s="113">
        <f t="shared" si="223"/>
        <v>39988.701609571741</v>
      </c>
    </row>
    <row r="3540" spans="1:15" x14ac:dyDescent="0.25">
      <c r="A3540" s="43">
        <v>44465</v>
      </c>
      <c r="B3540" s="51">
        <v>1727</v>
      </c>
      <c r="C3540" s="66" t="s">
        <v>170</v>
      </c>
      <c r="D3540" s="66" t="s">
        <v>437</v>
      </c>
      <c r="E3540" t="s">
        <v>17</v>
      </c>
      <c r="F3540" s="50" t="s">
        <v>573</v>
      </c>
      <c r="G3540" s="50" t="s">
        <v>574</v>
      </c>
      <c r="H3540" s="50">
        <v>2</v>
      </c>
      <c r="I3540" s="100">
        <v>6.7391919697301583</v>
      </c>
      <c r="J3540" s="52">
        <v>3834.68</v>
      </c>
      <c r="K3540" s="67">
        <f t="shared" si="224"/>
        <v>44630.247332111321</v>
      </c>
      <c r="L3540" s="95">
        <f>+VLOOKUP(E3540,MARGEN!A:B,2,FALSE)</f>
        <v>0.1</v>
      </c>
      <c r="M3540" s="112">
        <f t="shared" si="221"/>
        <v>4463.0247332111321</v>
      </c>
      <c r="N3540" s="113">
        <f t="shared" si="222"/>
        <v>178.5209893284453</v>
      </c>
      <c r="O3540" s="113">
        <f t="shared" si="223"/>
        <v>39988.701609571741</v>
      </c>
    </row>
    <row r="3541" spans="1:15" x14ac:dyDescent="0.25">
      <c r="A3541" s="13">
        <v>44465</v>
      </c>
      <c r="B3541" s="97">
        <v>1703</v>
      </c>
      <c r="C3541" t="s">
        <v>174</v>
      </c>
      <c r="D3541" t="s">
        <v>395</v>
      </c>
      <c r="E3541" t="s">
        <v>17</v>
      </c>
      <c r="F3541" t="s">
        <v>573</v>
      </c>
      <c r="G3541" s="50" t="s">
        <v>574</v>
      </c>
      <c r="H3541" s="50">
        <v>2</v>
      </c>
      <c r="I3541" s="100">
        <v>6.7391919697301583</v>
      </c>
      <c r="J3541" s="52">
        <v>3834.68</v>
      </c>
      <c r="K3541" s="67">
        <f t="shared" si="224"/>
        <v>44010.023860211688</v>
      </c>
      <c r="L3541" s="95">
        <f>+VLOOKUP(E3541,MARGEN!A:B,2,FALSE)</f>
        <v>0.1</v>
      </c>
      <c r="M3541" s="112">
        <f t="shared" si="221"/>
        <v>4401.0023860211686</v>
      </c>
      <c r="N3541" s="113">
        <f t="shared" si="222"/>
        <v>176.04009544084676</v>
      </c>
      <c r="O3541" s="113">
        <f t="shared" si="223"/>
        <v>39432.981378749675</v>
      </c>
    </row>
    <row r="3542" spans="1:15" x14ac:dyDescent="0.25">
      <c r="A3542" s="43">
        <v>44465</v>
      </c>
      <c r="B3542" s="51">
        <v>1703</v>
      </c>
      <c r="C3542" s="66" t="s">
        <v>296</v>
      </c>
      <c r="D3542" s="66" t="s">
        <v>498</v>
      </c>
      <c r="E3542" t="s">
        <v>17</v>
      </c>
      <c r="F3542" s="50" t="s">
        <v>573</v>
      </c>
      <c r="G3542" s="50" t="s">
        <v>574</v>
      </c>
      <c r="H3542" s="50">
        <v>2</v>
      </c>
      <c r="I3542" s="100">
        <v>6.7391919697301583</v>
      </c>
      <c r="J3542" s="52">
        <v>3834.68</v>
      </c>
      <c r="K3542" s="67">
        <f t="shared" si="224"/>
        <v>44010.023860211688</v>
      </c>
      <c r="L3542" s="95">
        <f>+VLOOKUP(E3542,MARGEN!A:B,2,FALSE)</f>
        <v>0.1</v>
      </c>
      <c r="M3542" s="112">
        <f t="shared" si="221"/>
        <v>4401.0023860211686</v>
      </c>
      <c r="N3542" s="113">
        <f t="shared" si="222"/>
        <v>176.04009544084676</v>
      </c>
      <c r="O3542" s="113">
        <f t="shared" si="223"/>
        <v>39432.981378749675</v>
      </c>
    </row>
    <row r="3543" spans="1:15" x14ac:dyDescent="0.25">
      <c r="A3543" s="43">
        <v>44465</v>
      </c>
      <c r="B3543" s="51">
        <v>1679</v>
      </c>
      <c r="C3543" s="66" t="s">
        <v>121</v>
      </c>
      <c r="D3543" s="66" t="s">
        <v>381</v>
      </c>
      <c r="E3543" t="s">
        <v>17</v>
      </c>
      <c r="F3543" s="50" t="s">
        <v>573</v>
      </c>
      <c r="G3543" s="50" t="s">
        <v>574</v>
      </c>
      <c r="H3543" s="50">
        <v>2</v>
      </c>
      <c r="I3543" s="100">
        <v>6.7391919697301583</v>
      </c>
      <c r="J3543" s="52">
        <v>3834.68</v>
      </c>
      <c r="K3543" s="67">
        <f t="shared" si="224"/>
        <v>43389.800388312047</v>
      </c>
      <c r="L3543" s="95">
        <f>+VLOOKUP(E3543,MARGEN!A:B,2,FALSE)</f>
        <v>0.1</v>
      </c>
      <c r="M3543" s="112">
        <f t="shared" si="221"/>
        <v>4338.9800388312051</v>
      </c>
      <c r="N3543" s="113">
        <f t="shared" si="222"/>
        <v>173.55920155324819</v>
      </c>
      <c r="O3543" s="113">
        <f t="shared" si="223"/>
        <v>38877.261147927595</v>
      </c>
    </row>
    <row r="3544" spans="1:15" x14ac:dyDescent="0.25">
      <c r="A3544" s="43">
        <v>44465</v>
      </c>
      <c r="B3544" s="51">
        <v>1679</v>
      </c>
      <c r="C3544" s="66" t="s">
        <v>159</v>
      </c>
      <c r="D3544" s="66" t="s">
        <v>360</v>
      </c>
      <c r="E3544" t="s">
        <v>17</v>
      </c>
      <c r="F3544" s="50" t="s">
        <v>566</v>
      </c>
      <c r="G3544" s="50" t="s">
        <v>574</v>
      </c>
      <c r="H3544" s="50">
        <v>2</v>
      </c>
      <c r="I3544" s="100">
        <v>6.7391919697301583</v>
      </c>
      <c r="J3544" s="52">
        <v>3834.68</v>
      </c>
      <c r="K3544" s="67">
        <f t="shared" si="224"/>
        <v>43389.800388312047</v>
      </c>
      <c r="L3544" s="95">
        <f>+VLOOKUP(E3544,MARGEN!A:B,2,FALSE)</f>
        <v>0.1</v>
      </c>
      <c r="M3544" s="112">
        <f t="shared" si="221"/>
        <v>4338.9800388312051</v>
      </c>
      <c r="N3544" s="113">
        <f t="shared" si="222"/>
        <v>173.55920155324819</v>
      </c>
      <c r="O3544" s="113">
        <f t="shared" si="223"/>
        <v>38877.261147927595</v>
      </c>
    </row>
    <row r="3545" spans="1:15" x14ac:dyDescent="0.25">
      <c r="A3545" s="13">
        <v>44465</v>
      </c>
      <c r="B3545" s="97">
        <v>1655</v>
      </c>
      <c r="C3545" t="s">
        <v>304</v>
      </c>
      <c r="D3545" t="s">
        <v>522</v>
      </c>
      <c r="E3545" t="s">
        <v>17</v>
      </c>
      <c r="F3545" t="s">
        <v>573</v>
      </c>
      <c r="G3545" s="50" t="s">
        <v>574</v>
      </c>
      <c r="H3545" s="50">
        <v>2</v>
      </c>
      <c r="I3545" s="100">
        <v>6.7391919697301583</v>
      </c>
      <c r="J3545" s="52">
        <v>3834.68</v>
      </c>
      <c r="K3545" s="67">
        <f t="shared" si="224"/>
        <v>42769.576916412421</v>
      </c>
      <c r="L3545" s="95">
        <f>+VLOOKUP(E3545,MARGEN!A:B,2,FALSE)</f>
        <v>0.1</v>
      </c>
      <c r="M3545" s="112">
        <f t="shared" si="221"/>
        <v>4276.9576916412425</v>
      </c>
      <c r="N3545" s="113">
        <f t="shared" si="222"/>
        <v>171.07830766564967</v>
      </c>
      <c r="O3545" s="113">
        <f t="shared" si="223"/>
        <v>38321.540917105529</v>
      </c>
    </row>
    <row r="3546" spans="1:15" x14ac:dyDescent="0.25">
      <c r="A3546" s="43">
        <v>44465</v>
      </c>
      <c r="B3546" s="51">
        <v>1655</v>
      </c>
      <c r="C3546" s="66" t="s">
        <v>223</v>
      </c>
      <c r="D3546" s="66" t="s">
        <v>389</v>
      </c>
      <c r="E3546" t="s">
        <v>17</v>
      </c>
      <c r="F3546" s="50" t="s">
        <v>566</v>
      </c>
      <c r="G3546" s="50" t="s">
        <v>574</v>
      </c>
      <c r="H3546" s="50">
        <v>2</v>
      </c>
      <c r="I3546" s="100">
        <v>6.7391919697301583</v>
      </c>
      <c r="J3546" s="52">
        <v>3834.68</v>
      </c>
      <c r="K3546" s="67">
        <f t="shared" si="224"/>
        <v>42769.576916412421</v>
      </c>
      <c r="L3546" s="95">
        <f>+VLOOKUP(E3546,MARGEN!A:B,2,FALSE)</f>
        <v>0.1</v>
      </c>
      <c r="M3546" s="112">
        <f t="shared" si="221"/>
        <v>4276.9576916412425</v>
      </c>
      <c r="N3546" s="113">
        <f t="shared" si="222"/>
        <v>171.07830766564967</v>
      </c>
      <c r="O3546" s="113">
        <f t="shared" si="223"/>
        <v>38321.540917105529</v>
      </c>
    </row>
    <row r="3547" spans="1:15" x14ac:dyDescent="0.25">
      <c r="A3547" s="43">
        <v>44465</v>
      </c>
      <c r="B3547" s="51">
        <v>1655</v>
      </c>
      <c r="C3547" s="66" t="s">
        <v>285</v>
      </c>
      <c r="D3547" s="66" t="s">
        <v>534</v>
      </c>
      <c r="E3547" t="s">
        <v>17</v>
      </c>
      <c r="F3547" s="50" t="s">
        <v>566</v>
      </c>
      <c r="G3547" s="50" t="s">
        <v>574</v>
      </c>
      <c r="H3547" s="50">
        <v>2</v>
      </c>
      <c r="I3547" s="100">
        <v>6.7391919697301583</v>
      </c>
      <c r="J3547" s="52">
        <v>3834.68</v>
      </c>
      <c r="K3547" s="67">
        <f t="shared" si="224"/>
        <v>42769.576916412421</v>
      </c>
      <c r="L3547" s="95">
        <f>+VLOOKUP(E3547,MARGEN!A:B,2,FALSE)</f>
        <v>0.1</v>
      </c>
      <c r="M3547" s="112">
        <f t="shared" si="221"/>
        <v>4276.9576916412425</v>
      </c>
      <c r="N3547" s="113">
        <f t="shared" si="222"/>
        <v>171.07830766564967</v>
      </c>
      <c r="O3547" s="113">
        <f t="shared" si="223"/>
        <v>38321.540917105529</v>
      </c>
    </row>
    <row r="3548" spans="1:15" x14ac:dyDescent="0.25">
      <c r="A3548" s="43">
        <v>44465</v>
      </c>
      <c r="B3548" s="51">
        <v>1655</v>
      </c>
      <c r="C3548" s="66" t="s">
        <v>288</v>
      </c>
      <c r="D3548" s="66" t="s">
        <v>530</v>
      </c>
      <c r="E3548" t="s">
        <v>17</v>
      </c>
      <c r="F3548" s="50" t="s">
        <v>573</v>
      </c>
      <c r="G3548" s="50" t="s">
        <v>574</v>
      </c>
      <c r="H3548" s="50">
        <v>2</v>
      </c>
      <c r="I3548" s="100">
        <v>6.7391919697301583</v>
      </c>
      <c r="J3548" s="52">
        <v>3834.68</v>
      </c>
      <c r="K3548" s="67">
        <f t="shared" si="224"/>
        <v>42769.576916412421</v>
      </c>
      <c r="L3548" s="95">
        <f>+VLOOKUP(E3548,MARGEN!A:B,2,FALSE)</f>
        <v>0.1</v>
      </c>
      <c r="M3548" s="112">
        <f t="shared" si="221"/>
        <v>4276.9576916412425</v>
      </c>
      <c r="N3548" s="113">
        <f t="shared" si="222"/>
        <v>171.07830766564967</v>
      </c>
      <c r="O3548" s="113">
        <f t="shared" si="223"/>
        <v>38321.540917105529</v>
      </c>
    </row>
    <row r="3549" spans="1:15" x14ac:dyDescent="0.25">
      <c r="A3549" s="43">
        <v>44465</v>
      </c>
      <c r="B3549" s="51">
        <v>1655</v>
      </c>
      <c r="C3549" s="66" t="s">
        <v>163</v>
      </c>
      <c r="D3549" s="66" t="s">
        <v>398</v>
      </c>
      <c r="E3549" t="s">
        <v>17</v>
      </c>
      <c r="F3549" s="50" t="s">
        <v>573</v>
      </c>
      <c r="G3549" s="50" t="s">
        <v>574</v>
      </c>
      <c r="H3549" s="50">
        <v>2</v>
      </c>
      <c r="I3549" s="100">
        <v>6.7391919697301583</v>
      </c>
      <c r="J3549" s="52">
        <v>3834.68</v>
      </c>
      <c r="K3549" s="67">
        <f t="shared" si="224"/>
        <v>42769.576916412421</v>
      </c>
      <c r="L3549" s="95">
        <f>+VLOOKUP(E3549,MARGEN!A:B,2,FALSE)</f>
        <v>0.1</v>
      </c>
      <c r="M3549" s="112">
        <f t="shared" si="221"/>
        <v>4276.9576916412425</v>
      </c>
      <c r="N3549" s="113">
        <f t="shared" si="222"/>
        <v>171.07830766564967</v>
      </c>
      <c r="O3549" s="113">
        <f t="shared" si="223"/>
        <v>38321.540917105529</v>
      </c>
    </row>
    <row r="3550" spans="1:15" x14ac:dyDescent="0.25">
      <c r="A3550" s="43">
        <v>44465</v>
      </c>
      <c r="B3550" s="51">
        <v>1655</v>
      </c>
      <c r="C3550" s="66" t="s">
        <v>154</v>
      </c>
      <c r="D3550" s="66" t="s">
        <v>419</v>
      </c>
      <c r="E3550" t="s">
        <v>17</v>
      </c>
      <c r="F3550" s="50" t="s">
        <v>573</v>
      </c>
      <c r="G3550" s="50" t="s">
        <v>574</v>
      </c>
      <c r="H3550" s="50">
        <v>2</v>
      </c>
      <c r="I3550" s="100">
        <v>6.7391919697301583</v>
      </c>
      <c r="J3550" s="52">
        <v>3834.68</v>
      </c>
      <c r="K3550" s="67">
        <f t="shared" si="224"/>
        <v>42769.576916412421</v>
      </c>
      <c r="L3550" s="95">
        <f>+VLOOKUP(E3550,MARGEN!A:B,2,FALSE)</f>
        <v>0.1</v>
      </c>
      <c r="M3550" s="112">
        <f t="shared" si="221"/>
        <v>4276.9576916412425</v>
      </c>
      <c r="N3550" s="113">
        <f t="shared" si="222"/>
        <v>171.07830766564967</v>
      </c>
      <c r="O3550" s="113">
        <f t="shared" si="223"/>
        <v>38321.540917105529</v>
      </c>
    </row>
    <row r="3551" spans="1:15" x14ac:dyDescent="0.25">
      <c r="A3551" s="43">
        <v>44465</v>
      </c>
      <c r="B3551" s="51">
        <v>1655</v>
      </c>
      <c r="C3551" s="66" t="s">
        <v>194</v>
      </c>
      <c r="D3551" s="66" t="s">
        <v>417</v>
      </c>
      <c r="E3551" t="s">
        <v>17</v>
      </c>
      <c r="F3551" s="50" t="s">
        <v>573</v>
      </c>
      <c r="G3551" s="50" t="s">
        <v>574</v>
      </c>
      <c r="H3551" s="50">
        <v>2</v>
      </c>
      <c r="I3551" s="100">
        <v>6.7391919697301583</v>
      </c>
      <c r="J3551" s="52">
        <v>3834.68</v>
      </c>
      <c r="K3551" s="67">
        <f t="shared" si="224"/>
        <v>42769.576916412421</v>
      </c>
      <c r="L3551" s="95">
        <f>+VLOOKUP(E3551,MARGEN!A:B,2,FALSE)</f>
        <v>0.1</v>
      </c>
      <c r="M3551" s="112">
        <f t="shared" si="221"/>
        <v>4276.9576916412425</v>
      </c>
      <c r="N3551" s="113">
        <f t="shared" si="222"/>
        <v>171.07830766564967</v>
      </c>
      <c r="O3551" s="113">
        <f t="shared" si="223"/>
        <v>38321.540917105529</v>
      </c>
    </row>
    <row r="3552" spans="1:15" x14ac:dyDescent="0.25">
      <c r="A3552" s="13">
        <v>44465</v>
      </c>
      <c r="B3552" s="97">
        <v>1631</v>
      </c>
      <c r="C3552" t="s">
        <v>287</v>
      </c>
      <c r="D3552" t="s">
        <v>496</v>
      </c>
      <c r="E3552" t="s">
        <v>17</v>
      </c>
      <c r="F3552" t="s">
        <v>573</v>
      </c>
      <c r="G3552" s="50" t="s">
        <v>574</v>
      </c>
      <c r="H3552" s="50">
        <v>2</v>
      </c>
      <c r="I3552" s="100">
        <v>6.7391919697301583</v>
      </c>
      <c r="J3552" s="52">
        <v>3834.68</v>
      </c>
      <c r="K3552" s="67">
        <f t="shared" si="224"/>
        <v>42149.353444512773</v>
      </c>
      <c r="L3552" s="95">
        <f>+VLOOKUP(E3552,MARGEN!A:B,2,FALSE)</f>
        <v>0.1</v>
      </c>
      <c r="M3552" s="112">
        <f t="shared" si="221"/>
        <v>4214.9353444512772</v>
      </c>
      <c r="N3552" s="113">
        <f t="shared" si="222"/>
        <v>168.59741377805111</v>
      </c>
      <c r="O3552" s="113">
        <f t="shared" si="223"/>
        <v>37765.820686283449</v>
      </c>
    </row>
    <row r="3553" spans="1:15" x14ac:dyDescent="0.25">
      <c r="A3553" s="43">
        <v>44465</v>
      </c>
      <c r="B3553" s="51">
        <v>1631</v>
      </c>
      <c r="C3553" s="66" t="s">
        <v>196</v>
      </c>
      <c r="D3553" s="66" t="s">
        <v>413</v>
      </c>
      <c r="E3553" t="s">
        <v>17</v>
      </c>
      <c r="F3553" s="50" t="s">
        <v>573</v>
      </c>
      <c r="G3553" s="50" t="s">
        <v>574</v>
      </c>
      <c r="H3553" s="50">
        <v>2</v>
      </c>
      <c r="I3553" s="100">
        <v>6.7391919697301583</v>
      </c>
      <c r="J3553" s="52">
        <v>3834.68</v>
      </c>
      <c r="K3553" s="67">
        <f t="shared" si="224"/>
        <v>42149.353444512773</v>
      </c>
      <c r="L3553" s="95">
        <f>+VLOOKUP(E3553,MARGEN!A:B,2,FALSE)</f>
        <v>0.1</v>
      </c>
      <c r="M3553" s="112">
        <f t="shared" si="221"/>
        <v>4214.9353444512772</v>
      </c>
      <c r="N3553" s="113">
        <f t="shared" si="222"/>
        <v>168.59741377805111</v>
      </c>
      <c r="O3553" s="113">
        <f t="shared" si="223"/>
        <v>37765.820686283449</v>
      </c>
    </row>
    <row r="3554" spans="1:15" x14ac:dyDescent="0.25">
      <c r="A3554" s="43">
        <v>44465</v>
      </c>
      <c r="B3554" s="51">
        <v>1631</v>
      </c>
      <c r="C3554" s="66" t="s">
        <v>120</v>
      </c>
      <c r="D3554" s="66" t="s">
        <v>452</v>
      </c>
      <c r="E3554" t="s">
        <v>17</v>
      </c>
      <c r="F3554" s="50" t="s">
        <v>573</v>
      </c>
      <c r="G3554" s="50" t="s">
        <v>574</v>
      </c>
      <c r="H3554" s="50">
        <v>2</v>
      </c>
      <c r="I3554" s="100">
        <v>6.7391919697301583</v>
      </c>
      <c r="J3554" s="52">
        <v>3834.68</v>
      </c>
      <c r="K3554" s="67">
        <f t="shared" si="224"/>
        <v>42149.353444512773</v>
      </c>
      <c r="L3554" s="95">
        <f>+VLOOKUP(E3554,MARGEN!A:B,2,FALSE)</f>
        <v>0.1</v>
      </c>
      <c r="M3554" s="112">
        <f t="shared" si="221"/>
        <v>4214.9353444512772</v>
      </c>
      <c r="N3554" s="113">
        <f t="shared" si="222"/>
        <v>168.59741377805111</v>
      </c>
      <c r="O3554" s="113">
        <f t="shared" si="223"/>
        <v>37765.820686283449</v>
      </c>
    </row>
    <row r="3555" spans="1:15" x14ac:dyDescent="0.25">
      <c r="A3555" s="13">
        <v>44465</v>
      </c>
      <c r="B3555" s="97">
        <v>1607</v>
      </c>
      <c r="C3555" t="s">
        <v>158</v>
      </c>
      <c r="D3555" t="s">
        <v>442</v>
      </c>
      <c r="E3555" t="s">
        <v>17</v>
      </c>
      <c r="F3555" t="s">
        <v>566</v>
      </c>
      <c r="G3555" s="50" t="s">
        <v>574</v>
      </c>
      <c r="H3555" s="50">
        <v>2</v>
      </c>
      <c r="I3555" s="100">
        <v>6.7391919697301583</v>
      </c>
      <c r="J3555" s="52">
        <v>3834.68</v>
      </c>
      <c r="K3555" s="67">
        <f t="shared" si="224"/>
        <v>41529.12997261314</v>
      </c>
      <c r="L3555" s="95">
        <f>+VLOOKUP(E3555,MARGEN!A:B,2,FALSE)</f>
        <v>0.1</v>
      </c>
      <c r="M3555" s="112">
        <f t="shared" si="221"/>
        <v>4152.9129972613146</v>
      </c>
      <c r="N3555" s="113">
        <f t="shared" si="222"/>
        <v>166.11651989045257</v>
      </c>
      <c r="O3555" s="113">
        <f t="shared" si="223"/>
        <v>37210.100455461376</v>
      </c>
    </row>
    <row r="3556" spans="1:15" x14ac:dyDescent="0.25">
      <c r="A3556" s="43">
        <v>44465</v>
      </c>
      <c r="B3556" s="51">
        <v>1607</v>
      </c>
      <c r="C3556" s="66" t="s">
        <v>286</v>
      </c>
      <c r="D3556" s="66" t="s">
        <v>531</v>
      </c>
      <c r="E3556" t="s">
        <v>17</v>
      </c>
      <c r="F3556" s="50" t="s">
        <v>566</v>
      </c>
      <c r="G3556" s="50" t="s">
        <v>574</v>
      </c>
      <c r="H3556" s="50">
        <v>2</v>
      </c>
      <c r="I3556" s="100">
        <v>6.7391919697301583</v>
      </c>
      <c r="J3556" s="52">
        <v>3834.68</v>
      </c>
      <c r="K3556" s="67">
        <f t="shared" si="224"/>
        <v>41529.12997261314</v>
      </c>
      <c r="L3556" s="95">
        <f>+VLOOKUP(E3556,MARGEN!A:B,2,FALSE)</f>
        <v>0.1</v>
      </c>
      <c r="M3556" s="112">
        <f t="shared" si="221"/>
        <v>4152.9129972613146</v>
      </c>
      <c r="N3556" s="113">
        <f t="shared" si="222"/>
        <v>166.11651989045257</v>
      </c>
      <c r="O3556" s="113">
        <f t="shared" si="223"/>
        <v>37210.100455461376</v>
      </c>
    </row>
    <row r="3557" spans="1:15" x14ac:dyDescent="0.25">
      <c r="A3557" s="13">
        <v>44465</v>
      </c>
      <c r="B3557" s="97">
        <v>1583</v>
      </c>
      <c r="C3557" t="s">
        <v>238</v>
      </c>
      <c r="D3557" t="s">
        <v>427</v>
      </c>
      <c r="E3557" t="s">
        <v>17</v>
      </c>
      <c r="F3557" t="s">
        <v>566</v>
      </c>
      <c r="G3557" s="50" t="s">
        <v>574</v>
      </c>
      <c r="H3557" s="50">
        <v>2</v>
      </c>
      <c r="I3557" s="100">
        <v>6.7391919697301583</v>
      </c>
      <c r="J3557" s="52">
        <v>3834.68</v>
      </c>
      <c r="K3557" s="67">
        <f t="shared" si="224"/>
        <v>40908.906500713507</v>
      </c>
      <c r="L3557" s="95">
        <f>+VLOOKUP(E3557,MARGEN!A:B,2,FALSE)</f>
        <v>0.1</v>
      </c>
      <c r="M3557" s="112">
        <f t="shared" si="221"/>
        <v>4090.890650071351</v>
      </c>
      <c r="N3557" s="113">
        <f t="shared" si="222"/>
        <v>163.63562600285402</v>
      </c>
      <c r="O3557" s="113">
        <f t="shared" si="223"/>
        <v>36654.380224639302</v>
      </c>
    </row>
    <row r="3558" spans="1:15" x14ac:dyDescent="0.25">
      <c r="A3558" s="13">
        <v>44465</v>
      </c>
      <c r="B3558" s="97">
        <v>1559</v>
      </c>
      <c r="C3558" t="s">
        <v>172</v>
      </c>
      <c r="D3558" t="s">
        <v>371</v>
      </c>
      <c r="E3558" t="s">
        <v>17</v>
      </c>
      <c r="F3558" t="s">
        <v>573</v>
      </c>
      <c r="G3558" s="50" t="s">
        <v>574</v>
      </c>
      <c r="H3558" s="50">
        <v>2</v>
      </c>
      <c r="I3558" s="100">
        <v>6.7391919697301583</v>
      </c>
      <c r="J3558" s="52">
        <v>3834.68</v>
      </c>
      <c r="K3558" s="67">
        <f t="shared" si="224"/>
        <v>40288.683028813866</v>
      </c>
      <c r="L3558" s="95">
        <f>+VLOOKUP(E3558,MARGEN!A:B,2,FALSE)</f>
        <v>0.1</v>
      </c>
      <c r="M3558" s="112">
        <f t="shared" si="221"/>
        <v>4028.8683028813866</v>
      </c>
      <c r="N3558" s="113">
        <f t="shared" si="222"/>
        <v>161.15473211525546</v>
      </c>
      <c r="O3558" s="113">
        <f t="shared" si="223"/>
        <v>36098.659993817222</v>
      </c>
    </row>
    <row r="3559" spans="1:15" x14ac:dyDescent="0.25">
      <c r="A3559" s="13">
        <v>44465</v>
      </c>
      <c r="B3559" s="97">
        <v>1559</v>
      </c>
      <c r="C3559" t="s">
        <v>171</v>
      </c>
      <c r="D3559" t="s">
        <v>387</v>
      </c>
      <c r="E3559" t="s">
        <v>17</v>
      </c>
      <c r="F3559" t="s">
        <v>566</v>
      </c>
      <c r="G3559" s="50" t="s">
        <v>574</v>
      </c>
      <c r="H3559" s="50">
        <v>2</v>
      </c>
      <c r="I3559" s="100">
        <v>6.7391919697301583</v>
      </c>
      <c r="J3559" s="52">
        <v>3834.68</v>
      </c>
      <c r="K3559" s="67">
        <f t="shared" si="224"/>
        <v>40288.683028813866</v>
      </c>
      <c r="L3559" s="95">
        <f>+VLOOKUP(E3559,MARGEN!A:B,2,FALSE)</f>
        <v>0.1</v>
      </c>
      <c r="M3559" s="112">
        <f t="shared" si="221"/>
        <v>4028.8683028813866</v>
      </c>
      <c r="N3559" s="113">
        <f t="shared" si="222"/>
        <v>161.15473211525546</v>
      </c>
      <c r="O3559" s="113">
        <f t="shared" si="223"/>
        <v>36098.659993817222</v>
      </c>
    </row>
    <row r="3560" spans="1:15" x14ac:dyDescent="0.25">
      <c r="A3560" s="43">
        <v>44465</v>
      </c>
      <c r="B3560" s="51">
        <v>1559</v>
      </c>
      <c r="C3560" s="66" t="s">
        <v>180</v>
      </c>
      <c r="D3560" s="66" t="s">
        <v>447</v>
      </c>
      <c r="E3560" t="s">
        <v>17</v>
      </c>
      <c r="F3560" s="50" t="s">
        <v>573</v>
      </c>
      <c r="G3560" s="50" t="s">
        <v>574</v>
      </c>
      <c r="H3560" s="50">
        <v>2</v>
      </c>
      <c r="I3560" s="100">
        <v>6.7391919697301583</v>
      </c>
      <c r="J3560" s="52">
        <v>3834.68</v>
      </c>
      <c r="K3560" s="67">
        <f t="shared" si="224"/>
        <v>40288.683028813866</v>
      </c>
      <c r="L3560" s="95">
        <f>+VLOOKUP(E3560,MARGEN!A:B,2,FALSE)</f>
        <v>0.1</v>
      </c>
      <c r="M3560" s="112">
        <f t="shared" si="221"/>
        <v>4028.8683028813866</v>
      </c>
      <c r="N3560" s="113">
        <f t="shared" si="222"/>
        <v>161.15473211525546</v>
      </c>
      <c r="O3560" s="113">
        <f t="shared" si="223"/>
        <v>36098.659993817222</v>
      </c>
    </row>
    <row r="3561" spans="1:15" x14ac:dyDescent="0.25">
      <c r="A3561" s="43">
        <v>44465</v>
      </c>
      <c r="B3561" s="51">
        <v>1559</v>
      </c>
      <c r="C3561" s="66" t="s">
        <v>176</v>
      </c>
      <c r="D3561" s="66" t="s">
        <v>430</v>
      </c>
      <c r="E3561" t="s">
        <v>17</v>
      </c>
      <c r="F3561" s="50" t="s">
        <v>573</v>
      </c>
      <c r="G3561" s="50" t="s">
        <v>574</v>
      </c>
      <c r="H3561" s="50">
        <v>2</v>
      </c>
      <c r="I3561" s="100">
        <v>6.7391919697301583</v>
      </c>
      <c r="J3561" s="52">
        <v>3834.68</v>
      </c>
      <c r="K3561" s="67">
        <f t="shared" si="224"/>
        <v>40288.683028813866</v>
      </c>
      <c r="L3561" s="95">
        <f>+VLOOKUP(E3561,MARGEN!A:B,2,FALSE)</f>
        <v>0.1</v>
      </c>
      <c r="M3561" s="112">
        <f t="shared" si="221"/>
        <v>4028.8683028813866</v>
      </c>
      <c r="N3561" s="113">
        <f t="shared" si="222"/>
        <v>161.15473211525546</v>
      </c>
      <c r="O3561" s="113">
        <f t="shared" si="223"/>
        <v>36098.659993817222</v>
      </c>
    </row>
    <row r="3562" spans="1:15" x14ac:dyDescent="0.25">
      <c r="A3562" s="43">
        <v>44465</v>
      </c>
      <c r="B3562" s="51">
        <v>1535</v>
      </c>
      <c r="C3562" s="66" t="s">
        <v>209</v>
      </c>
      <c r="D3562" s="66" t="s">
        <v>441</v>
      </c>
      <c r="E3562" t="s">
        <v>17</v>
      </c>
      <c r="F3562" s="50" t="s">
        <v>573</v>
      </c>
      <c r="G3562" s="50" t="s">
        <v>574</v>
      </c>
      <c r="H3562" s="50">
        <v>2</v>
      </c>
      <c r="I3562" s="100">
        <v>6.7391919697301583</v>
      </c>
      <c r="J3562" s="52">
        <v>3834.68</v>
      </c>
      <c r="K3562" s="67">
        <f t="shared" si="224"/>
        <v>39668.459556914233</v>
      </c>
      <c r="L3562" s="95">
        <f>+VLOOKUP(E3562,MARGEN!A:B,2,FALSE)</f>
        <v>0.1</v>
      </c>
      <c r="M3562" s="112">
        <f t="shared" si="221"/>
        <v>3966.8459556914236</v>
      </c>
      <c r="N3562" s="113">
        <f t="shared" si="222"/>
        <v>158.67383822765694</v>
      </c>
      <c r="O3562" s="113">
        <f t="shared" si="223"/>
        <v>35542.939762995149</v>
      </c>
    </row>
    <row r="3563" spans="1:15" x14ac:dyDescent="0.25">
      <c r="A3563" s="13">
        <v>44465</v>
      </c>
      <c r="B3563" s="97">
        <v>1511</v>
      </c>
      <c r="C3563" t="s">
        <v>552</v>
      </c>
      <c r="D3563" t="s">
        <v>563</v>
      </c>
      <c r="E3563" t="s">
        <v>17</v>
      </c>
      <c r="F3563" t="s">
        <v>573</v>
      </c>
      <c r="G3563" s="50" t="s">
        <v>574</v>
      </c>
      <c r="H3563" s="50">
        <v>2</v>
      </c>
      <c r="I3563" s="100">
        <v>6.7391919697301583</v>
      </c>
      <c r="J3563" s="52">
        <v>3834.68</v>
      </c>
      <c r="K3563" s="67">
        <f t="shared" si="224"/>
        <v>39048.2360850146</v>
      </c>
      <c r="L3563" s="95">
        <f>+VLOOKUP(E3563,MARGEN!A:B,2,FALSE)</f>
        <v>0.1</v>
      </c>
      <c r="M3563" s="112">
        <f t="shared" si="221"/>
        <v>3904.8236085014601</v>
      </c>
      <c r="N3563" s="113">
        <f t="shared" si="222"/>
        <v>156.1929443400584</v>
      </c>
      <c r="O3563" s="113">
        <f t="shared" si="223"/>
        <v>34987.219532173083</v>
      </c>
    </row>
    <row r="3564" spans="1:15" x14ac:dyDescent="0.25">
      <c r="A3564" s="43">
        <v>44465</v>
      </c>
      <c r="B3564" s="51">
        <v>1511</v>
      </c>
      <c r="C3564" s="66" t="s">
        <v>291</v>
      </c>
      <c r="D3564" s="66" t="s">
        <v>492</v>
      </c>
      <c r="E3564" t="s">
        <v>17</v>
      </c>
      <c r="F3564" s="50" t="s">
        <v>573</v>
      </c>
      <c r="G3564" s="50" t="s">
        <v>574</v>
      </c>
      <c r="H3564" s="50">
        <v>2</v>
      </c>
      <c r="I3564" s="100">
        <v>6.7391919697301583</v>
      </c>
      <c r="J3564" s="52">
        <v>3834.68</v>
      </c>
      <c r="K3564" s="67">
        <f t="shared" si="224"/>
        <v>39048.2360850146</v>
      </c>
      <c r="L3564" s="95">
        <f>+VLOOKUP(E3564,MARGEN!A:B,2,FALSE)</f>
        <v>0.1</v>
      </c>
      <c r="M3564" s="112">
        <f t="shared" si="221"/>
        <v>3904.8236085014601</v>
      </c>
      <c r="N3564" s="113">
        <f t="shared" si="222"/>
        <v>156.1929443400584</v>
      </c>
      <c r="O3564" s="113">
        <f t="shared" si="223"/>
        <v>34987.219532173083</v>
      </c>
    </row>
    <row r="3565" spans="1:15" x14ac:dyDescent="0.25">
      <c r="A3565" s="13">
        <v>44465</v>
      </c>
      <c r="B3565" s="97">
        <v>1439</v>
      </c>
      <c r="C3565" t="s">
        <v>119</v>
      </c>
      <c r="D3565" t="s">
        <v>377</v>
      </c>
      <c r="E3565" t="s">
        <v>17</v>
      </c>
      <c r="F3565" t="s">
        <v>573</v>
      </c>
      <c r="G3565" s="50" t="s">
        <v>574</v>
      </c>
      <c r="H3565" s="50">
        <v>2</v>
      </c>
      <c r="I3565" s="100">
        <v>6.7391919697301583</v>
      </c>
      <c r="J3565" s="52">
        <v>3834.68</v>
      </c>
      <c r="K3565" s="67">
        <f t="shared" si="224"/>
        <v>37187.565669315685</v>
      </c>
      <c r="L3565" s="95">
        <f>+VLOOKUP(E3565,MARGEN!A:B,2,FALSE)</f>
        <v>0.1</v>
      </c>
      <c r="M3565" s="112">
        <f t="shared" si="221"/>
        <v>3718.7565669315686</v>
      </c>
      <c r="N3565" s="113">
        <f t="shared" si="222"/>
        <v>148.75026267726275</v>
      </c>
      <c r="O3565" s="113">
        <f t="shared" si="223"/>
        <v>33320.058839706857</v>
      </c>
    </row>
    <row r="3566" spans="1:15" x14ac:dyDescent="0.25">
      <c r="A3566" s="43">
        <v>44465</v>
      </c>
      <c r="B3566" s="51">
        <v>1439</v>
      </c>
      <c r="C3566" s="66" t="s">
        <v>168</v>
      </c>
      <c r="D3566" s="66" t="s">
        <v>352</v>
      </c>
      <c r="E3566" t="s">
        <v>17</v>
      </c>
      <c r="F3566" s="50" t="s">
        <v>573</v>
      </c>
      <c r="G3566" s="50" t="s">
        <v>574</v>
      </c>
      <c r="H3566" s="50">
        <v>2</v>
      </c>
      <c r="I3566" s="100">
        <v>6.7391919697301583</v>
      </c>
      <c r="J3566" s="52">
        <v>3834.68</v>
      </c>
      <c r="K3566" s="67">
        <f t="shared" si="224"/>
        <v>37187.565669315685</v>
      </c>
      <c r="L3566" s="95">
        <f>+VLOOKUP(E3566,MARGEN!A:B,2,FALSE)</f>
        <v>0.1</v>
      </c>
      <c r="M3566" s="112">
        <f t="shared" si="221"/>
        <v>3718.7565669315686</v>
      </c>
      <c r="N3566" s="113">
        <f t="shared" si="222"/>
        <v>148.75026267726275</v>
      </c>
      <c r="O3566" s="113">
        <f t="shared" si="223"/>
        <v>33320.058839706857</v>
      </c>
    </row>
    <row r="3567" spans="1:15" x14ac:dyDescent="0.25">
      <c r="A3567" s="43">
        <v>44465</v>
      </c>
      <c r="B3567" s="51">
        <v>1439</v>
      </c>
      <c r="C3567" s="66" t="s">
        <v>137</v>
      </c>
      <c r="D3567" s="66" t="s">
        <v>418</v>
      </c>
      <c r="E3567" t="s">
        <v>17</v>
      </c>
      <c r="F3567" s="50" t="s">
        <v>573</v>
      </c>
      <c r="G3567" s="50" t="s">
        <v>574</v>
      </c>
      <c r="H3567" s="50">
        <v>2</v>
      </c>
      <c r="I3567" s="100">
        <v>6.7391919697301583</v>
      </c>
      <c r="J3567" s="52">
        <v>3834.68</v>
      </c>
      <c r="K3567" s="67">
        <f t="shared" si="224"/>
        <v>37187.565669315685</v>
      </c>
      <c r="L3567" s="95">
        <f>+VLOOKUP(E3567,MARGEN!A:B,2,FALSE)</f>
        <v>0.1</v>
      </c>
      <c r="M3567" s="112">
        <f t="shared" si="221"/>
        <v>3718.7565669315686</v>
      </c>
      <c r="N3567" s="113">
        <f t="shared" si="222"/>
        <v>148.75026267726275</v>
      </c>
      <c r="O3567" s="113">
        <f t="shared" si="223"/>
        <v>33320.058839706857</v>
      </c>
    </row>
    <row r="3568" spans="1:15" x14ac:dyDescent="0.25">
      <c r="A3568" s="43">
        <v>44465</v>
      </c>
      <c r="B3568" s="51">
        <v>1439</v>
      </c>
      <c r="C3568" s="66" t="s">
        <v>169</v>
      </c>
      <c r="D3568" s="66" t="s">
        <v>351</v>
      </c>
      <c r="E3568" t="s">
        <v>17</v>
      </c>
      <c r="F3568" s="50" t="s">
        <v>573</v>
      </c>
      <c r="G3568" s="50" t="s">
        <v>574</v>
      </c>
      <c r="H3568" s="50">
        <v>2</v>
      </c>
      <c r="I3568" s="100">
        <v>6.7391919697301583</v>
      </c>
      <c r="J3568" s="52">
        <v>3834.68</v>
      </c>
      <c r="K3568" s="67">
        <f t="shared" si="224"/>
        <v>37187.565669315685</v>
      </c>
      <c r="L3568" s="95">
        <f>+VLOOKUP(E3568,MARGEN!A:B,2,FALSE)</f>
        <v>0.1</v>
      </c>
      <c r="M3568" s="112">
        <f t="shared" si="221"/>
        <v>3718.7565669315686</v>
      </c>
      <c r="N3568" s="113">
        <f t="shared" si="222"/>
        <v>148.75026267726275</v>
      </c>
      <c r="O3568" s="113">
        <f t="shared" si="223"/>
        <v>33320.058839706857</v>
      </c>
    </row>
    <row r="3569" spans="1:15" x14ac:dyDescent="0.25">
      <c r="A3569" s="43">
        <v>44465</v>
      </c>
      <c r="B3569" s="51">
        <v>1415</v>
      </c>
      <c r="C3569" s="66" t="s">
        <v>210</v>
      </c>
      <c r="D3569" s="66" t="s">
        <v>402</v>
      </c>
      <c r="E3569" t="s">
        <v>17</v>
      </c>
      <c r="F3569" s="50" t="s">
        <v>573</v>
      </c>
      <c r="G3569" s="50" t="s">
        <v>574</v>
      </c>
      <c r="H3569" s="50">
        <v>2</v>
      </c>
      <c r="I3569" s="100">
        <v>6.7391919697301583</v>
      </c>
      <c r="J3569" s="52">
        <v>3834.68</v>
      </c>
      <c r="K3569" s="67">
        <f t="shared" si="224"/>
        <v>36567.342197416052</v>
      </c>
      <c r="L3569" s="95">
        <f>+VLOOKUP(E3569,MARGEN!A:B,2,FALSE)</f>
        <v>0.1</v>
      </c>
      <c r="M3569" s="112">
        <f t="shared" si="221"/>
        <v>3656.7342197416056</v>
      </c>
      <c r="N3569" s="113">
        <f t="shared" si="222"/>
        <v>146.26936878966421</v>
      </c>
      <c r="O3569" s="113">
        <f t="shared" si="223"/>
        <v>32764.33860888478</v>
      </c>
    </row>
    <row r="3570" spans="1:15" x14ac:dyDescent="0.25">
      <c r="A3570" s="43">
        <v>44465</v>
      </c>
      <c r="B3570" s="51">
        <v>1391</v>
      </c>
      <c r="C3570" s="66" t="s">
        <v>294</v>
      </c>
      <c r="D3570" s="66" t="s">
        <v>527</v>
      </c>
      <c r="E3570" t="s">
        <v>17</v>
      </c>
      <c r="F3570" s="50" t="s">
        <v>573</v>
      </c>
      <c r="G3570" s="50" t="s">
        <v>574</v>
      </c>
      <c r="H3570" s="50">
        <v>2</v>
      </c>
      <c r="I3570" s="100">
        <v>6.7391919697301583</v>
      </c>
      <c r="J3570" s="52">
        <v>3834.68</v>
      </c>
      <c r="K3570" s="67">
        <f t="shared" si="224"/>
        <v>35947.118725516419</v>
      </c>
      <c r="L3570" s="95">
        <f>+VLOOKUP(E3570,MARGEN!A:B,2,FALSE)</f>
        <v>0.1</v>
      </c>
      <c r="M3570" s="112">
        <f t="shared" si="221"/>
        <v>3594.711872551642</v>
      </c>
      <c r="N3570" s="113">
        <f t="shared" si="222"/>
        <v>143.78847490206567</v>
      </c>
      <c r="O3570" s="113">
        <f t="shared" si="223"/>
        <v>32208.618378062711</v>
      </c>
    </row>
    <row r="3571" spans="1:15" x14ac:dyDescent="0.25">
      <c r="A3571" s="43">
        <v>44465</v>
      </c>
      <c r="B3571" s="51">
        <v>1367</v>
      </c>
      <c r="C3571" s="66" t="s">
        <v>200</v>
      </c>
      <c r="D3571" s="66" t="s">
        <v>428</v>
      </c>
      <c r="E3571" t="s">
        <v>17</v>
      </c>
      <c r="F3571" s="50" t="s">
        <v>573</v>
      </c>
      <c r="G3571" s="50" t="s">
        <v>574</v>
      </c>
      <c r="H3571" s="50">
        <v>2</v>
      </c>
      <c r="I3571" s="100">
        <v>6.7391919697301583</v>
      </c>
      <c r="J3571" s="52">
        <v>3834.68</v>
      </c>
      <c r="K3571" s="67">
        <f t="shared" si="224"/>
        <v>35326.895253616778</v>
      </c>
      <c r="L3571" s="95">
        <f>+VLOOKUP(E3571,MARGEN!A:B,2,FALSE)</f>
        <v>0.1</v>
      </c>
      <c r="M3571" s="112">
        <f t="shared" si="221"/>
        <v>3532.6895253616781</v>
      </c>
      <c r="N3571" s="113">
        <f t="shared" si="222"/>
        <v>141.3075810144671</v>
      </c>
      <c r="O3571" s="113">
        <f t="shared" si="223"/>
        <v>31652.898147240634</v>
      </c>
    </row>
    <row r="3572" spans="1:15" x14ac:dyDescent="0.25">
      <c r="A3572" s="43">
        <v>44465</v>
      </c>
      <c r="B3572" s="51">
        <v>1367</v>
      </c>
      <c r="C3572" s="66" t="s">
        <v>173</v>
      </c>
      <c r="D3572" s="66" t="s">
        <v>451</v>
      </c>
      <c r="E3572" t="s">
        <v>17</v>
      </c>
      <c r="F3572" s="50" t="s">
        <v>573</v>
      </c>
      <c r="G3572" s="50" t="s">
        <v>574</v>
      </c>
      <c r="H3572" s="50">
        <v>2</v>
      </c>
      <c r="I3572" s="100">
        <v>6.7391919697301583</v>
      </c>
      <c r="J3572" s="52">
        <v>3834.68</v>
      </c>
      <c r="K3572" s="67">
        <f t="shared" si="224"/>
        <v>35326.895253616778</v>
      </c>
      <c r="L3572" s="95">
        <f>+VLOOKUP(E3572,MARGEN!A:B,2,FALSE)</f>
        <v>0.1</v>
      </c>
      <c r="M3572" s="112">
        <f t="shared" si="221"/>
        <v>3532.6895253616781</v>
      </c>
      <c r="N3572" s="113">
        <f t="shared" si="222"/>
        <v>141.3075810144671</v>
      </c>
      <c r="O3572" s="113">
        <f t="shared" si="223"/>
        <v>31652.898147240634</v>
      </c>
    </row>
    <row r="3573" spans="1:15" x14ac:dyDescent="0.25">
      <c r="A3573" s="43">
        <v>44465</v>
      </c>
      <c r="B3573" s="51">
        <v>1367</v>
      </c>
      <c r="C3573" s="66" t="s">
        <v>152</v>
      </c>
      <c r="D3573" s="66" t="s">
        <v>425</v>
      </c>
      <c r="E3573" t="s">
        <v>17</v>
      </c>
      <c r="F3573" s="50" t="s">
        <v>573</v>
      </c>
      <c r="G3573" s="50" t="s">
        <v>574</v>
      </c>
      <c r="H3573" s="50">
        <v>2</v>
      </c>
      <c r="I3573" s="100">
        <v>6.7391919697301583</v>
      </c>
      <c r="J3573" s="52">
        <v>3834.68</v>
      </c>
      <c r="K3573" s="67">
        <f t="shared" si="224"/>
        <v>35326.895253616778</v>
      </c>
      <c r="L3573" s="95">
        <f>+VLOOKUP(E3573,MARGEN!A:B,2,FALSE)</f>
        <v>0.1</v>
      </c>
      <c r="M3573" s="112">
        <f t="shared" si="221"/>
        <v>3532.6895253616781</v>
      </c>
      <c r="N3573" s="113">
        <f t="shared" si="222"/>
        <v>141.3075810144671</v>
      </c>
      <c r="O3573" s="113">
        <f t="shared" si="223"/>
        <v>31652.898147240634</v>
      </c>
    </row>
    <row r="3574" spans="1:15" x14ac:dyDescent="0.25">
      <c r="A3574" s="43">
        <v>44465</v>
      </c>
      <c r="B3574" s="51">
        <v>1343</v>
      </c>
      <c r="C3574" s="66" t="s">
        <v>297</v>
      </c>
      <c r="D3574" s="66" t="s">
        <v>526</v>
      </c>
      <c r="E3574" t="s">
        <v>17</v>
      </c>
      <c r="F3574" s="50" t="s">
        <v>573</v>
      </c>
      <c r="G3574" s="50" t="s">
        <v>574</v>
      </c>
      <c r="H3574" s="50">
        <v>2</v>
      </c>
      <c r="I3574" s="100">
        <v>6.7391919697301583</v>
      </c>
      <c r="J3574" s="52">
        <v>3834.68</v>
      </c>
      <c r="K3574" s="67">
        <f t="shared" si="224"/>
        <v>34706.671781717145</v>
      </c>
      <c r="L3574" s="95">
        <f>+VLOOKUP(E3574,MARGEN!A:B,2,FALSE)</f>
        <v>0.1</v>
      </c>
      <c r="M3574" s="112">
        <f t="shared" si="221"/>
        <v>3470.6671781717146</v>
      </c>
      <c r="N3574" s="113">
        <f t="shared" si="222"/>
        <v>138.82668712686859</v>
      </c>
      <c r="O3574" s="113">
        <f t="shared" si="223"/>
        <v>31097.177916418561</v>
      </c>
    </row>
    <row r="3575" spans="1:15" x14ac:dyDescent="0.25">
      <c r="A3575" s="13">
        <v>44465</v>
      </c>
      <c r="B3575" s="97">
        <v>1319</v>
      </c>
      <c r="C3575" t="s">
        <v>118</v>
      </c>
      <c r="D3575" t="s">
        <v>329</v>
      </c>
      <c r="E3575" t="s">
        <v>17</v>
      </c>
      <c r="F3575" t="s">
        <v>573</v>
      </c>
      <c r="G3575" s="50" t="s">
        <v>574</v>
      </c>
      <c r="H3575" s="50">
        <v>2</v>
      </c>
      <c r="I3575" s="100">
        <v>6.7391919697301583</v>
      </c>
      <c r="J3575" s="52">
        <v>3834.68</v>
      </c>
      <c r="K3575" s="67">
        <f t="shared" si="224"/>
        <v>34086.448309817511</v>
      </c>
      <c r="L3575" s="95">
        <f>+VLOOKUP(E3575,MARGEN!A:B,2,FALSE)</f>
        <v>0.1</v>
      </c>
      <c r="M3575" s="112">
        <f t="shared" si="221"/>
        <v>3408.6448309817515</v>
      </c>
      <c r="N3575" s="113">
        <f t="shared" si="222"/>
        <v>136.34579323927005</v>
      </c>
      <c r="O3575" s="113">
        <f t="shared" si="223"/>
        <v>30541.457685596492</v>
      </c>
    </row>
    <row r="3576" spans="1:15" x14ac:dyDescent="0.25">
      <c r="A3576" s="43">
        <v>44465</v>
      </c>
      <c r="B3576" s="51">
        <v>1319</v>
      </c>
      <c r="C3576" s="66" t="s">
        <v>289</v>
      </c>
      <c r="D3576" s="66" t="s">
        <v>528</v>
      </c>
      <c r="E3576" t="s">
        <v>17</v>
      </c>
      <c r="F3576" s="50" t="s">
        <v>566</v>
      </c>
      <c r="G3576" s="50" t="s">
        <v>574</v>
      </c>
      <c r="H3576" s="50">
        <v>2</v>
      </c>
      <c r="I3576" s="100">
        <v>6.7391919697301583</v>
      </c>
      <c r="J3576" s="52">
        <v>3834.68</v>
      </c>
      <c r="K3576" s="67">
        <f t="shared" si="224"/>
        <v>34086.448309817511</v>
      </c>
      <c r="L3576" s="95">
        <f>+VLOOKUP(E3576,MARGEN!A:B,2,FALSE)</f>
        <v>0.1</v>
      </c>
      <c r="M3576" s="112">
        <f t="shared" si="221"/>
        <v>3408.6448309817515</v>
      </c>
      <c r="N3576" s="113">
        <f t="shared" si="222"/>
        <v>136.34579323927005</v>
      </c>
      <c r="O3576" s="113">
        <f t="shared" si="223"/>
        <v>30541.457685596492</v>
      </c>
    </row>
    <row r="3577" spans="1:15" x14ac:dyDescent="0.25">
      <c r="A3577" s="43">
        <v>44465</v>
      </c>
      <c r="B3577" s="51">
        <v>1319</v>
      </c>
      <c r="C3577" s="66" t="s">
        <v>141</v>
      </c>
      <c r="D3577" s="66" t="s">
        <v>450</v>
      </c>
      <c r="E3577" t="s">
        <v>17</v>
      </c>
      <c r="F3577" s="50" t="s">
        <v>573</v>
      </c>
      <c r="G3577" s="50" t="s">
        <v>574</v>
      </c>
      <c r="H3577" s="50">
        <v>2</v>
      </c>
      <c r="I3577" s="100">
        <v>6.7391919697301583</v>
      </c>
      <c r="J3577" s="52">
        <v>3834.68</v>
      </c>
      <c r="K3577" s="67">
        <f t="shared" si="224"/>
        <v>34086.448309817511</v>
      </c>
      <c r="L3577" s="95">
        <f>+VLOOKUP(E3577,MARGEN!A:B,2,FALSE)</f>
        <v>0.1</v>
      </c>
      <c r="M3577" s="112">
        <f t="shared" si="221"/>
        <v>3408.6448309817515</v>
      </c>
      <c r="N3577" s="113">
        <f t="shared" si="222"/>
        <v>136.34579323927005</v>
      </c>
      <c r="O3577" s="113">
        <f t="shared" si="223"/>
        <v>30541.457685596492</v>
      </c>
    </row>
    <row r="3578" spans="1:15" x14ac:dyDescent="0.25">
      <c r="A3578" s="43">
        <v>44465</v>
      </c>
      <c r="B3578" s="51">
        <v>1319</v>
      </c>
      <c r="C3578" s="66" t="s">
        <v>292</v>
      </c>
      <c r="D3578" s="66" t="s">
        <v>535</v>
      </c>
      <c r="E3578" t="s">
        <v>17</v>
      </c>
      <c r="F3578" s="50" t="s">
        <v>573</v>
      </c>
      <c r="G3578" s="50" t="s">
        <v>574</v>
      </c>
      <c r="H3578" s="50">
        <v>2</v>
      </c>
      <c r="I3578" s="100">
        <v>6.7391919697301583</v>
      </c>
      <c r="J3578" s="52">
        <v>3834.68</v>
      </c>
      <c r="K3578" s="67">
        <f t="shared" si="224"/>
        <v>34086.448309817511</v>
      </c>
      <c r="L3578" s="95">
        <f>+VLOOKUP(E3578,MARGEN!A:B,2,FALSE)</f>
        <v>0.1</v>
      </c>
      <c r="M3578" s="112">
        <f t="shared" si="221"/>
        <v>3408.6448309817515</v>
      </c>
      <c r="N3578" s="113">
        <f t="shared" si="222"/>
        <v>136.34579323927005</v>
      </c>
      <c r="O3578" s="113">
        <f t="shared" si="223"/>
        <v>30541.457685596492</v>
      </c>
    </row>
    <row r="3579" spans="1:15" x14ac:dyDescent="0.25">
      <c r="A3579" s="43">
        <v>44465</v>
      </c>
      <c r="B3579" s="51">
        <v>1295</v>
      </c>
      <c r="C3579" s="66" t="s">
        <v>302</v>
      </c>
      <c r="D3579" s="66" t="s">
        <v>538</v>
      </c>
      <c r="E3579" t="s">
        <v>17</v>
      </c>
      <c r="F3579" s="50" t="s">
        <v>573</v>
      </c>
      <c r="G3579" s="50" t="s">
        <v>574</v>
      </c>
      <c r="H3579" s="50">
        <v>2</v>
      </c>
      <c r="I3579" s="100">
        <v>6.7391919697301583</v>
      </c>
      <c r="J3579" s="52">
        <v>3834.68</v>
      </c>
      <c r="K3579" s="67">
        <f t="shared" si="224"/>
        <v>33466.224837917871</v>
      </c>
      <c r="L3579" s="95">
        <f>+VLOOKUP(E3579,MARGEN!A:B,2,FALSE)</f>
        <v>0.1</v>
      </c>
      <c r="M3579" s="112">
        <f t="shared" si="221"/>
        <v>3346.6224837917871</v>
      </c>
      <c r="N3579" s="113">
        <f t="shared" si="222"/>
        <v>133.86489935167148</v>
      </c>
      <c r="O3579" s="113">
        <f t="shared" si="223"/>
        <v>29985.737454774411</v>
      </c>
    </row>
    <row r="3580" spans="1:15" x14ac:dyDescent="0.25">
      <c r="A3580" s="13">
        <v>44465</v>
      </c>
      <c r="B3580" s="97">
        <v>1271</v>
      </c>
      <c r="C3580" t="s">
        <v>166</v>
      </c>
      <c r="D3580" t="s">
        <v>426</v>
      </c>
      <c r="E3580" t="s">
        <v>17</v>
      </c>
      <c r="F3580" t="s">
        <v>566</v>
      </c>
      <c r="G3580" s="50" t="s">
        <v>574</v>
      </c>
      <c r="H3580" s="50">
        <v>2</v>
      </c>
      <c r="I3580" s="100">
        <v>6.7391919697301583</v>
      </c>
      <c r="J3580" s="52">
        <v>3834.68</v>
      </c>
      <c r="K3580" s="67">
        <f t="shared" si="224"/>
        <v>32846.00136601823</v>
      </c>
      <c r="L3580" s="95">
        <f>+VLOOKUP(E3580,MARGEN!A:B,2,FALSE)</f>
        <v>0.1</v>
      </c>
      <c r="M3580" s="112">
        <f t="shared" si="221"/>
        <v>3284.6001366018231</v>
      </c>
      <c r="N3580" s="113">
        <f t="shared" si="222"/>
        <v>131.38400546407291</v>
      </c>
      <c r="O3580" s="113">
        <f t="shared" si="223"/>
        <v>29430.017223952334</v>
      </c>
    </row>
    <row r="3581" spans="1:15" x14ac:dyDescent="0.25">
      <c r="A3581" s="43">
        <v>44465</v>
      </c>
      <c r="B3581" s="51">
        <v>1271</v>
      </c>
      <c r="C3581" s="66" t="s">
        <v>183</v>
      </c>
      <c r="D3581" s="66" t="s">
        <v>390</v>
      </c>
      <c r="E3581" t="s">
        <v>17</v>
      </c>
      <c r="F3581" s="50" t="s">
        <v>573</v>
      </c>
      <c r="G3581" s="50" t="s">
        <v>574</v>
      </c>
      <c r="H3581" s="50">
        <v>2</v>
      </c>
      <c r="I3581" s="100">
        <v>6.7391919697301583</v>
      </c>
      <c r="J3581" s="52">
        <v>3834.68</v>
      </c>
      <c r="K3581" s="67">
        <f t="shared" si="224"/>
        <v>32846.00136601823</v>
      </c>
      <c r="L3581" s="95">
        <f>+VLOOKUP(E3581,MARGEN!A:B,2,FALSE)</f>
        <v>0.1</v>
      </c>
      <c r="M3581" s="112">
        <f t="shared" si="221"/>
        <v>3284.6001366018231</v>
      </c>
      <c r="N3581" s="113">
        <f t="shared" si="222"/>
        <v>131.38400546407291</v>
      </c>
      <c r="O3581" s="113">
        <f t="shared" si="223"/>
        <v>29430.017223952334</v>
      </c>
    </row>
    <row r="3582" spans="1:15" x14ac:dyDescent="0.25">
      <c r="A3582" s="43">
        <v>44465</v>
      </c>
      <c r="B3582" s="51">
        <v>1223</v>
      </c>
      <c r="C3582" s="66" t="s">
        <v>202</v>
      </c>
      <c r="D3582" s="66" t="s">
        <v>436</v>
      </c>
      <c r="E3582" t="s">
        <v>17</v>
      </c>
      <c r="F3582" s="50" t="s">
        <v>566</v>
      </c>
      <c r="G3582" s="50" t="s">
        <v>574</v>
      </c>
      <c r="H3582" s="50">
        <v>2</v>
      </c>
      <c r="I3582" s="100">
        <v>6.7391919697301583</v>
      </c>
      <c r="J3582" s="52">
        <v>3834.68</v>
      </c>
      <c r="K3582" s="67">
        <f t="shared" si="224"/>
        <v>31605.55442221896</v>
      </c>
      <c r="L3582" s="95">
        <f>+VLOOKUP(E3582,MARGEN!A:B,2,FALSE)</f>
        <v>0.1</v>
      </c>
      <c r="M3582" s="112">
        <f t="shared" si="221"/>
        <v>3160.5554422218961</v>
      </c>
      <c r="N3582" s="113">
        <f t="shared" si="222"/>
        <v>126.42221768887585</v>
      </c>
      <c r="O3582" s="113">
        <f t="shared" si="223"/>
        <v>28318.576762308188</v>
      </c>
    </row>
    <row r="3583" spans="1:15" x14ac:dyDescent="0.25">
      <c r="A3583" s="43">
        <v>44465</v>
      </c>
      <c r="B3583" s="51">
        <v>1199</v>
      </c>
      <c r="C3583" s="66" t="s">
        <v>298</v>
      </c>
      <c r="D3583" s="66" t="s">
        <v>536</v>
      </c>
      <c r="E3583" t="s">
        <v>17</v>
      </c>
      <c r="F3583" s="50" t="s">
        <v>573</v>
      </c>
      <c r="G3583" s="50" t="s">
        <v>574</v>
      </c>
      <c r="H3583" s="50">
        <v>2</v>
      </c>
      <c r="I3583" s="100">
        <v>6.7391919697301583</v>
      </c>
      <c r="J3583" s="52">
        <v>3834.68</v>
      </c>
      <c r="K3583" s="67">
        <f t="shared" si="224"/>
        <v>30985.330950319327</v>
      </c>
      <c r="L3583" s="95">
        <f>+VLOOKUP(E3583,MARGEN!A:B,2,FALSE)</f>
        <v>0.1</v>
      </c>
      <c r="M3583" s="112">
        <f t="shared" si="221"/>
        <v>3098.533095031933</v>
      </c>
      <c r="N3583" s="113">
        <f t="shared" si="222"/>
        <v>123.94132380127731</v>
      </c>
      <c r="O3583" s="113">
        <f t="shared" si="223"/>
        <v>27762.856531486115</v>
      </c>
    </row>
    <row r="3584" spans="1:15" x14ac:dyDescent="0.25">
      <c r="A3584" s="43">
        <v>44465</v>
      </c>
      <c r="B3584" s="51">
        <v>1199</v>
      </c>
      <c r="C3584" s="66" t="s">
        <v>303</v>
      </c>
      <c r="D3584" s="66" t="s">
        <v>539</v>
      </c>
      <c r="E3584" t="s">
        <v>17</v>
      </c>
      <c r="F3584" s="50" t="s">
        <v>573</v>
      </c>
      <c r="G3584" s="50" t="s">
        <v>574</v>
      </c>
      <c r="H3584" s="50">
        <v>2</v>
      </c>
      <c r="I3584" s="100">
        <v>6.7391919697301583</v>
      </c>
      <c r="J3584" s="52">
        <v>3834.68</v>
      </c>
      <c r="K3584" s="67">
        <f t="shared" si="224"/>
        <v>30985.330950319327</v>
      </c>
      <c r="L3584" s="95">
        <f>+VLOOKUP(E3584,MARGEN!A:B,2,FALSE)</f>
        <v>0.1</v>
      </c>
      <c r="M3584" s="112">
        <f t="shared" si="221"/>
        <v>3098.533095031933</v>
      </c>
      <c r="N3584" s="113">
        <f t="shared" si="222"/>
        <v>123.94132380127731</v>
      </c>
      <c r="O3584" s="113">
        <f t="shared" si="223"/>
        <v>27762.856531486115</v>
      </c>
    </row>
    <row r="3585" spans="1:15" x14ac:dyDescent="0.25">
      <c r="A3585" s="43">
        <v>44465</v>
      </c>
      <c r="B3585" s="51">
        <v>1199</v>
      </c>
      <c r="C3585" s="66" t="s">
        <v>199</v>
      </c>
      <c r="D3585" s="66" t="s">
        <v>414</v>
      </c>
      <c r="E3585" t="s">
        <v>17</v>
      </c>
      <c r="F3585" s="50" t="s">
        <v>573</v>
      </c>
      <c r="G3585" s="50" t="s">
        <v>574</v>
      </c>
      <c r="H3585" s="50">
        <v>2</v>
      </c>
      <c r="I3585" s="100">
        <v>6.7391919697301583</v>
      </c>
      <c r="J3585" s="52">
        <v>3834.68</v>
      </c>
      <c r="K3585" s="67">
        <f t="shared" si="224"/>
        <v>30985.330950319327</v>
      </c>
      <c r="L3585" s="95">
        <f>+VLOOKUP(E3585,MARGEN!A:B,2,FALSE)</f>
        <v>0.1</v>
      </c>
      <c r="M3585" s="112">
        <f t="shared" si="221"/>
        <v>3098.533095031933</v>
      </c>
      <c r="N3585" s="113">
        <f t="shared" si="222"/>
        <v>123.94132380127731</v>
      </c>
      <c r="O3585" s="113">
        <f t="shared" si="223"/>
        <v>27762.856531486115</v>
      </c>
    </row>
    <row r="3586" spans="1:15" x14ac:dyDescent="0.25">
      <c r="A3586" s="43">
        <v>44465</v>
      </c>
      <c r="B3586" s="51">
        <v>1175</v>
      </c>
      <c r="C3586" s="66" t="s">
        <v>308</v>
      </c>
      <c r="D3586" s="66" t="s">
        <v>500</v>
      </c>
      <c r="E3586" t="s">
        <v>17</v>
      </c>
      <c r="F3586" s="50" t="s">
        <v>566</v>
      </c>
      <c r="G3586" s="50" t="s">
        <v>574</v>
      </c>
      <c r="H3586" s="50">
        <v>2</v>
      </c>
      <c r="I3586" s="100">
        <v>6.7391919697301583</v>
      </c>
      <c r="J3586" s="52">
        <v>3834.68</v>
      </c>
      <c r="K3586" s="67">
        <f t="shared" si="224"/>
        <v>30365.10747841969</v>
      </c>
      <c r="L3586" s="95">
        <f>+VLOOKUP(E3586,MARGEN!A:B,2,FALSE)</f>
        <v>0.1</v>
      </c>
      <c r="M3586" s="112">
        <f t="shared" si="221"/>
        <v>3036.5107478419691</v>
      </c>
      <c r="N3586" s="113">
        <f t="shared" si="222"/>
        <v>121.46042991367877</v>
      </c>
      <c r="O3586" s="113">
        <f t="shared" si="223"/>
        <v>27207.136300664042</v>
      </c>
    </row>
    <row r="3587" spans="1:15" x14ac:dyDescent="0.25">
      <c r="A3587" s="43">
        <v>44465</v>
      </c>
      <c r="B3587" s="51">
        <v>1175</v>
      </c>
      <c r="C3587" s="66" t="s">
        <v>151</v>
      </c>
      <c r="D3587" s="66" t="s">
        <v>394</v>
      </c>
      <c r="E3587" t="s">
        <v>17</v>
      </c>
      <c r="F3587" s="50" t="s">
        <v>573</v>
      </c>
      <c r="G3587" s="50" t="s">
        <v>574</v>
      </c>
      <c r="H3587" s="50">
        <v>2</v>
      </c>
      <c r="I3587" s="100">
        <v>6.7391919697301583</v>
      </c>
      <c r="J3587" s="52">
        <v>3834.68</v>
      </c>
      <c r="K3587" s="67">
        <f t="shared" si="224"/>
        <v>30365.10747841969</v>
      </c>
      <c r="L3587" s="95">
        <f>+VLOOKUP(E3587,MARGEN!A:B,2,FALSE)</f>
        <v>0.1</v>
      </c>
      <c r="M3587" s="112">
        <f t="shared" ref="M3587:M3650" si="225">+K3587*L3587</f>
        <v>3036.5107478419691</v>
      </c>
      <c r="N3587" s="113">
        <f t="shared" ref="N3587:N3650" si="226">+K3587*4/1000</f>
        <v>121.46042991367877</v>
      </c>
      <c r="O3587" s="113">
        <f t="shared" ref="O3587:O3650" si="227">+K3587-M3587-N3587</f>
        <v>27207.136300664042</v>
      </c>
    </row>
    <row r="3588" spans="1:15" x14ac:dyDescent="0.25">
      <c r="A3588" s="43">
        <v>44465</v>
      </c>
      <c r="B3588" s="51">
        <v>1151</v>
      </c>
      <c r="C3588" s="66" t="s">
        <v>300</v>
      </c>
      <c r="D3588" s="66" t="s">
        <v>529</v>
      </c>
      <c r="E3588" t="s">
        <v>17</v>
      </c>
      <c r="F3588" s="50" t="s">
        <v>566</v>
      </c>
      <c r="G3588" s="50" t="s">
        <v>574</v>
      </c>
      <c r="H3588" s="50">
        <v>2</v>
      </c>
      <c r="I3588" s="100">
        <v>6.7391919697301583</v>
      </c>
      <c r="J3588" s="52">
        <v>3834.68</v>
      </c>
      <c r="K3588" s="67">
        <f t="shared" si="224"/>
        <v>29744.884006520053</v>
      </c>
      <c r="L3588" s="95">
        <f>+VLOOKUP(E3588,MARGEN!A:B,2,FALSE)</f>
        <v>0.1</v>
      </c>
      <c r="M3588" s="112">
        <f t="shared" si="225"/>
        <v>2974.4884006520056</v>
      </c>
      <c r="N3588" s="113">
        <f t="shared" si="226"/>
        <v>118.97953602608021</v>
      </c>
      <c r="O3588" s="113">
        <f t="shared" si="227"/>
        <v>26651.416069841969</v>
      </c>
    </row>
    <row r="3589" spans="1:15" x14ac:dyDescent="0.25">
      <c r="A3589" s="43">
        <v>44465</v>
      </c>
      <c r="B3589" s="51">
        <v>1151</v>
      </c>
      <c r="C3589" s="66" t="s">
        <v>201</v>
      </c>
      <c r="D3589" s="66" t="s">
        <v>374</v>
      </c>
      <c r="E3589" t="s">
        <v>17</v>
      </c>
      <c r="F3589" s="50" t="s">
        <v>573</v>
      </c>
      <c r="G3589" s="50" t="s">
        <v>574</v>
      </c>
      <c r="H3589" s="50">
        <v>2</v>
      </c>
      <c r="I3589" s="100">
        <v>6.7391919697301583</v>
      </c>
      <c r="J3589" s="52">
        <v>3834.68</v>
      </c>
      <c r="K3589" s="67">
        <f t="shared" si="224"/>
        <v>29744.884006520053</v>
      </c>
      <c r="L3589" s="95">
        <f>+VLOOKUP(E3589,MARGEN!A:B,2,FALSE)</f>
        <v>0.1</v>
      </c>
      <c r="M3589" s="112">
        <f t="shared" si="225"/>
        <v>2974.4884006520056</v>
      </c>
      <c r="N3589" s="113">
        <f t="shared" si="226"/>
        <v>118.97953602608021</v>
      </c>
      <c r="O3589" s="113">
        <f t="shared" si="227"/>
        <v>26651.416069841969</v>
      </c>
    </row>
    <row r="3590" spans="1:15" x14ac:dyDescent="0.25">
      <c r="A3590" s="43">
        <v>44465</v>
      </c>
      <c r="B3590" s="51">
        <v>1151</v>
      </c>
      <c r="C3590" s="66" t="s">
        <v>184</v>
      </c>
      <c r="D3590" s="66" t="s">
        <v>443</v>
      </c>
      <c r="E3590" t="s">
        <v>17</v>
      </c>
      <c r="F3590" s="50" t="s">
        <v>573</v>
      </c>
      <c r="G3590" s="50" t="s">
        <v>574</v>
      </c>
      <c r="H3590" s="50">
        <v>2</v>
      </c>
      <c r="I3590" s="100">
        <v>6.7391919697301583</v>
      </c>
      <c r="J3590" s="52">
        <v>3834.68</v>
      </c>
      <c r="K3590" s="67">
        <f t="shared" si="224"/>
        <v>29744.884006520053</v>
      </c>
      <c r="L3590" s="95">
        <f>+VLOOKUP(E3590,MARGEN!A:B,2,FALSE)</f>
        <v>0.1</v>
      </c>
      <c r="M3590" s="112">
        <f t="shared" si="225"/>
        <v>2974.4884006520056</v>
      </c>
      <c r="N3590" s="113">
        <f t="shared" si="226"/>
        <v>118.97953602608021</v>
      </c>
      <c r="O3590" s="113">
        <f t="shared" si="227"/>
        <v>26651.416069841969</v>
      </c>
    </row>
    <row r="3591" spans="1:15" x14ac:dyDescent="0.25">
      <c r="A3591" s="13">
        <v>44465</v>
      </c>
      <c r="B3591" s="97">
        <v>1127</v>
      </c>
      <c r="C3591" t="s">
        <v>211</v>
      </c>
      <c r="D3591" t="s">
        <v>382</v>
      </c>
      <c r="E3591" t="s">
        <v>17</v>
      </c>
      <c r="F3591" t="s">
        <v>566</v>
      </c>
      <c r="G3591" s="50" t="s">
        <v>574</v>
      </c>
      <c r="H3591" s="50">
        <v>2</v>
      </c>
      <c r="I3591" s="100">
        <v>6.7391919697301583</v>
      </c>
      <c r="J3591" s="52">
        <v>3834.68</v>
      </c>
      <c r="K3591" s="67">
        <f t="shared" si="224"/>
        <v>29124.660534620416</v>
      </c>
      <c r="L3591" s="95">
        <f>+VLOOKUP(E3591,MARGEN!A:B,2,FALSE)</f>
        <v>0.1</v>
      </c>
      <c r="M3591" s="112">
        <f t="shared" si="225"/>
        <v>2912.4660534620416</v>
      </c>
      <c r="N3591" s="113">
        <f t="shared" si="226"/>
        <v>116.49864213848167</v>
      </c>
      <c r="O3591" s="113">
        <f t="shared" si="227"/>
        <v>26095.695839019892</v>
      </c>
    </row>
    <row r="3592" spans="1:15" x14ac:dyDescent="0.25">
      <c r="A3592" s="43">
        <v>44465</v>
      </c>
      <c r="B3592" s="51">
        <v>1127</v>
      </c>
      <c r="C3592" s="66" t="s">
        <v>299</v>
      </c>
      <c r="D3592" s="66" t="s">
        <v>537</v>
      </c>
      <c r="E3592" t="s">
        <v>17</v>
      </c>
      <c r="F3592" s="50" t="s">
        <v>566</v>
      </c>
      <c r="G3592" s="50" t="s">
        <v>574</v>
      </c>
      <c r="H3592" s="50">
        <v>2</v>
      </c>
      <c r="I3592" s="100">
        <v>6.7391919697301583</v>
      </c>
      <c r="J3592" s="52">
        <v>3834.68</v>
      </c>
      <c r="K3592" s="67">
        <f t="shared" si="224"/>
        <v>29124.660534620416</v>
      </c>
      <c r="L3592" s="95">
        <f>+VLOOKUP(E3592,MARGEN!A:B,2,FALSE)</f>
        <v>0.1</v>
      </c>
      <c r="M3592" s="112">
        <f t="shared" si="225"/>
        <v>2912.4660534620416</v>
      </c>
      <c r="N3592" s="113">
        <f t="shared" si="226"/>
        <v>116.49864213848167</v>
      </c>
      <c r="O3592" s="113">
        <f t="shared" si="227"/>
        <v>26095.695839019892</v>
      </c>
    </row>
    <row r="3593" spans="1:15" x14ac:dyDescent="0.25">
      <c r="A3593" s="13">
        <v>44465</v>
      </c>
      <c r="B3593" s="97">
        <v>935</v>
      </c>
      <c r="C3593" t="s">
        <v>153</v>
      </c>
      <c r="D3593" t="s">
        <v>444</v>
      </c>
      <c r="E3593" t="s">
        <v>17</v>
      </c>
      <c r="F3593" t="s">
        <v>573</v>
      </c>
      <c r="G3593" s="50" t="s">
        <v>574</v>
      </c>
      <c r="H3593" s="50">
        <v>2</v>
      </c>
      <c r="I3593" s="100">
        <v>6.7391919697301583</v>
      </c>
      <c r="J3593" s="52">
        <v>3834.68</v>
      </c>
      <c r="K3593" s="67">
        <f t="shared" ref="K3593:K3656" si="228">+B3593*I3593*J3593/1000</f>
        <v>24162.872759423328</v>
      </c>
      <c r="L3593" s="95">
        <f>+VLOOKUP(E3593,MARGEN!A:B,2,FALSE)</f>
        <v>0.1</v>
      </c>
      <c r="M3593" s="112">
        <f t="shared" si="225"/>
        <v>2416.2872759423331</v>
      </c>
      <c r="N3593" s="113">
        <f t="shared" si="226"/>
        <v>96.651491037693305</v>
      </c>
      <c r="O3593" s="113">
        <f t="shared" si="227"/>
        <v>21649.933992443301</v>
      </c>
    </row>
    <row r="3594" spans="1:15" x14ac:dyDescent="0.25">
      <c r="A3594" s="43">
        <v>44465</v>
      </c>
      <c r="B3594" s="51">
        <v>935</v>
      </c>
      <c r="C3594" s="66" t="s">
        <v>195</v>
      </c>
      <c r="D3594" s="66" t="s">
        <v>392</v>
      </c>
      <c r="E3594" t="s">
        <v>17</v>
      </c>
      <c r="F3594" s="50" t="s">
        <v>566</v>
      </c>
      <c r="G3594" s="50" t="s">
        <v>574</v>
      </c>
      <c r="H3594" s="50">
        <v>2</v>
      </c>
      <c r="I3594" s="100">
        <v>6.7391919697301583</v>
      </c>
      <c r="J3594" s="52">
        <v>3834.68</v>
      </c>
      <c r="K3594" s="67">
        <f t="shared" si="228"/>
        <v>24162.872759423328</v>
      </c>
      <c r="L3594" s="95">
        <f>+VLOOKUP(E3594,MARGEN!A:B,2,FALSE)</f>
        <v>0.1</v>
      </c>
      <c r="M3594" s="112">
        <f t="shared" si="225"/>
        <v>2416.2872759423331</v>
      </c>
      <c r="N3594" s="113">
        <f t="shared" si="226"/>
        <v>96.651491037693305</v>
      </c>
      <c r="O3594" s="113">
        <f t="shared" si="227"/>
        <v>21649.933992443301</v>
      </c>
    </row>
    <row r="3595" spans="1:15" x14ac:dyDescent="0.25">
      <c r="A3595" s="43">
        <v>44465</v>
      </c>
      <c r="B3595" s="51">
        <v>791</v>
      </c>
      <c r="C3595" s="66" t="s">
        <v>307</v>
      </c>
      <c r="D3595" s="66" t="s">
        <v>497</v>
      </c>
      <c r="E3595" t="s">
        <v>17</v>
      </c>
      <c r="F3595" s="50" t="s">
        <v>573</v>
      </c>
      <c r="G3595" s="50" t="s">
        <v>574</v>
      </c>
      <c r="H3595" s="50">
        <v>2</v>
      </c>
      <c r="I3595" s="100">
        <v>6.7391919697301583</v>
      </c>
      <c r="J3595" s="52">
        <v>3834.68</v>
      </c>
      <c r="K3595" s="67">
        <f t="shared" si="228"/>
        <v>20441.53192802551</v>
      </c>
      <c r="L3595" s="95">
        <f>+VLOOKUP(E3595,MARGEN!A:B,2,FALSE)</f>
        <v>0.1</v>
      </c>
      <c r="M3595" s="112">
        <f t="shared" si="225"/>
        <v>2044.1531928025511</v>
      </c>
      <c r="N3595" s="113">
        <f t="shared" si="226"/>
        <v>81.766127712102033</v>
      </c>
      <c r="O3595" s="113">
        <f t="shared" si="227"/>
        <v>18315.612607510859</v>
      </c>
    </row>
    <row r="3596" spans="1:15" x14ac:dyDescent="0.25">
      <c r="A3596" s="43">
        <v>44465</v>
      </c>
      <c r="B3596" s="51">
        <v>719</v>
      </c>
      <c r="C3596" s="66" t="s">
        <v>181</v>
      </c>
      <c r="D3596" s="66" t="s">
        <v>415</v>
      </c>
      <c r="E3596" t="s">
        <v>17</v>
      </c>
      <c r="F3596" s="50" t="s">
        <v>573</v>
      </c>
      <c r="G3596" s="50" t="s">
        <v>574</v>
      </c>
      <c r="H3596" s="50">
        <v>2</v>
      </c>
      <c r="I3596" s="100">
        <v>6.7391919697301583</v>
      </c>
      <c r="J3596" s="52">
        <v>3834.68</v>
      </c>
      <c r="K3596" s="67">
        <f t="shared" si="228"/>
        <v>18580.861512326603</v>
      </c>
      <c r="L3596" s="95">
        <f>+VLOOKUP(E3596,MARGEN!A:B,2,FALSE)</f>
        <v>0.1</v>
      </c>
      <c r="M3596" s="112">
        <f t="shared" si="225"/>
        <v>1858.0861512326603</v>
      </c>
      <c r="N3596" s="113">
        <f t="shared" si="226"/>
        <v>74.323446049306412</v>
      </c>
      <c r="O3596" s="113">
        <f t="shared" si="227"/>
        <v>16648.451915044636</v>
      </c>
    </row>
    <row r="3597" spans="1:15" x14ac:dyDescent="0.25">
      <c r="A3597" s="43">
        <v>44466</v>
      </c>
      <c r="B3597" s="51">
        <v>8255</v>
      </c>
      <c r="C3597" s="66" t="s">
        <v>164</v>
      </c>
      <c r="D3597" s="66" t="s">
        <v>445</v>
      </c>
      <c r="E3597" t="s">
        <v>17</v>
      </c>
      <c r="F3597" s="50" t="s">
        <v>573</v>
      </c>
      <c r="G3597" s="50" t="s">
        <v>574</v>
      </c>
      <c r="H3597" s="50">
        <v>2</v>
      </c>
      <c r="I3597" s="100">
        <v>6.7391919697301583</v>
      </c>
      <c r="J3597" s="52">
        <v>3834.68</v>
      </c>
      <c r="K3597" s="67">
        <f t="shared" si="228"/>
        <v>213331.03168881236</v>
      </c>
      <c r="L3597" s="95">
        <f>+VLOOKUP(E3597,MARGEN!A:B,2,FALSE)</f>
        <v>0.1</v>
      </c>
      <c r="M3597" s="112">
        <f t="shared" si="225"/>
        <v>21333.103168881236</v>
      </c>
      <c r="N3597" s="113">
        <f t="shared" si="226"/>
        <v>853.32412675524949</v>
      </c>
      <c r="O3597" s="113">
        <f t="shared" si="227"/>
        <v>191144.60439317589</v>
      </c>
    </row>
    <row r="3598" spans="1:15" x14ac:dyDescent="0.25">
      <c r="A3598" s="43">
        <v>44466</v>
      </c>
      <c r="B3598" s="51">
        <v>6767</v>
      </c>
      <c r="C3598" s="66" t="s">
        <v>150</v>
      </c>
      <c r="D3598" s="66" t="s">
        <v>357</v>
      </c>
      <c r="E3598" t="s">
        <v>17</v>
      </c>
      <c r="F3598" s="50" t="s">
        <v>573</v>
      </c>
      <c r="G3598" s="50" t="s">
        <v>574</v>
      </c>
      <c r="H3598" s="50">
        <v>2</v>
      </c>
      <c r="I3598" s="100">
        <v>6.7391919697301583</v>
      </c>
      <c r="J3598" s="52">
        <v>3834.68</v>
      </c>
      <c r="K3598" s="67">
        <f t="shared" si="228"/>
        <v>174877.17643103495</v>
      </c>
      <c r="L3598" s="95">
        <f>+VLOOKUP(E3598,MARGEN!A:B,2,FALSE)</f>
        <v>0.1</v>
      </c>
      <c r="M3598" s="112">
        <f t="shared" si="225"/>
        <v>17487.717643103497</v>
      </c>
      <c r="N3598" s="113">
        <f t="shared" si="226"/>
        <v>699.50870572413976</v>
      </c>
      <c r="O3598" s="113">
        <f t="shared" si="227"/>
        <v>156689.9500822073</v>
      </c>
    </row>
    <row r="3599" spans="1:15" x14ac:dyDescent="0.25">
      <c r="A3599" s="43">
        <v>44466</v>
      </c>
      <c r="B3599" s="51">
        <v>5951</v>
      </c>
      <c r="C3599" s="66" t="s">
        <v>279</v>
      </c>
      <c r="D3599" s="66" t="s">
        <v>493</v>
      </c>
      <c r="E3599" t="s">
        <v>17</v>
      </c>
      <c r="F3599" s="50" t="s">
        <v>573</v>
      </c>
      <c r="G3599" s="50" t="s">
        <v>574</v>
      </c>
      <c r="H3599" s="50">
        <v>2</v>
      </c>
      <c r="I3599" s="100">
        <v>6.7391919697301583</v>
      </c>
      <c r="J3599" s="52">
        <v>3834.68</v>
      </c>
      <c r="K3599" s="67">
        <f t="shared" si="228"/>
        <v>153789.57838644728</v>
      </c>
      <c r="L3599" s="95">
        <f>+VLOOKUP(E3599,MARGEN!A:B,2,FALSE)</f>
        <v>0.1</v>
      </c>
      <c r="M3599" s="112">
        <f t="shared" si="225"/>
        <v>15378.957838644728</v>
      </c>
      <c r="N3599" s="113">
        <f t="shared" si="226"/>
        <v>615.15831354578916</v>
      </c>
      <c r="O3599" s="113">
        <f t="shared" si="227"/>
        <v>137795.46223425676</v>
      </c>
    </row>
    <row r="3600" spans="1:15" x14ac:dyDescent="0.25">
      <c r="A3600" s="43">
        <v>44466</v>
      </c>
      <c r="B3600" s="51">
        <v>5279</v>
      </c>
      <c r="C3600" s="66" t="s">
        <v>278</v>
      </c>
      <c r="D3600" s="66" t="s">
        <v>453</v>
      </c>
      <c r="E3600" t="s">
        <v>17</v>
      </c>
      <c r="F3600" s="50" t="s">
        <v>573</v>
      </c>
      <c r="G3600" s="50" t="s">
        <v>574</v>
      </c>
      <c r="H3600" s="50">
        <v>2</v>
      </c>
      <c r="I3600" s="100">
        <v>6.7391919697301583</v>
      </c>
      <c r="J3600" s="52">
        <v>3834.68</v>
      </c>
      <c r="K3600" s="67">
        <f t="shared" si="228"/>
        <v>136423.32117325746</v>
      </c>
      <c r="L3600" s="95">
        <f>+VLOOKUP(E3600,MARGEN!A:B,2,FALSE)</f>
        <v>0.1</v>
      </c>
      <c r="M3600" s="112">
        <f t="shared" si="225"/>
        <v>13642.332117325746</v>
      </c>
      <c r="N3600" s="113">
        <f t="shared" si="226"/>
        <v>545.6932846930298</v>
      </c>
      <c r="O3600" s="113">
        <f t="shared" si="227"/>
        <v>122235.29577123869</v>
      </c>
    </row>
    <row r="3601" spans="1:15" x14ac:dyDescent="0.25">
      <c r="A3601" s="43">
        <v>44466</v>
      </c>
      <c r="B3601" s="51">
        <v>4631</v>
      </c>
      <c r="C3601" s="66" t="s">
        <v>136</v>
      </c>
      <c r="D3601" s="66" t="s">
        <v>359</v>
      </c>
      <c r="E3601" t="s">
        <v>17</v>
      </c>
      <c r="F3601" s="50" t="s">
        <v>573</v>
      </c>
      <c r="G3601" s="50" t="s">
        <v>574</v>
      </c>
      <c r="H3601" s="50">
        <v>2</v>
      </c>
      <c r="I3601" s="100">
        <v>6.7391919697301583</v>
      </c>
      <c r="J3601" s="52">
        <v>3834.68</v>
      </c>
      <c r="K3601" s="67">
        <f t="shared" si="228"/>
        <v>119677.28743196731</v>
      </c>
      <c r="L3601" s="95">
        <f>+VLOOKUP(E3601,MARGEN!A:B,2,FALSE)</f>
        <v>0.1</v>
      </c>
      <c r="M3601" s="112">
        <f t="shared" si="225"/>
        <v>11967.728743196732</v>
      </c>
      <c r="N3601" s="113">
        <f t="shared" si="226"/>
        <v>478.70914972786926</v>
      </c>
      <c r="O3601" s="113">
        <f t="shared" si="227"/>
        <v>107230.84953904271</v>
      </c>
    </row>
    <row r="3602" spans="1:15" x14ac:dyDescent="0.25">
      <c r="A3602" s="43">
        <v>44466</v>
      </c>
      <c r="B3602" s="51">
        <v>4271</v>
      </c>
      <c r="C3602" s="66" t="s">
        <v>193</v>
      </c>
      <c r="D3602" s="66" t="s">
        <v>380</v>
      </c>
      <c r="E3602" t="s">
        <v>17</v>
      </c>
      <c r="F3602" s="50" t="s">
        <v>573</v>
      </c>
      <c r="G3602" s="50" t="s">
        <v>574</v>
      </c>
      <c r="H3602" s="50">
        <v>2</v>
      </c>
      <c r="I3602" s="100">
        <v>6.7391919697301583</v>
      </c>
      <c r="J3602" s="52">
        <v>3834.68</v>
      </c>
      <c r="K3602" s="67">
        <f t="shared" si="228"/>
        <v>110373.93535347277</v>
      </c>
      <c r="L3602" s="95">
        <f>+VLOOKUP(E3602,MARGEN!A:B,2,FALSE)</f>
        <v>0.1</v>
      </c>
      <c r="M3602" s="112">
        <f t="shared" si="225"/>
        <v>11037.393535347277</v>
      </c>
      <c r="N3602" s="113">
        <f t="shared" si="226"/>
        <v>441.4957414138911</v>
      </c>
      <c r="O3602" s="113">
        <f t="shared" si="227"/>
        <v>98895.046076711602</v>
      </c>
    </row>
    <row r="3603" spans="1:15" x14ac:dyDescent="0.25">
      <c r="A3603" s="43">
        <v>44466</v>
      </c>
      <c r="B3603" s="51">
        <v>3959</v>
      </c>
      <c r="C3603" s="66" t="s">
        <v>301</v>
      </c>
      <c r="D3603" s="66" t="s">
        <v>521</v>
      </c>
      <c r="E3603" t="s">
        <v>17</v>
      </c>
      <c r="F3603" s="50" t="s">
        <v>558</v>
      </c>
      <c r="G3603" s="50" t="s">
        <v>574</v>
      </c>
      <c r="H3603" s="50">
        <v>2</v>
      </c>
      <c r="I3603" s="100">
        <v>6.7391919697301583</v>
      </c>
      <c r="J3603" s="52">
        <v>3834.68</v>
      </c>
      <c r="K3603" s="67">
        <f t="shared" si="228"/>
        <v>102311.03021877749</v>
      </c>
      <c r="L3603" s="95">
        <f>+VLOOKUP(E3603,MARGEN!A:B,2,FALSE)</f>
        <v>0.1</v>
      </c>
      <c r="M3603" s="112">
        <f t="shared" si="225"/>
        <v>10231.103021877751</v>
      </c>
      <c r="N3603" s="113">
        <f t="shared" si="226"/>
        <v>409.24412087510996</v>
      </c>
      <c r="O3603" s="113">
        <f t="shared" si="227"/>
        <v>91670.683076024638</v>
      </c>
    </row>
    <row r="3604" spans="1:15" x14ac:dyDescent="0.25">
      <c r="A3604" s="43">
        <v>44466</v>
      </c>
      <c r="B3604" s="51">
        <v>3887</v>
      </c>
      <c r="C3604" s="66" t="s">
        <v>293</v>
      </c>
      <c r="D3604" s="66" t="s">
        <v>499</v>
      </c>
      <c r="E3604" t="s">
        <v>17</v>
      </c>
      <c r="F3604" s="50" t="s">
        <v>573</v>
      </c>
      <c r="G3604" s="50" t="s">
        <v>574</v>
      </c>
      <c r="H3604" s="50">
        <v>2</v>
      </c>
      <c r="I3604" s="100">
        <v>6.7391919697301583</v>
      </c>
      <c r="J3604" s="52">
        <v>3834.68</v>
      </c>
      <c r="K3604" s="67">
        <f t="shared" si="228"/>
        <v>100450.35980307858</v>
      </c>
      <c r="L3604" s="95">
        <f>+VLOOKUP(E3604,MARGEN!A:B,2,FALSE)</f>
        <v>0.1</v>
      </c>
      <c r="M3604" s="112">
        <f t="shared" si="225"/>
        <v>10045.035980307859</v>
      </c>
      <c r="N3604" s="113">
        <f t="shared" si="226"/>
        <v>401.80143921231434</v>
      </c>
      <c r="O3604" s="113">
        <f t="shared" si="227"/>
        <v>90003.522383558404</v>
      </c>
    </row>
    <row r="3605" spans="1:15" x14ac:dyDescent="0.25">
      <c r="A3605" s="43">
        <v>44466</v>
      </c>
      <c r="B3605" s="51">
        <v>3695</v>
      </c>
      <c r="C3605" s="66" t="s">
        <v>144</v>
      </c>
      <c r="D3605" s="66" t="s">
        <v>343</v>
      </c>
      <c r="E3605" t="s">
        <v>17</v>
      </c>
      <c r="F3605" s="50" t="s">
        <v>573</v>
      </c>
      <c r="G3605" s="50" t="s">
        <v>574</v>
      </c>
      <c r="H3605" s="50">
        <v>2</v>
      </c>
      <c r="I3605" s="100">
        <v>6.7391919697301583</v>
      </c>
      <c r="J3605" s="52">
        <v>3834.68</v>
      </c>
      <c r="K3605" s="67">
        <f t="shared" si="228"/>
        <v>95488.572027881484</v>
      </c>
      <c r="L3605" s="95">
        <f>+VLOOKUP(E3605,MARGEN!A:B,2,FALSE)</f>
        <v>0.1</v>
      </c>
      <c r="M3605" s="112">
        <f t="shared" si="225"/>
        <v>9548.8572027881492</v>
      </c>
      <c r="N3605" s="113">
        <f t="shared" si="226"/>
        <v>381.95428811152595</v>
      </c>
      <c r="O3605" s="113">
        <f t="shared" si="227"/>
        <v>85557.760536981819</v>
      </c>
    </row>
    <row r="3606" spans="1:15" x14ac:dyDescent="0.25">
      <c r="A3606" s="43">
        <v>44466</v>
      </c>
      <c r="B3606" s="51">
        <v>3623</v>
      </c>
      <c r="C3606" s="66" t="s">
        <v>149</v>
      </c>
      <c r="D3606" s="66" t="s">
        <v>325</v>
      </c>
      <c r="E3606" t="s">
        <v>17</v>
      </c>
      <c r="F3606" s="50" t="s">
        <v>573</v>
      </c>
      <c r="G3606" s="50" t="s">
        <v>574</v>
      </c>
      <c r="H3606" s="50">
        <v>2</v>
      </c>
      <c r="I3606" s="100">
        <v>6.7391919697301583</v>
      </c>
      <c r="J3606" s="52">
        <v>3834.68</v>
      </c>
      <c r="K3606" s="67">
        <f t="shared" si="228"/>
        <v>93627.901612182584</v>
      </c>
      <c r="L3606" s="95">
        <f>+VLOOKUP(E3606,MARGEN!A:B,2,FALSE)</f>
        <v>0.1</v>
      </c>
      <c r="M3606" s="112">
        <f t="shared" si="225"/>
        <v>9362.7901612182595</v>
      </c>
      <c r="N3606" s="113">
        <f t="shared" si="226"/>
        <v>374.51160644873033</v>
      </c>
      <c r="O3606" s="113">
        <f t="shared" si="227"/>
        <v>83890.599844515586</v>
      </c>
    </row>
    <row r="3607" spans="1:15" x14ac:dyDescent="0.25">
      <c r="A3607" s="43">
        <v>44466</v>
      </c>
      <c r="B3607" s="51">
        <v>3599</v>
      </c>
      <c r="C3607" s="66" t="s">
        <v>192</v>
      </c>
      <c r="D3607" s="66" t="s">
        <v>347</v>
      </c>
      <c r="E3607" t="s">
        <v>17</v>
      </c>
      <c r="F3607" s="50" t="s">
        <v>573</v>
      </c>
      <c r="G3607" s="50" t="s">
        <v>574</v>
      </c>
      <c r="H3607" s="50">
        <v>2</v>
      </c>
      <c r="I3607" s="100">
        <v>6.7391919697301583</v>
      </c>
      <c r="J3607" s="52">
        <v>3834.68</v>
      </c>
      <c r="K3607" s="67">
        <f t="shared" si="228"/>
        <v>93007.678140282951</v>
      </c>
      <c r="L3607" s="95">
        <f>+VLOOKUP(E3607,MARGEN!A:B,2,FALSE)</f>
        <v>0.1</v>
      </c>
      <c r="M3607" s="112">
        <f t="shared" si="225"/>
        <v>9300.7678140282951</v>
      </c>
      <c r="N3607" s="113">
        <f t="shared" si="226"/>
        <v>372.03071256113179</v>
      </c>
      <c r="O3607" s="113">
        <f t="shared" si="227"/>
        <v>83334.879613693527</v>
      </c>
    </row>
    <row r="3608" spans="1:15" x14ac:dyDescent="0.25">
      <c r="A3608" s="43">
        <v>44466</v>
      </c>
      <c r="B3608" s="51">
        <v>3479</v>
      </c>
      <c r="C3608" s="66" t="s">
        <v>165</v>
      </c>
      <c r="D3608" s="66" t="s">
        <v>375</v>
      </c>
      <c r="E3608" t="s">
        <v>17</v>
      </c>
      <c r="F3608" s="50" t="s">
        <v>573</v>
      </c>
      <c r="G3608" s="50" t="s">
        <v>574</v>
      </c>
      <c r="H3608" s="50">
        <v>2</v>
      </c>
      <c r="I3608" s="100">
        <v>6.7391919697301583</v>
      </c>
      <c r="J3608" s="52">
        <v>3834.68</v>
      </c>
      <c r="K3608" s="67">
        <f t="shared" si="228"/>
        <v>89906.56078078477</v>
      </c>
      <c r="L3608" s="95">
        <f>+VLOOKUP(E3608,MARGEN!A:B,2,FALSE)</f>
        <v>0.1</v>
      </c>
      <c r="M3608" s="112">
        <f t="shared" si="225"/>
        <v>8990.6560780784766</v>
      </c>
      <c r="N3608" s="113">
        <f t="shared" si="226"/>
        <v>359.62624312313909</v>
      </c>
      <c r="O3608" s="113">
        <f t="shared" si="227"/>
        <v>80556.278459583147</v>
      </c>
    </row>
    <row r="3609" spans="1:15" x14ac:dyDescent="0.25">
      <c r="A3609" s="43">
        <v>44466</v>
      </c>
      <c r="B3609" s="51">
        <v>3383</v>
      </c>
      <c r="C3609" s="66" t="s">
        <v>135</v>
      </c>
      <c r="D3609" s="66" t="s">
        <v>533</v>
      </c>
      <c r="E3609" t="s">
        <v>17</v>
      </c>
      <c r="F3609" s="50" t="s">
        <v>573</v>
      </c>
      <c r="G3609" s="50" t="s">
        <v>574</v>
      </c>
      <c r="H3609" s="50">
        <v>2</v>
      </c>
      <c r="I3609" s="100">
        <v>6.7391919697301583</v>
      </c>
      <c r="J3609" s="52">
        <v>3834.68</v>
      </c>
      <c r="K3609" s="67">
        <f t="shared" si="228"/>
        <v>87425.666893186222</v>
      </c>
      <c r="L3609" s="95">
        <f>+VLOOKUP(E3609,MARGEN!A:B,2,FALSE)</f>
        <v>0.1</v>
      </c>
      <c r="M3609" s="112">
        <f t="shared" si="225"/>
        <v>8742.5666893186226</v>
      </c>
      <c r="N3609" s="113">
        <f t="shared" si="226"/>
        <v>349.70266757274487</v>
      </c>
      <c r="O3609" s="113">
        <f t="shared" si="227"/>
        <v>78333.397536294855</v>
      </c>
    </row>
    <row r="3610" spans="1:15" x14ac:dyDescent="0.25">
      <c r="A3610" s="43">
        <v>44466</v>
      </c>
      <c r="B3610" s="51">
        <v>3359</v>
      </c>
      <c r="C3610" s="66" t="s">
        <v>309</v>
      </c>
      <c r="D3610" s="66" t="s">
        <v>544</v>
      </c>
      <c r="E3610" t="s">
        <v>17</v>
      </c>
      <c r="F3610" s="50" t="s">
        <v>573</v>
      </c>
      <c r="G3610" s="50" t="s">
        <v>574</v>
      </c>
      <c r="H3610" s="50">
        <v>2</v>
      </c>
      <c r="I3610" s="100">
        <v>6.7391919697301583</v>
      </c>
      <c r="J3610" s="52">
        <v>3834.68</v>
      </c>
      <c r="K3610" s="67">
        <f t="shared" si="228"/>
        <v>86805.443421286589</v>
      </c>
      <c r="L3610" s="95">
        <f>+VLOOKUP(E3610,MARGEN!A:B,2,FALSE)</f>
        <v>0.1</v>
      </c>
      <c r="M3610" s="112">
        <f t="shared" si="225"/>
        <v>8680.54434212866</v>
      </c>
      <c r="N3610" s="113">
        <f t="shared" si="226"/>
        <v>347.22177368514633</v>
      </c>
      <c r="O3610" s="113">
        <f t="shared" si="227"/>
        <v>77777.677305472782</v>
      </c>
    </row>
    <row r="3611" spans="1:15" x14ac:dyDescent="0.25">
      <c r="A3611" s="43">
        <v>44466</v>
      </c>
      <c r="B3611" s="51">
        <v>2903</v>
      </c>
      <c r="C3611" s="66" t="s">
        <v>134</v>
      </c>
      <c r="D3611" s="66" t="s">
        <v>362</v>
      </c>
      <c r="E3611" t="s">
        <v>17</v>
      </c>
      <c r="F3611" s="50" t="s">
        <v>573</v>
      </c>
      <c r="G3611" s="50" t="s">
        <v>574</v>
      </c>
      <c r="H3611" s="50">
        <v>2</v>
      </c>
      <c r="I3611" s="100">
        <v>6.7391919697301583</v>
      </c>
      <c r="J3611" s="52">
        <v>3834.68</v>
      </c>
      <c r="K3611" s="67">
        <f t="shared" si="228"/>
        <v>75021.197455193484</v>
      </c>
      <c r="L3611" s="95">
        <f>+VLOOKUP(E3611,MARGEN!A:B,2,FALSE)</f>
        <v>0.1</v>
      </c>
      <c r="M3611" s="112">
        <f t="shared" si="225"/>
        <v>7502.1197455193487</v>
      </c>
      <c r="N3611" s="113">
        <f t="shared" si="226"/>
        <v>300.08478982077395</v>
      </c>
      <c r="O3611" s="113">
        <f t="shared" si="227"/>
        <v>67218.992919853365</v>
      </c>
    </row>
    <row r="3612" spans="1:15" x14ac:dyDescent="0.25">
      <c r="A3612" s="43">
        <v>44466</v>
      </c>
      <c r="B3612" s="51">
        <v>2783</v>
      </c>
      <c r="C3612" s="66" t="s">
        <v>131</v>
      </c>
      <c r="D3612" s="66" t="s">
        <v>344</v>
      </c>
      <c r="E3612" t="s">
        <v>17</v>
      </c>
      <c r="F3612" s="50" t="s">
        <v>573</v>
      </c>
      <c r="G3612" s="50" t="s">
        <v>574</v>
      </c>
      <c r="H3612" s="50">
        <v>2</v>
      </c>
      <c r="I3612" s="100">
        <v>6.7391919697301583</v>
      </c>
      <c r="J3612" s="52">
        <v>3834.68</v>
      </c>
      <c r="K3612" s="67">
        <f t="shared" si="228"/>
        <v>71920.080095695317</v>
      </c>
      <c r="L3612" s="95">
        <f>+VLOOKUP(E3612,MARGEN!A:B,2,FALSE)</f>
        <v>0.1</v>
      </c>
      <c r="M3612" s="112">
        <f t="shared" si="225"/>
        <v>7192.0080095695321</v>
      </c>
      <c r="N3612" s="113">
        <f t="shared" si="226"/>
        <v>287.68032038278125</v>
      </c>
      <c r="O3612" s="113">
        <f t="shared" si="227"/>
        <v>64440.391765743007</v>
      </c>
    </row>
    <row r="3613" spans="1:15" x14ac:dyDescent="0.25">
      <c r="A3613" s="43">
        <v>44466</v>
      </c>
      <c r="B3613" s="51">
        <v>2711</v>
      </c>
      <c r="C3613" s="66" t="s">
        <v>132</v>
      </c>
      <c r="D3613" s="66" t="s">
        <v>376</v>
      </c>
      <c r="E3613" t="s">
        <v>17</v>
      </c>
      <c r="F3613" s="50" t="s">
        <v>573</v>
      </c>
      <c r="G3613" s="50" t="s">
        <v>574</v>
      </c>
      <c r="H3613" s="50">
        <v>2</v>
      </c>
      <c r="I3613" s="100">
        <v>6.7391919697301583</v>
      </c>
      <c r="J3613" s="52">
        <v>3834.68</v>
      </c>
      <c r="K3613" s="67">
        <f t="shared" si="228"/>
        <v>70059.409679996417</v>
      </c>
      <c r="L3613" s="95">
        <f>+VLOOKUP(E3613,MARGEN!A:B,2,FALSE)</f>
        <v>0.1</v>
      </c>
      <c r="M3613" s="112">
        <f t="shared" si="225"/>
        <v>7005.9409679996425</v>
      </c>
      <c r="N3613" s="113">
        <f t="shared" si="226"/>
        <v>280.23763871998568</v>
      </c>
      <c r="O3613" s="113">
        <f t="shared" si="227"/>
        <v>62773.231073276787</v>
      </c>
    </row>
    <row r="3614" spans="1:15" x14ac:dyDescent="0.25">
      <c r="A3614" s="43">
        <v>44466</v>
      </c>
      <c r="B3614" s="51">
        <v>2591</v>
      </c>
      <c r="C3614" s="66" t="s">
        <v>186</v>
      </c>
      <c r="D3614" s="66" t="s">
        <v>440</v>
      </c>
      <c r="E3614" t="s">
        <v>17</v>
      </c>
      <c r="F3614" s="50" t="s">
        <v>573</v>
      </c>
      <c r="G3614" s="50" t="s">
        <v>574</v>
      </c>
      <c r="H3614" s="50">
        <v>2</v>
      </c>
      <c r="I3614" s="100">
        <v>6.7391919697301583</v>
      </c>
      <c r="J3614" s="52">
        <v>3834.68</v>
      </c>
      <c r="K3614" s="67">
        <f t="shared" si="228"/>
        <v>66958.292320498222</v>
      </c>
      <c r="L3614" s="95">
        <f>+VLOOKUP(E3614,MARGEN!A:B,2,FALSE)</f>
        <v>0.1</v>
      </c>
      <c r="M3614" s="112">
        <f t="shared" si="225"/>
        <v>6695.8292320498222</v>
      </c>
      <c r="N3614" s="113">
        <f t="shared" si="226"/>
        <v>267.83316928199287</v>
      </c>
      <c r="O3614" s="113">
        <f t="shared" si="227"/>
        <v>59994.629919166407</v>
      </c>
    </row>
    <row r="3615" spans="1:15" x14ac:dyDescent="0.25">
      <c r="A3615" s="43">
        <v>44466</v>
      </c>
      <c r="B3615" s="51">
        <v>2567</v>
      </c>
      <c r="C3615" s="66" t="s">
        <v>310</v>
      </c>
      <c r="D3615" s="66" t="s">
        <v>540</v>
      </c>
      <c r="E3615" t="s">
        <v>17</v>
      </c>
      <c r="F3615" s="50" t="s">
        <v>573</v>
      </c>
      <c r="G3615" s="50" t="s">
        <v>574</v>
      </c>
      <c r="H3615" s="50">
        <v>2</v>
      </c>
      <c r="I3615" s="100">
        <v>6.7391919697301583</v>
      </c>
      <c r="J3615" s="52">
        <v>3834.68</v>
      </c>
      <c r="K3615" s="67">
        <f t="shared" si="228"/>
        <v>66338.068848598588</v>
      </c>
      <c r="L3615" s="95">
        <f>+VLOOKUP(E3615,MARGEN!A:B,2,FALSE)</f>
        <v>0.1</v>
      </c>
      <c r="M3615" s="112">
        <f t="shared" si="225"/>
        <v>6633.8068848598596</v>
      </c>
      <c r="N3615" s="113">
        <f t="shared" si="226"/>
        <v>265.35227539439433</v>
      </c>
      <c r="O3615" s="113">
        <f t="shared" si="227"/>
        <v>59438.909688344334</v>
      </c>
    </row>
    <row r="3616" spans="1:15" x14ac:dyDescent="0.25">
      <c r="A3616" s="43">
        <v>44466</v>
      </c>
      <c r="B3616" s="51">
        <v>2543</v>
      </c>
      <c r="C3616" s="66" t="s">
        <v>146</v>
      </c>
      <c r="D3616" s="66" t="s">
        <v>348</v>
      </c>
      <c r="E3616" t="s">
        <v>17</v>
      </c>
      <c r="F3616" s="50" t="s">
        <v>573</v>
      </c>
      <c r="G3616" s="50" t="s">
        <v>574</v>
      </c>
      <c r="H3616" s="50">
        <v>2</v>
      </c>
      <c r="I3616" s="100">
        <v>6.7391919697301583</v>
      </c>
      <c r="J3616" s="52">
        <v>3834.68</v>
      </c>
      <c r="K3616" s="67">
        <f t="shared" si="228"/>
        <v>65717.84537669897</v>
      </c>
      <c r="L3616" s="95">
        <f>+VLOOKUP(E3616,MARGEN!A:B,2,FALSE)</f>
        <v>0.1</v>
      </c>
      <c r="M3616" s="112">
        <f t="shared" si="225"/>
        <v>6571.784537669897</v>
      </c>
      <c r="N3616" s="113">
        <f t="shared" si="226"/>
        <v>262.8713815067959</v>
      </c>
      <c r="O3616" s="113">
        <f t="shared" si="227"/>
        <v>58883.189457522276</v>
      </c>
    </row>
    <row r="3617" spans="1:15" x14ac:dyDescent="0.25">
      <c r="A3617" s="43">
        <v>44466</v>
      </c>
      <c r="B3617" s="51">
        <v>2399</v>
      </c>
      <c r="C3617" s="66" t="s">
        <v>281</v>
      </c>
      <c r="D3617" s="66" t="s">
        <v>495</v>
      </c>
      <c r="E3617" t="s">
        <v>17</v>
      </c>
      <c r="F3617" s="50" t="s">
        <v>573</v>
      </c>
      <c r="G3617" s="50" t="s">
        <v>574</v>
      </c>
      <c r="H3617" s="50">
        <v>2</v>
      </c>
      <c r="I3617" s="100">
        <v>6.7391919697301583</v>
      </c>
      <c r="J3617" s="52">
        <v>3834.68</v>
      </c>
      <c r="K3617" s="67">
        <f t="shared" si="228"/>
        <v>61996.504545301133</v>
      </c>
      <c r="L3617" s="95">
        <f>+VLOOKUP(E3617,MARGEN!A:B,2,FALSE)</f>
        <v>0.1</v>
      </c>
      <c r="M3617" s="112">
        <f t="shared" si="225"/>
        <v>6199.6504545301141</v>
      </c>
      <c r="N3617" s="113">
        <f t="shared" si="226"/>
        <v>247.98601818120454</v>
      </c>
      <c r="O3617" s="113">
        <f t="shared" si="227"/>
        <v>55548.868072589816</v>
      </c>
    </row>
    <row r="3618" spans="1:15" x14ac:dyDescent="0.25">
      <c r="A3618" s="43">
        <v>44466</v>
      </c>
      <c r="B3618" s="51">
        <v>2303</v>
      </c>
      <c r="C3618" s="66" t="s">
        <v>130</v>
      </c>
      <c r="D3618" s="66" t="s">
        <v>367</v>
      </c>
      <c r="E3618" t="s">
        <v>17</v>
      </c>
      <c r="F3618" s="50" t="s">
        <v>573</v>
      </c>
      <c r="G3618" s="50" t="s">
        <v>574</v>
      </c>
      <c r="H3618" s="50">
        <v>2</v>
      </c>
      <c r="I3618" s="100">
        <v>6.7391919697301583</v>
      </c>
      <c r="J3618" s="52">
        <v>3834.68</v>
      </c>
      <c r="K3618" s="67">
        <f t="shared" si="228"/>
        <v>59515.610657702593</v>
      </c>
      <c r="L3618" s="95">
        <f>+VLOOKUP(E3618,MARGEN!A:B,2,FALSE)</f>
        <v>0.1</v>
      </c>
      <c r="M3618" s="112">
        <f t="shared" si="225"/>
        <v>5951.56106577026</v>
      </c>
      <c r="N3618" s="113">
        <f t="shared" si="226"/>
        <v>238.06244263081038</v>
      </c>
      <c r="O3618" s="113">
        <f t="shared" si="227"/>
        <v>53325.987149301516</v>
      </c>
    </row>
    <row r="3619" spans="1:15" x14ac:dyDescent="0.25">
      <c r="A3619" s="43">
        <v>44466</v>
      </c>
      <c r="B3619" s="51">
        <v>2303</v>
      </c>
      <c r="C3619" s="66" t="s">
        <v>128</v>
      </c>
      <c r="D3619" s="66" t="s">
        <v>416</v>
      </c>
      <c r="E3619" t="s">
        <v>17</v>
      </c>
      <c r="F3619" s="50" t="s">
        <v>573</v>
      </c>
      <c r="G3619" s="50" t="s">
        <v>574</v>
      </c>
      <c r="H3619" s="50">
        <v>2</v>
      </c>
      <c r="I3619" s="100">
        <v>6.7391919697301583</v>
      </c>
      <c r="J3619" s="52">
        <v>3834.68</v>
      </c>
      <c r="K3619" s="67">
        <f t="shared" si="228"/>
        <v>59515.610657702593</v>
      </c>
      <c r="L3619" s="95">
        <f>+VLOOKUP(E3619,MARGEN!A:B,2,FALSE)</f>
        <v>0.1</v>
      </c>
      <c r="M3619" s="112">
        <f t="shared" si="225"/>
        <v>5951.56106577026</v>
      </c>
      <c r="N3619" s="113">
        <f t="shared" si="226"/>
        <v>238.06244263081038</v>
      </c>
      <c r="O3619" s="113">
        <f t="shared" si="227"/>
        <v>53325.987149301516</v>
      </c>
    </row>
    <row r="3620" spans="1:15" x14ac:dyDescent="0.25">
      <c r="A3620" s="43">
        <v>44466</v>
      </c>
      <c r="B3620" s="51">
        <v>2279</v>
      </c>
      <c r="C3620" s="66" t="s">
        <v>156</v>
      </c>
      <c r="D3620" s="66" t="s">
        <v>429</v>
      </c>
      <c r="E3620" t="s">
        <v>17</v>
      </c>
      <c r="F3620" s="50" t="s">
        <v>573</v>
      </c>
      <c r="G3620" s="50" t="s">
        <v>574</v>
      </c>
      <c r="H3620" s="50">
        <v>2</v>
      </c>
      <c r="I3620" s="100">
        <v>6.7391919697301583</v>
      </c>
      <c r="J3620" s="52">
        <v>3834.68</v>
      </c>
      <c r="K3620" s="67">
        <f t="shared" si="228"/>
        <v>58895.387185802952</v>
      </c>
      <c r="L3620" s="95">
        <f>+VLOOKUP(E3620,MARGEN!A:B,2,FALSE)</f>
        <v>0.1</v>
      </c>
      <c r="M3620" s="112">
        <f t="shared" si="225"/>
        <v>5889.5387185802956</v>
      </c>
      <c r="N3620" s="113">
        <f t="shared" si="226"/>
        <v>235.58154874321181</v>
      </c>
      <c r="O3620" s="113">
        <f t="shared" si="227"/>
        <v>52770.266918479443</v>
      </c>
    </row>
    <row r="3621" spans="1:15" x14ac:dyDescent="0.25">
      <c r="A3621" s="43">
        <v>44466</v>
      </c>
      <c r="B3621" s="51">
        <v>2279</v>
      </c>
      <c r="C3621" s="66" t="s">
        <v>283</v>
      </c>
      <c r="D3621" s="66" t="s">
        <v>543</v>
      </c>
      <c r="E3621" t="s">
        <v>17</v>
      </c>
      <c r="F3621" s="50" t="s">
        <v>558</v>
      </c>
      <c r="G3621" s="50" t="s">
        <v>574</v>
      </c>
      <c r="H3621" s="50">
        <v>2</v>
      </c>
      <c r="I3621" s="100">
        <v>6.7391919697301583</v>
      </c>
      <c r="J3621" s="52">
        <v>3834.68</v>
      </c>
      <c r="K3621" s="67">
        <f t="shared" si="228"/>
        <v>58895.387185802952</v>
      </c>
      <c r="L3621" s="95">
        <f>+VLOOKUP(E3621,MARGEN!A:B,2,FALSE)</f>
        <v>0.1</v>
      </c>
      <c r="M3621" s="112">
        <f t="shared" si="225"/>
        <v>5889.5387185802956</v>
      </c>
      <c r="N3621" s="113">
        <f t="shared" si="226"/>
        <v>235.58154874321181</v>
      </c>
      <c r="O3621" s="113">
        <f t="shared" si="227"/>
        <v>52770.266918479443</v>
      </c>
    </row>
    <row r="3622" spans="1:15" x14ac:dyDescent="0.25">
      <c r="A3622" s="43">
        <v>44466</v>
      </c>
      <c r="B3622" s="51">
        <v>2279</v>
      </c>
      <c r="C3622" s="66" t="s">
        <v>122</v>
      </c>
      <c r="D3622" s="66" t="s">
        <v>446</v>
      </c>
      <c r="E3622" t="s">
        <v>17</v>
      </c>
      <c r="F3622" s="50" t="s">
        <v>573</v>
      </c>
      <c r="G3622" s="50" t="s">
        <v>574</v>
      </c>
      <c r="H3622" s="50">
        <v>2</v>
      </c>
      <c r="I3622" s="100">
        <v>6.7391919697301583</v>
      </c>
      <c r="J3622" s="52">
        <v>3834.68</v>
      </c>
      <c r="K3622" s="67">
        <f t="shared" si="228"/>
        <v>58895.387185802952</v>
      </c>
      <c r="L3622" s="95">
        <f>+VLOOKUP(E3622,MARGEN!A:B,2,FALSE)</f>
        <v>0.1</v>
      </c>
      <c r="M3622" s="112">
        <f t="shared" si="225"/>
        <v>5889.5387185802956</v>
      </c>
      <c r="N3622" s="113">
        <f t="shared" si="226"/>
        <v>235.58154874321181</v>
      </c>
      <c r="O3622" s="113">
        <f t="shared" si="227"/>
        <v>52770.266918479443</v>
      </c>
    </row>
    <row r="3623" spans="1:15" x14ac:dyDescent="0.25">
      <c r="A3623" s="43">
        <v>44466</v>
      </c>
      <c r="B3623" s="51">
        <v>2255</v>
      </c>
      <c r="C3623" s="66" t="s">
        <v>305</v>
      </c>
      <c r="D3623" s="66" t="s">
        <v>523</v>
      </c>
      <c r="E3623" t="s">
        <v>17</v>
      </c>
      <c r="F3623" s="50" t="s">
        <v>558</v>
      </c>
      <c r="G3623" s="50" t="s">
        <v>574</v>
      </c>
      <c r="H3623" s="50">
        <v>2</v>
      </c>
      <c r="I3623" s="100">
        <v>6.7391919697301583</v>
      </c>
      <c r="J3623" s="52">
        <v>3834.68</v>
      </c>
      <c r="K3623" s="67">
        <f t="shared" si="228"/>
        <v>58275.163713903326</v>
      </c>
      <c r="L3623" s="95">
        <f>+VLOOKUP(E3623,MARGEN!A:B,2,FALSE)</f>
        <v>0.1</v>
      </c>
      <c r="M3623" s="112">
        <f t="shared" si="225"/>
        <v>5827.516371390333</v>
      </c>
      <c r="N3623" s="113">
        <f t="shared" si="226"/>
        <v>233.1006548556133</v>
      </c>
      <c r="O3623" s="113">
        <f t="shared" si="227"/>
        <v>52214.546687657385</v>
      </c>
    </row>
    <row r="3624" spans="1:15" x14ac:dyDescent="0.25">
      <c r="A3624" s="43">
        <v>44466</v>
      </c>
      <c r="B3624" s="51">
        <v>2255</v>
      </c>
      <c r="C3624" s="66" t="s">
        <v>284</v>
      </c>
      <c r="D3624" s="66" t="s">
        <v>525</v>
      </c>
      <c r="E3624" t="s">
        <v>17</v>
      </c>
      <c r="F3624" s="50" t="s">
        <v>558</v>
      </c>
      <c r="G3624" s="50" t="s">
        <v>574</v>
      </c>
      <c r="H3624" s="50">
        <v>2</v>
      </c>
      <c r="I3624" s="100">
        <v>6.7391919697301583</v>
      </c>
      <c r="J3624" s="52">
        <v>3834.68</v>
      </c>
      <c r="K3624" s="67">
        <f t="shared" si="228"/>
        <v>58275.163713903326</v>
      </c>
      <c r="L3624" s="95">
        <f>+VLOOKUP(E3624,MARGEN!A:B,2,FALSE)</f>
        <v>0.1</v>
      </c>
      <c r="M3624" s="112">
        <f t="shared" si="225"/>
        <v>5827.516371390333</v>
      </c>
      <c r="N3624" s="113">
        <f t="shared" si="226"/>
        <v>233.1006548556133</v>
      </c>
      <c r="O3624" s="113">
        <f t="shared" si="227"/>
        <v>52214.546687657385</v>
      </c>
    </row>
    <row r="3625" spans="1:15" x14ac:dyDescent="0.25">
      <c r="A3625" s="43">
        <v>44466</v>
      </c>
      <c r="B3625" s="51">
        <v>2255</v>
      </c>
      <c r="C3625" s="66" t="s">
        <v>163</v>
      </c>
      <c r="D3625" s="66" t="s">
        <v>398</v>
      </c>
      <c r="E3625" t="s">
        <v>17</v>
      </c>
      <c r="F3625" s="50" t="s">
        <v>573</v>
      </c>
      <c r="G3625" s="50" t="s">
        <v>574</v>
      </c>
      <c r="H3625" s="50">
        <v>2</v>
      </c>
      <c r="I3625" s="100">
        <v>6.7391919697301583</v>
      </c>
      <c r="J3625" s="52">
        <v>3834.68</v>
      </c>
      <c r="K3625" s="67">
        <f t="shared" si="228"/>
        <v>58275.163713903326</v>
      </c>
      <c r="L3625" s="95">
        <f>+VLOOKUP(E3625,MARGEN!A:B,2,FALSE)</f>
        <v>0.1</v>
      </c>
      <c r="M3625" s="112">
        <f t="shared" si="225"/>
        <v>5827.516371390333</v>
      </c>
      <c r="N3625" s="113">
        <f t="shared" si="226"/>
        <v>233.1006548556133</v>
      </c>
      <c r="O3625" s="113">
        <f t="shared" si="227"/>
        <v>52214.546687657385</v>
      </c>
    </row>
    <row r="3626" spans="1:15" x14ac:dyDescent="0.25">
      <c r="A3626" s="43">
        <v>44466</v>
      </c>
      <c r="B3626" s="51">
        <v>2231</v>
      </c>
      <c r="C3626" s="66" t="s">
        <v>126</v>
      </c>
      <c r="D3626" s="66" t="s">
        <v>438</v>
      </c>
      <c r="E3626" t="s">
        <v>17</v>
      </c>
      <c r="F3626" s="50" t="s">
        <v>573</v>
      </c>
      <c r="G3626" s="50" t="s">
        <v>574</v>
      </c>
      <c r="H3626" s="50">
        <v>2</v>
      </c>
      <c r="I3626" s="100">
        <v>6.7391919697301583</v>
      </c>
      <c r="J3626" s="52">
        <v>3834.68</v>
      </c>
      <c r="K3626" s="67">
        <f t="shared" si="228"/>
        <v>57654.940242003679</v>
      </c>
      <c r="L3626" s="95">
        <f>+VLOOKUP(E3626,MARGEN!A:B,2,FALSE)</f>
        <v>0.1</v>
      </c>
      <c r="M3626" s="112">
        <f t="shared" si="225"/>
        <v>5765.4940242003686</v>
      </c>
      <c r="N3626" s="113">
        <f t="shared" si="226"/>
        <v>230.6197609680147</v>
      </c>
      <c r="O3626" s="113">
        <f t="shared" si="227"/>
        <v>51658.826456835297</v>
      </c>
    </row>
    <row r="3627" spans="1:15" x14ac:dyDescent="0.25">
      <c r="A3627" s="43">
        <v>44466</v>
      </c>
      <c r="B3627" s="51">
        <v>2183</v>
      </c>
      <c r="C3627" s="66" t="s">
        <v>157</v>
      </c>
      <c r="D3627" s="66" t="s">
        <v>435</v>
      </c>
      <c r="E3627" t="s">
        <v>17</v>
      </c>
      <c r="F3627" s="50" t="s">
        <v>573</v>
      </c>
      <c r="G3627" s="50" t="s">
        <v>574</v>
      </c>
      <c r="H3627" s="50">
        <v>2</v>
      </c>
      <c r="I3627" s="100">
        <v>6.7391919697301583</v>
      </c>
      <c r="J3627" s="52">
        <v>3834.68</v>
      </c>
      <c r="K3627" s="67">
        <f t="shared" si="228"/>
        <v>56414.493298204405</v>
      </c>
      <c r="L3627" s="95">
        <f>+VLOOKUP(E3627,MARGEN!A:B,2,FALSE)</f>
        <v>0.1</v>
      </c>
      <c r="M3627" s="112">
        <f t="shared" si="225"/>
        <v>5641.4493298204407</v>
      </c>
      <c r="N3627" s="113">
        <f t="shared" si="226"/>
        <v>225.65797319281762</v>
      </c>
      <c r="O3627" s="113">
        <f t="shared" si="227"/>
        <v>50547.385995191151</v>
      </c>
    </row>
    <row r="3628" spans="1:15" x14ac:dyDescent="0.25">
      <c r="A3628" s="43">
        <v>44466</v>
      </c>
      <c r="B3628" s="51">
        <v>2135</v>
      </c>
      <c r="C3628" s="66" t="s">
        <v>312</v>
      </c>
      <c r="D3628" s="66" t="s">
        <v>542</v>
      </c>
      <c r="E3628" t="s">
        <v>17</v>
      </c>
      <c r="F3628" s="50" t="s">
        <v>573</v>
      </c>
      <c r="G3628" s="50" t="s">
        <v>574</v>
      </c>
      <c r="H3628" s="50">
        <v>2</v>
      </c>
      <c r="I3628" s="100">
        <v>6.7391919697301583</v>
      </c>
      <c r="J3628" s="52">
        <v>3834.68</v>
      </c>
      <c r="K3628" s="67">
        <f t="shared" si="228"/>
        <v>55174.046354405145</v>
      </c>
      <c r="L3628" s="95">
        <f>+VLOOKUP(E3628,MARGEN!A:B,2,FALSE)</f>
        <v>0.1</v>
      </c>
      <c r="M3628" s="112">
        <f t="shared" si="225"/>
        <v>5517.4046354405145</v>
      </c>
      <c r="N3628" s="113">
        <f t="shared" si="226"/>
        <v>220.69618541762057</v>
      </c>
      <c r="O3628" s="113">
        <f t="shared" si="227"/>
        <v>49435.945533547012</v>
      </c>
    </row>
    <row r="3629" spans="1:15" x14ac:dyDescent="0.25">
      <c r="A3629" s="43">
        <v>44466</v>
      </c>
      <c r="B3629" s="51">
        <v>2135</v>
      </c>
      <c r="C3629" s="66" t="s">
        <v>282</v>
      </c>
      <c r="D3629" s="66" t="s">
        <v>494</v>
      </c>
      <c r="E3629" t="s">
        <v>17</v>
      </c>
      <c r="F3629" s="50" t="s">
        <v>573</v>
      </c>
      <c r="G3629" s="50" t="s">
        <v>574</v>
      </c>
      <c r="H3629" s="50">
        <v>2</v>
      </c>
      <c r="I3629" s="100">
        <v>6.7391919697301583</v>
      </c>
      <c r="J3629" s="52">
        <v>3834.68</v>
      </c>
      <c r="K3629" s="67">
        <f t="shared" si="228"/>
        <v>55174.046354405145</v>
      </c>
      <c r="L3629" s="95">
        <f>+VLOOKUP(E3629,MARGEN!A:B,2,FALSE)</f>
        <v>0.1</v>
      </c>
      <c r="M3629" s="112">
        <f t="shared" si="225"/>
        <v>5517.4046354405145</v>
      </c>
      <c r="N3629" s="113">
        <f t="shared" si="226"/>
        <v>220.69618541762057</v>
      </c>
      <c r="O3629" s="113">
        <f t="shared" si="227"/>
        <v>49435.945533547012</v>
      </c>
    </row>
    <row r="3630" spans="1:15" x14ac:dyDescent="0.25">
      <c r="A3630" s="43">
        <v>44466</v>
      </c>
      <c r="B3630" s="51">
        <v>2087</v>
      </c>
      <c r="C3630" s="66" t="s">
        <v>306</v>
      </c>
      <c r="D3630" s="66" t="s">
        <v>524</v>
      </c>
      <c r="E3630" t="s">
        <v>17</v>
      </c>
      <c r="F3630" s="50" t="s">
        <v>558</v>
      </c>
      <c r="G3630" s="50" t="s">
        <v>574</v>
      </c>
      <c r="H3630" s="50">
        <v>2</v>
      </c>
      <c r="I3630" s="100">
        <v>6.7391919697301583</v>
      </c>
      <c r="J3630" s="52">
        <v>3834.68</v>
      </c>
      <c r="K3630" s="67">
        <f t="shared" si="228"/>
        <v>53933.599410605872</v>
      </c>
      <c r="L3630" s="95">
        <f>+VLOOKUP(E3630,MARGEN!A:B,2,FALSE)</f>
        <v>0.1</v>
      </c>
      <c r="M3630" s="112">
        <f t="shared" si="225"/>
        <v>5393.3599410605875</v>
      </c>
      <c r="N3630" s="113">
        <f t="shared" si="226"/>
        <v>215.73439764242349</v>
      </c>
      <c r="O3630" s="113">
        <f t="shared" si="227"/>
        <v>48324.505071902859</v>
      </c>
    </row>
    <row r="3631" spans="1:15" x14ac:dyDescent="0.25">
      <c r="A3631" s="43">
        <v>44466</v>
      </c>
      <c r="B3631" s="51">
        <v>2015</v>
      </c>
      <c r="C3631" s="66" t="s">
        <v>123</v>
      </c>
      <c r="D3631" s="66" t="s">
        <v>396</v>
      </c>
      <c r="E3631" t="s">
        <v>17</v>
      </c>
      <c r="F3631" s="50" t="s">
        <v>573</v>
      </c>
      <c r="G3631" s="50" t="s">
        <v>574</v>
      </c>
      <c r="H3631" s="50">
        <v>2</v>
      </c>
      <c r="I3631" s="100">
        <v>6.7391919697301583</v>
      </c>
      <c r="J3631" s="52">
        <v>3834.68</v>
      </c>
      <c r="K3631" s="67">
        <f t="shared" si="228"/>
        <v>52072.928994906957</v>
      </c>
      <c r="L3631" s="95">
        <f>+VLOOKUP(E3631,MARGEN!A:B,2,FALSE)</f>
        <v>0.1</v>
      </c>
      <c r="M3631" s="112">
        <f t="shared" si="225"/>
        <v>5207.2928994906961</v>
      </c>
      <c r="N3631" s="113">
        <f t="shared" si="226"/>
        <v>208.29171597962784</v>
      </c>
      <c r="O3631" s="113">
        <f t="shared" si="227"/>
        <v>46657.344379436632</v>
      </c>
    </row>
    <row r="3632" spans="1:15" x14ac:dyDescent="0.25">
      <c r="A3632" s="43">
        <v>44466</v>
      </c>
      <c r="B3632" s="51">
        <v>1991</v>
      </c>
      <c r="C3632" s="66" t="s">
        <v>295</v>
      </c>
      <c r="D3632" s="66" t="s">
        <v>532</v>
      </c>
      <c r="E3632" t="s">
        <v>17</v>
      </c>
      <c r="F3632" s="50" t="s">
        <v>573</v>
      </c>
      <c r="G3632" s="50" t="s">
        <v>574</v>
      </c>
      <c r="H3632" s="50">
        <v>2</v>
      </c>
      <c r="I3632" s="100">
        <v>6.7391919697301583</v>
      </c>
      <c r="J3632" s="52">
        <v>3834.68</v>
      </c>
      <c r="K3632" s="67">
        <f t="shared" si="228"/>
        <v>51452.705523007324</v>
      </c>
      <c r="L3632" s="95">
        <f>+VLOOKUP(E3632,MARGEN!A:B,2,FALSE)</f>
        <v>0.1</v>
      </c>
      <c r="M3632" s="112">
        <f t="shared" si="225"/>
        <v>5145.2705523007326</v>
      </c>
      <c r="N3632" s="113">
        <f t="shared" si="226"/>
        <v>205.8108220920293</v>
      </c>
      <c r="O3632" s="113">
        <f t="shared" si="227"/>
        <v>46101.624148614566</v>
      </c>
    </row>
    <row r="3633" spans="1:15" x14ac:dyDescent="0.25">
      <c r="A3633" s="43">
        <v>44466</v>
      </c>
      <c r="B3633" s="51">
        <v>1943</v>
      </c>
      <c r="C3633" s="66" t="s">
        <v>155</v>
      </c>
      <c r="D3633" s="66" t="s">
        <v>399</v>
      </c>
      <c r="E3633" t="s">
        <v>17</v>
      </c>
      <c r="F3633" s="50" t="s">
        <v>573</v>
      </c>
      <c r="G3633" s="50" t="s">
        <v>574</v>
      </c>
      <c r="H3633" s="50">
        <v>2</v>
      </c>
      <c r="I3633" s="100">
        <v>6.7391919697301583</v>
      </c>
      <c r="J3633" s="52">
        <v>3834.68</v>
      </c>
      <c r="K3633" s="67">
        <f t="shared" si="228"/>
        <v>50212.258579208043</v>
      </c>
      <c r="L3633" s="95">
        <f>+VLOOKUP(E3633,MARGEN!A:B,2,FALSE)</f>
        <v>0.1</v>
      </c>
      <c r="M3633" s="112">
        <f t="shared" si="225"/>
        <v>5021.2258579208046</v>
      </c>
      <c r="N3633" s="113">
        <f t="shared" si="226"/>
        <v>200.84903431683216</v>
      </c>
      <c r="O3633" s="113">
        <f t="shared" si="227"/>
        <v>44990.183686970406</v>
      </c>
    </row>
    <row r="3634" spans="1:15" x14ac:dyDescent="0.25">
      <c r="A3634" s="43">
        <v>44466</v>
      </c>
      <c r="B3634" s="51">
        <v>1895</v>
      </c>
      <c r="C3634" s="66" t="s">
        <v>125</v>
      </c>
      <c r="D3634" s="66" t="s">
        <v>341</v>
      </c>
      <c r="E3634" t="s">
        <v>17</v>
      </c>
      <c r="F3634" s="50" t="s">
        <v>573</v>
      </c>
      <c r="G3634" s="50" t="s">
        <v>574</v>
      </c>
      <c r="H3634" s="50">
        <v>2</v>
      </c>
      <c r="I3634" s="100">
        <v>6.7391919697301583</v>
      </c>
      <c r="J3634" s="52">
        <v>3834.68</v>
      </c>
      <c r="K3634" s="67">
        <f t="shared" si="228"/>
        <v>48971.811635408776</v>
      </c>
      <c r="L3634" s="95">
        <f>+VLOOKUP(E3634,MARGEN!A:B,2,FALSE)</f>
        <v>0.1</v>
      </c>
      <c r="M3634" s="112">
        <f t="shared" si="225"/>
        <v>4897.1811635408776</v>
      </c>
      <c r="N3634" s="113">
        <f t="shared" si="226"/>
        <v>195.88724654163511</v>
      </c>
      <c r="O3634" s="113">
        <f t="shared" si="227"/>
        <v>43878.743225326267</v>
      </c>
    </row>
    <row r="3635" spans="1:15" x14ac:dyDescent="0.25">
      <c r="A3635" s="43">
        <v>44466</v>
      </c>
      <c r="B3635" s="51">
        <v>1847</v>
      </c>
      <c r="C3635" s="66" t="s">
        <v>159</v>
      </c>
      <c r="D3635" s="66" t="s">
        <v>360</v>
      </c>
      <c r="E3635" t="s">
        <v>17</v>
      </c>
      <c r="F3635" s="50" t="s">
        <v>558</v>
      </c>
      <c r="G3635" s="50" t="s">
        <v>574</v>
      </c>
      <c r="H3635" s="50">
        <v>2</v>
      </c>
      <c r="I3635" s="100">
        <v>6.7391919697301583</v>
      </c>
      <c r="J3635" s="52">
        <v>3834.68</v>
      </c>
      <c r="K3635" s="67">
        <f t="shared" si="228"/>
        <v>47731.364691609502</v>
      </c>
      <c r="L3635" s="95">
        <f>+VLOOKUP(E3635,MARGEN!A:B,2,FALSE)</f>
        <v>0.1</v>
      </c>
      <c r="M3635" s="112">
        <f t="shared" si="225"/>
        <v>4773.1364691609506</v>
      </c>
      <c r="N3635" s="113">
        <f t="shared" si="226"/>
        <v>190.925458766438</v>
      </c>
      <c r="O3635" s="113">
        <f t="shared" si="227"/>
        <v>42767.302763682113</v>
      </c>
    </row>
    <row r="3636" spans="1:15" x14ac:dyDescent="0.25">
      <c r="A3636" s="43">
        <v>44466</v>
      </c>
      <c r="B3636" s="51">
        <v>1847</v>
      </c>
      <c r="C3636" s="66" t="s">
        <v>304</v>
      </c>
      <c r="D3636" s="66" t="s">
        <v>522</v>
      </c>
      <c r="E3636" t="s">
        <v>17</v>
      </c>
      <c r="F3636" s="50" t="s">
        <v>573</v>
      </c>
      <c r="G3636" s="50" t="s">
        <v>574</v>
      </c>
      <c r="H3636" s="50">
        <v>2</v>
      </c>
      <c r="I3636" s="100">
        <v>6.7391919697301583</v>
      </c>
      <c r="J3636" s="52">
        <v>3834.68</v>
      </c>
      <c r="K3636" s="67">
        <f t="shared" si="228"/>
        <v>47731.364691609502</v>
      </c>
      <c r="L3636" s="95">
        <f>+VLOOKUP(E3636,MARGEN!A:B,2,FALSE)</f>
        <v>0.1</v>
      </c>
      <c r="M3636" s="112">
        <f t="shared" si="225"/>
        <v>4773.1364691609506</v>
      </c>
      <c r="N3636" s="113">
        <f t="shared" si="226"/>
        <v>190.925458766438</v>
      </c>
      <c r="O3636" s="113">
        <f t="shared" si="227"/>
        <v>42767.302763682113</v>
      </c>
    </row>
    <row r="3637" spans="1:15" x14ac:dyDescent="0.25">
      <c r="A3637" s="43">
        <v>44466</v>
      </c>
      <c r="B3637" s="51">
        <v>1799</v>
      </c>
      <c r="C3637" s="66" t="s">
        <v>124</v>
      </c>
      <c r="D3637" s="66" t="s">
        <v>388</v>
      </c>
      <c r="E3637" t="s">
        <v>17</v>
      </c>
      <c r="F3637" s="50" t="s">
        <v>558</v>
      </c>
      <c r="G3637" s="50" t="s">
        <v>574</v>
      </c>
      <c r="H3637" s="50">
        <v>2</v>
      </c>
      <c r="I3637" s="100">
        <v>6.7391919697301583</v>
      </c>
      <c r="J3637" s="52">
        <v>3834.68</v>
      </c>
      <c r="K3637" s="67">
        <f t="shared" si="228"/>
        <v>46490.917747810228</v>
      </c>
      <c r="L3637" s="95">
        <f>+VLOOKUP(E3637,MARGEN!A:B,2,FALSE)</f>
        <v>0.1</v>
      </c>
      <c r="M3637" s="112">
        <f t="shared" si="225"/>
        <v>4649.0917747810227</v>
      </c>
      <c r="N3637" s="113">
        <f t="shared" si="226"/>
        <v>185.96367099124092</v>
      </c>
      <c r="O3637" s="113">
        <f t="shared" si="227"/>
        <v>41655.862302037967</v>
      </c>
    </row>
    <row r="3638" spans="1:15" x14ac:dyDescent="0.25">
      <c r="A3638" s="43">
        <v>44466</v>
      </c>
      <c r="B3638" s="51">
        <v>1799</v>
      </c>
      <c r="C3638" s="66" t="s">
        <v>172</v>
      </c>
      <c r="D3638" s="66" t="s">
        <v>371</v>
      </c>
      <c r="E3638" t="s">
        <v>17</v>
      </c>
      <c r="F3638" s="50" t="s">
        <v>573</v>
      </c>
      <c r="G3638" s="50" t="s">
        <v>574</v>
      </c>
      <c r="H3638" s="50">
        <v>2</v>
      </c>
      <c r="I3638" s="100">
        <v>6.7391919697301583</v>
      </c>
      <c r="J3638" s="52">
        <v>3834.68</v>
      </c>
      <c r="K3638" s="67">
        <f t="shared" si="228"/>
        <v>46490.917747810228</v>
      </c>
      <c r="L3638" s="95">
        <f>+VLOOKUP(E3638,MARGEN!A:B,2,FALSE)</f>
        <v>0.1</v>
      </c>
      <c r="M3638" s="112">
        <f t="shared" si="225"/>
        <v>4649.0917747810227</v>
      </c>
      <c r="N3638" s="113">
        <f t="shared" si="226"/>
        <v>185.96367099124092</v>
      </c>
      <c r="O3638" s="113">
        <f t="shared" si="227"/>
        <v>41655.862302037967</v>
      </c>
    </row>
    <row r="3639" spans="1:15" x14ac:dyDescent="0.25">
      <c r="A3639" s="43">
        <v>44466</v>
      </c>
      <c r="B3639" s="51">
        <v>1751</v>
      </c>
      <c r="C3639" s="66" t="s">
        <v>154</v>
      </c>
      <c r="D3639" s="66" t="s">
        <v>419</v>
      </c>
      <c r="E3639" t="s">
        <v>17</v>
      </c>
      <c r="F3639" s="50" t="s">
        <v>573</v>
      </c>
      <c r="G3639" s="50" t="s">
        <v>574</v>
      </c>
      <c r="H3639" s="50">
        <v>2</v>
      </c>
      <c r="I3639" s="100">
        <v>6.7391919697301583</v>
      </c>
      <c r="J3639" s="52">
        <v>3834.68</v>
      </c>
      <c r="K3639" s="67">
        <f t="shared" si="228"/>
        <v>45250.470804010954</v>
      </c>
      <c r="L3639" s="95">
        <f>+VLOOKUP(E3639,MARGEN!A:B,2,FALSE)</f>
        <v>0.1</v>
      </c>
      <c r="M3639" s="112">
        <f t="shared" si="225"/>
        <v>4525.0470804010956</v>
      </c>
      <c r="N3639" s="113">
        <f t="shared" si="226"/>
        <v>181.00188321604381</v>
      </c>
      <c r="O3639" s="113">
        <f t="shared" si="227"/>
        <v>40544.421840393814</v>
      </c>
    </row>
    <row r="3640" spans="1:15" x14ac:dyDescent="0.25">
      <c r="A3640" s="43">
        <v>44466</v>
      </c>
      <c r="B3640" s="51">
        <v>1727</v>
      </c>
      <c r="C3640" s="66" t="s">
        <v>170</v>
      </c>
      <c r="D3640" s="66" t="s">
        <v>437</v>
      </c>
      <c r="E3640" t="s">
        <v>17</v>
      </c>
      <c r="F3640" s="50" t="s">
        <v>573</v>
      </c>
      <c r="G3640" s="50" t="s">
        <v>574</v>
      </c>
      <c r="H3640" s="50">
        <v>2</v>
      </c>
      <c r="I3640" s="100">
        <v>6.7391919697301583</v>
      </c>
      <c r="J3640" s="52">
        <v>3834.68</v>
      </c>
      <c r="K3640" s="67">
        <f t="shared" si="228"/>
        <v>44630.247332111321</v>
      </c>
      <c r="L3640" s="95">
        <f>+VLOOKUP(E3640,MARGEN!A:B,2,FALSE)</f>
        <v>0.1</v>
      </c>
      <c r="M3640" s="112">
        <f t="shared" si="225"/>
        <v>4463.0247332111321</v>
      </c>
      <c r="N3640" s="113">
        <f t="shared" si="226"/>
        <v>178.5209893284453</v>
      </c>
      <c r="O3640" s="113">
        <f t="shared" si="227"/>
        <v>39988.701609571741</v>
      </c>
    </row>
    <row r="3641" spans="1:15" x14ac:dyDescent="0.25">
      <c r="A3641" s="43">
        <v>44466</v>
      </c>
      <c r="B3641" s="51">
        <v>1727</v>
      </c>
      <c r="C3641" s="66" t="s">
        <v>188</v>
      </c>
      <c r="D3641" s="66" t="s">
        <v>397</v>
      </c>
      <c r="E3641" t="s">
        <v>17</v>
      </c>
      <c r="F3641" s="50" t="s">
        <v>573</v>
      </c>
      <c r="G3641" s="50" t="s">
        <v>574</v>
      </c>
      <c r="H3641" s="50">
        <v>2</v>
      </c>
      <c r="I3641" s="100">
        <v>6.7391919697301583</v>
      </c>
      <c r="J3641" s="52">
        <v>3834.68</v>
      </c>
      <c r="K3641" s="67">
        <f t="shared" si="228"/>
        <v>44630.247332111321</v>
      </c>
      <c r="L3641" s="95">
        <f>+VLOOKUP(E3641,MARGEN!A:B,2,FALSE)</f>
        <v>0.1</v>
      </c>
      <c r="M3641" s="112">
        <f t="shared" si="225"/>
        <v>4463.0247332111321</v>
      </c>
      <c r="N3641" s="113">
        <f t="shared" si="226"/>
        <v>178.5209893284453</v>
      </c>
      <c r="O3641" s="113">
        <f t="shared" si="227"/>
        <v>39988.701609571741</v>
      </c>
    </row>
    <row r="3642" spans="1:15" x14ac:dyDescent="0.25">
      <c r="A3642" s="43">
        <v>44466</v>
      </c>
      <c r="B3642" s="51">
        <v>1727</v>
      </c>
      <c r="C3642" s="66" t="s">
        <v>174</v>
      </c>
      <c r="D3642" s="66" t="s">
        <v>395</v>
      </c>
      <c r="E3642" t="s">
        <v>17</v>
      </c>
      <c r="F3642" s="50" t="s">
        <v>573</v>
      </c>
      <c r="G3642" s="50" t="s">
        <v>574</v>
      </c>
      <c r="H3642" s="50">
        <v>2</v>
      </c>
      <c r="I3642" s="100">
        <v>6.7391919697301583</v>
      </c>
      <c r="J3642" s="52">
        <v>3834.68</v>
      </c>
      <c r="K3642" s="67">
        <f t="shared" si="228"/>
        <v>44630.247332111321</v>
      </c>
      <c r="L3642" s="95">
        <f>+VLOOKUP(E3642,MARGEN!A:B,2,FALSE)</f>
        <v>0.1</v>
      </c>
      <c r="M3642" s="112">
        <f t="shared" si="225"/>
        <v>4463.0247332111321</v>
      </c>
      <c r="N3642" s="113">
        <f t="shared" si="226"/>
        <v>178.5209893284453</v>
      </c>
      <c r="O3642" s="113">
        <f t="shared" si="227"/>
        <v>39988.701609571741</v>
      </c>
    </row>
    <row r="3643" spans="1:15" x14ac:dyDescent="0.25">
      <c r="A3643" s="43">
        <v>44466</v>
      </c>
      <c r="B3643" s="51">
        <v>1703</v>
      </c>
      <c r="C3643" s="66" t="s">
        <v>296</v>
      </c>
      <c r="D3643" s="66" t="s">
        <v>498</v>
      </c>
      <c r="E3643" t="s">
        <v>17</v>
      </c>
      <c r="F3643" s="50" t="s">
        <v>573</v>
      </c>
      <c r="G3643" s="50" t="s">
        <v>574</v>
      </c>
      <c r="H3643" s="50">
        <v>2</v>
      </c>
      <c r="I3643" s="100">
        <v>6.7391919697301583</v>
      </c>
      <c r="J3643" s="52">
        <v>3834.68</v>
      </c>
      <c r="K3643" s="67">
        <f t="shared" si="228"/>
        <v>44010.023860211688</v>
      </c>
      <c r="L3643" s="95">
        <f>+VLOOKUP(E3643,MARGEN!A:B,2,FALSE)</f>
        <v>0.1</v>
      </c>
      <c r="M3643" s="112">
        <f t="shared" si="225"/>
        <v>4401.0023860211686</v>
      </c>
      <c r="N3643" s="113">
        <f t="shared" si="226"/>
        <v>176.04009544084676</v>
      </c>
      <c r="O3643" s="113">
        <f t="shared" si="227"/>
        <v>39432.981378749675</v>
      </c>
    </row>
    <row r="3644" spans="1:15" x14ac:dyDescent="0.25">
      <c r="A3644" s="43">
        <v>44466</v>
      </c>
      <c r="B3644" s="51">
        <v>1703</v>
      </c>
      <c r="C3644" s="66" t="s">
        <v>238</v>
      </c>
      <c r="D3644" s="66" t="s">
        <v>427</v>
      </c>
      <c r="E3644" t="s">
        <v>17</v>
      </c>
      <c r="F3644" s="50" t="s">
        <v>558</v>
      </c>
      <c r="G3644" s="50" t="s">
        <v>574</v>
      </c>
      <c r="H3644" s="50">
        <v>2</v>
      </c>
      <c r="I3644" s="100">
        <v>6.7391919697301583</v>
      </c>
      <c r="J3644" s="52">
        <v>3834.68</v>
      </c>
      <c r="K3644" s="67">
        <f t="shared" si="228"/>
        <v>44010.023860211688</v>
      </c>
      <c r="L3644" s="95">
        <f>+VLOOKUP(E3644,MARGEN!A:B,2,FALSE)</f>
        <v>0.1</v>
      </c>
      <c r="M3644" s="112">
        <f t="shared" si="225"/>
        <v>4401.0023860211686</v>
      </c>
      <c r="N3644" s="113">
        <f t="shared" si="226"/>
        <v>176.04009544084676</v>
      </c>
      <c r="O3644" s="113">
        <f t="shared" si="227"/>
        <v>39432.981378749675</v>
      </c>
    </row>
    <row r="3645" spans="1:15" x14ac:dyDescent="0.25">
      <c r="A3645" s="43">
        <v>44466</v>
      </c>
      <c r="B3645" s="51">
        <v>1679</v>
      </c>
      <c r="C3645" s="66" t="s">
        <v>288</v>
      </c>
      <c r="D3645" s="66" t="s">
        <v>530</v>
      </c>
      <c r="E3645" t="s">
        <v>17</v>
      </c>
      <c r="F3645" s="50" t="s">
        <v>573</v>
      </c>
      <c r="G3645" s="50" t="s">
        <v>574</v>
      </c>
      <c r="H3645" s="50">
        <v>2</v>
      </c>
      <c r="I3645" s="100">
        <v>6.7391919697301583</v>
      </c>
      <c r="J3645" s="52">
        <v>3834.68</v>
      </c>
      <c r="K3645" s="67">
        <f t="shared" si="228"/>
        <v>43389.800388312047</v>
      </c>
      <c r="L3645" s="95">
        <f>+VLOOKUP(E3645,MARGEN!A:B,2,FALSE)</f>
        <v>0.1</v>
      </c>
      <c r="M3645" s="112">
        <f t="shared" si="225"/>
        <v>4338.9800388312051</v>
      </c>
      <c r="N3645" s="113">
        <f t="shared" si="226"/>
        <v>173.55920155324819</v>
      </c>
      <c r="O3645" s="113">
        <f t="shared" si="227"/>
        <v>38877.261147927595</v>
      </c>
    </row>
    <row r="3646" spans="1:15" x14ac:dyDescent="0.25">
      <c r="A3646" s="43">
        <v>44466</v>
      </c>
      <c r="B3646" s="51">
        <v>1679</v>
      </c>
      <c r="C3646" s="66" t="s">
        <v>120</v>
      </c>
      <c r="D3646" s="66" t="s">
        <v>452</v>
      </c>
      <c r="E3646" t="s">
        <v>17</v>
      </c>
      <c r="F3646" s="50" t="s">
        <v>573</v>
      </c>
      <c r="G3646" s="50" t="s">
        <v>574</v>
      </c>
      <c r="H3646" s="50">
        <v>2</v>
      </c>
      <c r="I3646" s="100">
        <v>6.7391919697301583</v>
      </c>
      <c r="J3646" s="52">
        <v>3834.68</v>
      </c>
      <c r="K3646" s="67">
        <f t="shared" si="228"/>
        <v>43389.800388312047</v>
      </c>
      <c r="L3646" s="95">
        <f>+VLOOKUP(E3646,MARGEN!A:B,2,FALSE)</f>
        <v>0.1</v>
      </c>
      <c r="M3646" s="112">
        <f t="shared" si="225"/>
        <v>4338.9800388312051</v>
      </c>
      <c r="N3646" s="113">
        <f t="shared" si="226"/>
        <v>173.55920155324819</v>
      </c>
      <c r="O3646" s="113">
        <f t="shared" si="227"/>
        <v>38877.261147927595</v>
      </c>
    </row>
    <row r="3647" spans="1:15" x14ac:dyDescent="0.25">
      <c r="A3647" s="43">
        <v>44466</v>
      </c>
      <c r="B3647" s="51">
        <v>1679</v>
      </c>
      <c r="C3647" s="66" t="s">
        <v>194</v>
      </c>
      <c r="D3647" s="66" t="s">
        <v>417</v>
      </c>
      <c r="E3647" t="s">
        <v>17</v>
      </c>
      <c r="F3647" s="50" t="s">
        <v>573</v>
      </c>
      <c r="G3647" s="50" t="s">
        <v>574</v>
      </c>
      <c r="H3647" s="50">
        <v>2</v>
      </c>
      <c r="I3647" s="100">
        <v>6.7391919697301583</v>
      </c>
      <c r="J3647" s="52">
        <v>3834.68</v>
      </c>
      <c r="K3647" s="67">
        <f t="shared" si="228"/>
        <v>43389.800388312047</v>
      </c>
      <c r="L3647" s="95">
        <f>+VLOOKUP(E3647,MARGEN!A:B,2,FALSE)</f>
        <v>0.1</v>
      </c>
      <c r="M3647" s="112">
        <f t="shared" si="225"/>
        <v>4338.9800388312051</v>
      </c>
      <c r="N3647" s="113">
        <f t="shared" si="226"/>
        <v>173.55920155324819</v>
      </c>
      <c r="O3647" s="113">
        <f t="shared" si="227"/>
        <v>38877.261147927595</v>
      </c>
    </row>
    <row r="3648" spans="1:15" x14ac:dyDescent="0.25">
      <c r="A3648" s="43">
        <v>44466</v>
      </c>
      <c r="B3648" s="51">
        <v>1679</v>
      </c>
      <c r="C3648" s="66" t="s">
        <v>158</v>
      </c>
      <c r="D3648" s="66" t="s">
        <v>442</v>
      </c>
      <c r="E3648" t="s">
        <v>17</v>
      </c>
      <c r="F3648" s="50" t="s">
        <v>558</v>
      </c>
      <c r="G3648" s="50" t="s">
        <v>574</v>
      </c>
      <c r="H3648" s="50">
        <v>2</v>
      </c>
      <c r="I3648" s="100">
        <v>6.7391919697301583</v>
      </c>
      <c r="J3648" s="52">
        <v>3834.68</v>
      </c>
      <c r="K3648" s="67">
        <f t="shared" si="228"/>
        <v>43389.800388312047</v>
      </c>
      <c r="L3648" s="95">
        <f>+VLOOKUP(E3648,MARGEN!A:B,2,FALSE)</f>
        <v>0.1</v>
      </c>
      <c r="M3648" s="112">
        <f t="shared" si="225"/>
        <v>4338.9800388312051</v>
      </c>
      <c r="N3648" s="113">
        <f t="shared" si="226"/>
        <v>173.55920155324819</v>
      </c>
      <c r="O3648" s="113">
        <f t="shared" si="227"/>
        <v>38877.261147927595</v>
      </c>
    </row>
    <row r="3649" spans="1:15" x14ac:dyDescent="0.25">
      <c r="A3649" s="43">
        <v>44466</v>
      </c>
      <c r="B3649" s="51">
        <v>1679</v>
      </c>
      <c r="C3649" s="66" t="s">
        <v>121</v>
      </c>
      <c r="D3649" s="66" t="s">
        <v>381</v>
      </c>
      <c r="E3649" t="s">
        <v>17</v>
      </c>
      <c r="F3649" s="50" t="s">
        <v>573</v>
      </c>
      <c r="G3649" s="50" t="s">
        <v>574</v>
      </c>
      <c r="H3649" s="50">
        <v>2</v>
      </c>
      <c r="I3649" s="100">
        <v>6.7391919697301583</v>
      </c>
      <c r="J3649" s="52">
        <v>3834.68</v>
      </c>
      <c r="K3649" s="67">
        <f t="shared" si="228"/>
        <v>43389.800388312047</v>
      </c>
      <c r="L3649" s="95">
        <f>+VLOOKUP(E3649,MARGEN!A:B,2,FALSE)</f>
        <v>0.1</v>
      </c>
      <c r="M3649" s="112">
        <f t="shared" si="225"/>
        <v>4338.9800388312051</v>
      </c>
      <c r="N3649" s="113">
        <f t="shared" si="226"/>
        <v>173.55920155324819</v>
      </c>
      <c r="O3649" s="113">
        <f t="shared" si="227"/>
        <v>38877.261147927595</v>
      </c>
    </row>
    <row r="3650" spans="1:15" x14ac:dyDescent="0.25">
      <c r="A3650" s="43">
        <v>44466</v>
      </c>
      <c r="B3650" s="51">
        <v>1679</v>
      </c>
      <c r="C3650" s="66" t="s">
        <v>287</v>
      </c>
      <c r="D3650" s="66" t="s">
        <v>496</v>
      </c>
      <c r="E3650" t="s">
        <v>17</v>
      </c>
      <c r="F3650" s="50" t="s">
        <v>573</v>
      </c>
      <c r="G3650" s="50" t="s">
        <v>574</v>
      </c>
      <c r="H3650" s="50">
        <v>2</v>
      </c>
      <c r="I3650" s="100">
        <v>6.7391919697301583</v>
      </c>
      <c r="J3650" s="52">
        <v>3834.68</v>
      </c>
      <c r="K3650" s="67">
        <f t="shared" si="228"/>
        <v>43389.800388312047</v>
      </c>
      <c r="L3650" s="95">
        <f>+VLOOKUP(E3650,MARGEN!A:B,2,FALSE)</f>
        <v>0.1</v>
      </c>
      <c r="M3650" s="112">
        <f t="shared" si="225"/>
        <v>4338.9800388312051</v>
      </c>
      <c r="N3650" s="113">
        <f t="shared" si="226"/>
        <v>173.55920155324819</v>
      </c>
      <c r="O3650" s="113">
        <f t="shared" si="227"/>
        <v>38877.261147927595</v>
      </c>
    </row>
    <row r="3651" spans="1:15" x14ac:dyDescent="0.25">
      <c r="A3651" s="43">
        <v>44466</v>
      </c>
      <c r="B3651" s="51">
        <v>1631</v>
      </c>
      <c r="C3651" s="66" t="s">
        <v>196</v>
      </c>
      <c r="D3651" s="66" t="s">
        <v>413</v>
      </c>
      <c r="E3651" t="s">
        <v>17</v>
      </c>
      <c r="F3651" s="50" t="s">
        <v>573</v>
      </c>
      <c r="G3651" s="50" t="s">
        <v>574</v>
      </c>
      <c r="H3651" s="50">
        <v>2</v>
      </c>
      <c r="I3651" s="100">
        <v>6.7391919697301583</v>
      </c>
      <c r="J3651" s="52">
        <v>3834.68</v>
      </c>
      <c r="K3651" s="67">
        <f t="shared" si="228"/>
        <v>42149.353444512773</v>
      </c>
      <c r="L3651" s="95">
        <f>+VLOOKUP(E3651,MARGEN!A:B,2,FALSE)</f>
        <v>0.1</v>
      </c>
      <c r="M3651" s="112">
        <f t="shared" ref="M3651:M3714" si="229">+K3651*L3651</f>
        <v>4214.9353444512772</v>
      </c>
      <c r="N3651" s="113">
        <f t="shared" ref="N3651:N3714" si="230">+K3651*4/1000</f>
        <v>168.59741377805111</v>
      </c>
      <c r="O3651" s="113">
        <f t="shared" ref="O3651:O3714" si="231">+K3651-M3651-N3651</f>
        <v>37765.820686283449</v>
      </c>
    </row>
    <row r="3652" spans="1:15" x14ac:dyDescent="0.25">
      <c r="A3652" s="43">
        <v>44466</v>
      </c>
      <c r="B3652" s="51">
        <v>1631</v>
      </c>
      <c r="C3652" s="66" t="s">
        <v>209</v>
      </c>
      <c r="D3652" s="66" t="s">
        <v>441</v>
      </c>
      <c r="E3652" t="s">
        <v>17</v>
      </c>
      <c r="F3652" s="50" t="s">
        <v>573</v>
      </c>
      <c r="G3652" s="50" t="s">
        <v>574</v>
      </c>
      <c r="H3652" s="50">
        <v>2</v>
      </c>
      <c r="I3652" s="100">
        <v>6.7391919697301583</v>
      </c>
      <c r="J3652" s="52">
        <v>3834.68</v>
      </c>
      <c r="K3652" s="67">
        <f t="shared" si="228"/>
        <v>42149.353444512773</v>
      </c>
      <c r="L3652" s="95">
        <f>+VLOOKUP(E3652,MARGEN!A:B,2,FALSE)</f>
        <v>0.1</v>
      </c>
      <c r="M3652" s="112">
        <f t="shared" si="229"/>
        <v>4214.9353444512772</v>
      </c>
      <c r="N3652" s="113">
        <f t="shared" si="230"/>
        <v>168.59741377805111</v>
      </c>
      <c r="O3652" s="113">
        <f t="shared" si="231"/>
        <v>37765.820686283449</v>
      </c>
    </row>
    <row r="3653" spans="1:15" x14ac:dyDescent="0.25">
      <c r="A3653" s="43">
        <v>44466</v>
      </c>
      <c r="B3653" s="51">
        <v>1607</v>
      </c>
      <c r="C3653" s="66" t="s">
        <v>180</v>
      </c>
      <c r="D3653" s="66" t="s">
        <v>447</v>
      </c>
      <c r="E3653" t="s">
        <v>17</v>
      </c>
      <c r="F3653" s="50" t="s">
        <v>573</v>
      </c>
      <c r="G3653" s="50" t="s">
        <v>574</v>
      </c>
      <c r="H3653" s="50">
        <v>2</v>
      </c>
      <c r="I3653" s="100">
        <v>6.7391919697301583</v>
      </c>
      <c r="J3653" s="52">
        <v>3834.68</v>
      </c>
      <c r="K3653" s="67">
        <f t="shared" si="228"/>
        <v>41529.12997261314</v>
      </c>
      <c r="L3653" s="95">
        <f>+VLOOKUP(E3653,MARGEN!A:B,2,FALSE)</f>
        <v>0.1</v>
      </c>
      <c r="M3653" s="112">
        <f t="shared" si="229"/>
        <v>4152.9129972613146</v>
      </c>
      <c r="N3653" s="113">
        <f t="shared" si="230"/>
        <v>166.11651989045257</v>
      </c>
      <c r="O3653" s="113">
        <f t="shared" si="231"/>
        <v>37210.100455461376</v>
      </c>
    </row>
    <row r="3654" spans="1:15" x14ac:dyDescent="0.25">
      <c r="A3654" s="43">
        <v>44466</v>
      </c>
      <c r="B3654" s="51">
        <v>1559</v>
      </c>
      <c r="C3654" s="66" t="s">
        <v>176</v>
      </c>
      <c r="D3654" s="66" t="s">
        <v>430</v>
      </c>
      <c r="E3654" t="s">
        <v>17</v>
      </c>
      <c r="F3654" s="50" t="s">
        <v>573</v>
      </c>
      <c r="G3654" s="50" t="s">
        <v>574</v>
      </c>
      <c r="H3654" s="50">
        <v>2</v>
      </c>
      <c r="I3654" s="100">
        <v>6.7391919697301583</v>
      </c>
      <c r="J3654" s="52">
        <v>3834.68</v>
      </c>
      <c r="K3654" s="67">
        <f t="shared" si="228"/>
        <v>40288.683028813866</v>
      </c>
      <c r="L3654" s="95">
        <f>+VLOOKUP(E3654,MARGEN!A:B,2,FALSE)</f>
        <v>0.1</v>
      </c>
      <c r="M3654" s="112">
        <f t="shared" si="229"/>
        <v>4028.8683028813866</v>
      </c>
      <c r="N3654" s="113">
        <f t="shared" si="230"/>
        <v>161.15473211525546</v>
      </c>
      <c r="O3654" s="113">
        <f t="shared" si="231"/>
        <v>36098.659993817222</v>
      </c>
    </row>
    <row r="3655" spans="1:15" x14ac:dyDescent="0.25">
      <c r="A3655" s="43">
        <v>44466</v>
      </c>
      <c r="B3655" s="51">
        <v>1559</v>
      </c>
      <c r="C3655" s="66" t="s">
        <v>552</v>
      </c>
      <c r="D3655" s="66" t="s">
        <v>563</v>
      </c>
      <c r="E3655" t="s">
        <v>17</v>
      </c>
      <c r="F3655" s="50" t="s">
        <v>573</v>
      </c>
      <c r="G3655" s="50" t="s">
        <v>574</v>
      </c>
      <c r="H3655" s="50">
        <v>2</v>
      </c>
      <c r="I3655" s="100">
        <v>6.7391919697301583</v>
      </c>
      <c r="J3655" s="52">
        <v>3834.68</v>
      </c>
      <c r="K3655" s="67">
        <f t="shared" si="228"/>
        <v>40288.683028813866</v>
      </c>
      <c r="L3655" s="95">
        <f>+VLOOKUP(E3655,MARGEN!A:B,2,FALSE)</f>
        <v>0.1</v>
      </c>
      <c r="M3655" s="112">
        <f t="shared" si="229"/>
        <v>4028.8683028813866</v>
      </c>
      <c r="N3655" s="113">
        <f t="shared" si="230"/>
        <v>161.15473211525546</v>
      </c>
      <c r="O3655" s="113">
        <f t="shared" si="231"/>
        <v>36098.659993817222</v>
      </c>
    </row>
    <row r="3656" spans="1:15" x14ac:dyDescent="0.25">
      <c r="A3656" s="43">
        <v>44466</v>
      </c>
      <c r="B3656" s="51">
        <v>1535</v>
      </c>
      <c r="C3656" s="66" t="s">
        <v>137</v>
      </c>
      <c r="D3656" s="66" t="s">
        <v>418</v>
      </c>
      <c r="E3656" t="s">
        <v>17</v>
      </c>
      <c r="F3656" s="50" t="s">
        <v>573</v>
      </c>
      <c r="G3656" s="50" t="s">
        <v>574</v>
      </c>
      <c r="H3656" s="50">
        <v>2</v>
      </c>
      <c r="I3656" s="100">
        <v>6.7391919697301583</v>
      </c>
      <c r="J3656" s="52">
        <v>3834.68</v>
      </c>
      <c r="K3656" s="67">
        <f t="shared" si="228"/>
        <v>39668.459556914233</v>
      </c>
      <c r="L3656" s="95">
        <f>+VLOOKUP(E3656,MARGEN!A:B,2,FALSE)</f>
        <v>0.1</v>
      </c>
      <c r="M3656" s="112">
        <f t="shared" si="229"/>
        <v>3966.8459556914236</v>
      </c>
      <c r="N3656" s="113">
        <f t="shared" si="230"/>
        <v>158.67383822765694</v>
      </c>
      <c r="O3656" s="113">
        <f t="shared" si="231"/>
        <v>35542.939762995149</v>
      </c>
    </row>
    <row r="3657" spans="1:15" x14ac:dyDescent="0.25">
      <c r="A3657" s="43">
        <v>44466</v>
      </c>
      <c r="B3657" s="51">
        <v>1511</v>
      </c>
      <c r="C3657" s="66" t="s">
        <v>152</v>
      </c>
      <c r="D3657" s="66" t="s">
        <v>425</v>
      </c>
      <c r="E3657" t="s">
        <v>17</v>
      </c>
      <c r="F3657" s="50" t="s">
        <v>573</v>
      </c>
      <c r="G3657" s="50" t="s">
        <v>574</v>
      </c>
      <c r="H3657" s="50">
        <v>2</v>
      </c>
      <c r="I3657" s="100">
        <v>6.7391919697301583</v>
      </c>
      <c r="J3657" s="52">
        <v>3834.68</v>
      </c>
      <c r="K3657" s="67">
        <f t="shared" ref="K3657:K3720" si="232">+B3657*I3657*J3657/1000</f>
        <v>39048.2360850146</v>
      </c>
      <c r="L3657" s="95">
        <f>+VLOOKUP(E3657,MARGEN!A:B,2,FALSE)</f>
        <v>0.1</v>
      </c>
      <c r="M3657" s="112">
        <f t="shared" si="229"/>
        <v>3904.8236085014601</v>
      </c>
      <c r="N3657" s="113">
        <f t="shared" si="230"/>
        <v>156.1929443400584</v>
      </c>
      <c r="O3657" s="113">
        <f t="shared" si="231"/>
        <v>34987.219532173083</v>
      </c>
    </row>
    <row r="3658" spans="1:15" x14ac:dyDescent="0.25">
      <c r="A3658" s="43">
        <v>44466</v>
      </c>
      <c r="B3658" s="51">
        <v>1487</v>
      </c>
      <c r="C3658" s="66" t="s">
        <v>294</v>
      </c>
      <c r="D3658" s="66" t="s">
        <v>527</v>
      </c>
      <c r="E3658" t="s">
        <v>17</v>
      </c>
      <c r="F3658" s="50" t="s">
        <v>573</v>
      </c>
      <c r="G3658" s="50" t="s">
        <v>574</v>
      </c>
      <c r="H3658" s="50">
        <v>2</v>
      </c>
      <c r="I3658" s="100">
        <v>6.7391919697301583</v>
      </c>
      <c r="J3658" s="52">
        <v>3834.68</v>
      </c>
      <c r="K3658" s="67">
        <f t="shared" si="232"/>
        <v>38428.012613114959</v>
      </c>
      <c r="L3658" s="95">
        <f>+VLOOKUP(E3658,MARGEN!A:B,2,FALSE)</f>
        <v>0.1</v>
      </c>
      <c r="M3658" s="112">
        <f t="shared" si="229"/>
        <v>3842.8012613114961</v>
      </c>
      <c r="N3658" s="113">
        <f t="shared" si="230"/>
        <v>153.71205045245983</v>
      </c>
      <c r="O3658" s="113">
        <f t="shared" si="231"/>
        <v>34431.499301351003</v>
      </c>
    </row>
    <row r="3659" spans="1:15" x14ac:dyDescent="0.25">
      <c r="A3659" s="43">
        <v>44466</v>
      </c>
      <c r="B3659" s="51">
        <v>1487</v>
      </c>
      <c r="C3659" s="66" t="s">
        <v>169</v>
      </c>
      <c r="D3659" s="66" t="s">
        <v>351</v>
      </c>
      <c r="E3659" t="s">
        <v>17</v>
      </c>
      <c r="F3659" s="50" t="s">
        <v>573</v>
      </c>
      <c r="G3659" s="50" t="s">
        <v>574</v>
      </c>
      <c r="H3659" s="50">
        <v>2</v>
      </c>
      <c r="I3659" s="100">
        <v>6.7391919697301583</v>
      </c>
      <c r="J3659" s="52">
        <v>3834.68</v>
      </c>
      <c r="K3659" s="67">
        <f t="shared" si="232"/>
        <v>38428.012613114959</v>
      </c>
      <c r="L3659" s="95">
        <f>+VLOOKUP(E3659,MARGEN!A:B,2,FALSE)</f>
        <v>0.1</v>
      </c>
      <c r="M3659" s="112">
        <f t="shared" si="229"/>
        <v>3842.8012613114961</v>
      </c>
      <c r="N3659" s="113">
        <f t="shared" si="230"/>
        <v>153.71205045245983</v>
      </c>
      <c r="O3659" s="113">
        <f t="shared" si="231"/>
        <v>34431.499301351003</v>
      </c>
    </row>
    <row r="3660" spans="1:15" x14ac:dyDescent="0.25">
      <c r="A3660" s="43">
        <v>44466</v>
      </c>
      <c r="B3660" s="51">
        <v>1463</v>
      </c>
      <c r="C3660" s="66" t="s">
        <v>119</v>
      </c>
      <c r="D3660" s="66" t="s">
        <v>377</v>
      </c>
      <c r="E3660" t="s">
        <v>17</v>
      </c>
      <c r="F3660" s="50" t="s">
        <v>573</v>
      </c>
      <c r="G3660" s="50" t="s">
        <v>574</v>
      </c>
      <c r="H3660" s="50">
        <v>2</v>
      </c>
      <c r="I3660" s="100">
        <v>6.7391919697301583</v>
      </c>
      <c r="J3660" s="52">
        <v>3834.68</v>
      </c>
      <c r="K3660" s="67">
        <f t="shared" si="232"/>
        <v>37807.789141215326</v>
      </c>
      <c r="L3660" s="95">
        <f>+VLOOKUP(E3660,MARGEN!A:B,2,FALSE)</f>
        <v>0.1</v>
      </c>
      <c r="M3660" s="112">
        <f t="shared" si="229"/>
        <v>3780.7789141215326</v>
      </c>
      <c r="N3660" s="113">
        <f t="shared" si="230"/>
        <v>151.23115656486129</v>
      </c>
      <c r="O3660" s="113">
        <f t="shared" si="231"/>
        <v>33875.77907052893</v>
      </c>
    </row>
    <row r="3661" spans="1:15" x14ac:dyDescent="0.25">
      <c r="A3661" s="43">
        <v>44466</v>
      </c>
      <c r="B3661" s="51">
        <v>1463</v>
      </c>
      <c r="C3661" s="66" t="s">
        <v>297</v>
      </c>
      <c r="D3661" s="66" t="s">
        <v>526</v>
      </c>
      <c r="E3661" t="s">
        <v>17</v>
      </c>
      <c r="F3661" s="50" t="s">
        <v>573</v>
      </c>
      <c r="G3661" s="50" t="s">
        <v>574</v>
      </c>
      <c r="H3661" s="50">
        <v>2</v>
      </c>
      <c r="I3661" s="100">
        <v>6.7391919697301583</v>
      </c>
      <c r="J3661" s="52">
        <v>3834.68</v>
      </c>
      <c r="K3661" s="67">
        <f t="shared" si="232"/>
        <v>37807.789141215326</v>
      </c>
      <c r="L3661" s="95">
        <f>+VLOOKUP(E3661,MARGEN!A:B,2,FALSE)</f>
        <v>0.1</v>
      </c>
      <c r="M3661" s="112">
        <f t="shared" si="229"/>
        <v>3780.7789141215326</v>
      </c>
      <c r="N3661" s="113">
        <f t="shared" si="230"/>
        <v>151.23115656486129</v>
      </c>
      <c r="O3661" s="113">
        <f t="shared" si="231"/>
        <v>33875.77907052893</v>
      </c>
    </row>
    <row r="3662" spans="1:15" x14ac:dyDescent="0.25">
      <c r="A3662" s="43">
        <v>44466</v>
      </c>
      <c r="B3662" s="51">
        <v>1439</v>
      </c>
      <c r="C3662" s="66" t="s">
        <v>168</v>
      </c>
      <c r="D3662" s="66" t="s">
        <v>352</v>
      </c>
      <c r="E3662" t="s">
        <v>17</v>
      </c>
      <c r="F3662" s="50" t="s">
        <v>573</v>
      </c>
      <c r="G3662" s="50" t="s">
        <v>574</v>
      </c>
      <c r="H3662" s="50">
        <v>2</v>
      </c>
      <c r="I3662" s="100">
        <v>6.7391919697301583</v>
      </c>
      <c r="J3662" s="52">
        <v>3834.68</v>
      </c>
      <c r="K3662" s="67">
        <f t="shared" si="232"/>
        <v>37187.565669315685</v>
      </c>
      <c r="L3662" s="95">
        <f>+VLOOKUP(E3662,MARGEN!A:B,2,FALSE)</f>
        <v>0.1</v>
      </c>
      <c r="M3662" s="112">
        <f t="shared" si="229"/>
        <v>3718.7565669315686</v>
      </c>
      <c r="N3662" s="113">
        <f t="shared" si="230"/>
        <v>148.75026267726275</v>
      </c>
      <c r="O3662" s="113">
        <f t="shared" si="231"/>
        <v>33320.058839706857</v>
      </c>
    </row>
    <row r="3663" spans="1:15" x14ac:dyDescent="0.25">
      <c r="A3663" s="43">
        <v>44466</v>
      </c>
      <c r="B3663" s="51">
        <v>1439</v>
      </c>
      <c r="C3663" s="66" t="s">
        <v>200</v>
      </c>
      <c r="D3663" s="66" t="s">
        <v>428</v>
      </c>
      <c r="E3663" t="s">
        <v>17</v>
      </c>
      <c r="F3663" s="50" t="s">
        <v>573</v>
      </c>
      <c r="G3663" s="50" t="s">
        <v>574</v>
      </c>
      <c r="H3663" s="50">
        <v>2</v>
      </c>
      <c r="I3663" s="100">
        <v>6.7391919697301583</v>
      </c>
      <c r="J3663" s="52">
        <v>3834.68</v>
      </c>
      <c r="K3663" s="67">
        <f t="shared" si="232"/>
        <v>37187.565669315685</v>
      </c>
      <c r="L3663" s="95">
        <f>+VLOOKUP(E3663,MARGEN!A:B,2,FALSE)</f>
        <v>0.1</v>
      </c>
      <c r="M3663" s="112">
        <f t="shared" si="229"/>
        <v>3718.7565669315686</v>
      </c>
      <c r="N3663" s="113">
        <f t="shared" si="230"/>
        <v>148.75026267726275</v>
      </c>
      <c r="O3663" s="113">
        <f t="shared" si="231"/>
        <v>33320.058839706857</v>
      </c>
    </row>
    <row r="3664" spans="1:15" x14ac:dyDescent="0.25">
      <c r="A3664" s="43">
        <v>44466</v>
      </c>
      <c r="B3664" s="51">
        <v>1391</v>
      </c>
      <c r="C3664" s="66" t="s">
        <v>210</v>
      </c>
      <c r="D3664" s="66" t="s">
        <v>402</v>
      </c>
      <c r="E3664" t="s">
        <v>17</v>
      </c>
      <c r="F3664" s="50" t="s">
        <v>573</v>
      </c>
      <c r="G3664" s="50" t="s">
        <v>574</v>
      </c>
      <c r="H3664" s="50">
        <v>2</v>
      </c>
      <c r="I3664" s="100">
        <v>6.7391919697301583</v>
      </c>
      <c r="J3664" s="52">
        <v>3834.68</v>
      </c>
      <c r="K3664" s="67">
        <f t="shared" si="232"/>
        <v>35947.118725516419</v>
      </c>
      <c r="L3664" s="95">
        <f>+VLOOKUP(E3664,MARGEN!A:B,2,FALSE)</f>
        <v>0.1</v>
      </c>
      <c r="M3664" s="112">
        <f t="shared" si="229"/>
        <v>3594.711872551642</v>
      </c>
      <c r="N3664" s="113">
        <f t="shared" si="230"/>
        <v>143.78847490206567</v>
      </c>
      <c r="O3664" s="113">
        <f t="shared" si="231"/>
        <v>32208.618378062711</v>
      </c>
    </row>
    <row r="3665" spans="1:15" x14ac:dyDescent="0.25">
      <c r="A3665" s="43">
        <v>44466</v>
      </c>
      <c r="B3665" s="51">
        <v>1367</v>
      </c>
      <c r="C3665" s="66" t="s">
        <v>173</v>
      </c>
      <c r="D3665" s="66" t="s">
        <v>451</v>
      </c>
      <c r="E3665" t="s">
        <v>17</v>
      </c>
      <c r="F3665" s="50" t="s">
        <v>573</v>
      </c>
      <c r="G3665" s="50" t="s">
        <v>574</v>
      </c>
      <c r="H3665" s="50">
        <v>2</v>
      </c>
      <c r="I3665" s="100">
        <v>6.7391919697301583</v>
      </c>
      <c r="J3665" s="52">
        <v>3834.68</v>
      </c>
      <c r="K3665" s="67">
        <f t="shared" si="232"/>
        <v>35326.895253616778</v>
      </c>
      <c r="L3665" s="95">
        <f>+VLOOKUP(E3665,MARGEN!A:B,2,FALSE)</f>
        <v>0.1</v>
      </c>
      <c r="M3665" s="112">
        <f t="shared" si="229"/>
        <v>3532.6895253616781</v>
      </c>
      <c r="N3665" s="113">
        <f t="shared" si="230"/>
        <v>141.3075810144671</v>
      </c>
      <c r="O3665" s="113">
        <f t="shared" si="231"/>
        <v>31652.898147240634</v>
      </c>
    </row>
    <row r="3666" spans="1:15" x14ac:dyDescent="0.25">
      <c r="A3666" s="43">
        <v>44466</v>
      </c>
      <c r="B3666" s="51">
        <v>1367</v>
      </c>
      <c r="C3666" s="66" t="s">
        <v>289</v>
      </c>
      <c r="D3666" s="66" t="s">
        <v>528</v>
      </c>
      <c r="E3666" t="s">
        <v>17</v>
      </c>
      <c r="F3666" s="50" t="s">
        <v>558</v>
      </c>
      <c r="G3666" s="50" t="s">
        <v>574</v>
      </c>
      <c r="H3666" s="50">
        <v>2</v>
      </c>
      <c r="I3666" s="100">
        <v>6.7391919697301583</v>
      </c>
      <c r="J3666" s="52">
        <v>3834.68</v>
      </c>
      <c r="K3666" s="67">
        <f t="shared" si="232"/>
        <v>35326.895253616778</v>
      </c>
      <c r="L3666" s="95">
        <f>+VLOOKUP(E3666,MARGEN!A:B,2,FALSE)</f>
        <v>0.1</v>
      </c>
      <c r="M3666" s="112">
        <f t="shared" si="229"/>
        <v>3532.6895253616781</v>
      </c>
      <c r="N3666" s="113">
        <f t="shared" si="230"/>
        <v>141.3075810144671</v>
      </c>
      <c r="O3666" s="113">
        <f t="shared" si="231"/>
        <v>31652.898147240634</v>
      </c>
    </row>
    <row r="3667" spans="1:15" x14ac:dyDescent="0.25">
      <c r="A3667" s="43">
        <v>44466</v>
      </c>
      <c r="B3667" s="51">
        <v>1343</v>
      </c>
      <c r="C3667" s="66" t="s">
        <v>292</v>
      </c>
      <c r="D3667" s="66" t="s">
        <v>535</v>
      </c>
      <c r="E3667" t="s">
        <v>17</v>
      </c>
      <c r="F3667" s="50" t="s">
        <v>573</v>
      </c>
      <c r="G3667" s="50" t="s">
        <v>574</v>
      </c>
      <c r="H3667" s="50">
        <v>2</v>
      </c>
      <c r="I3667" s="100">
        <v>6.7391919697301583</v>
      </c>
      <c r="J3667" s="52">
        <v>3834.68</v>
      </c>
      <c r="K3667" s="67">
        <f t="shared" si="232"/>
        <v>34706.671781717145</v>
      </c>
      <c r="L3667" s="95">
        <f>+VLOOKUP(E3667,MARGEN!A:B,2,FALSE)</f>
        <v>0.1</v>
      </c>
      <c r="M3667" s="112">
        <f t="shared" si="229"/>
        <v>3470.6671781717146</v>
      </c>
      <c r="N3667" s="113">
        <f t="shared" si="230"/>
        <v>138.82668712686859</v>
      </c>
      <c r="O3667" s="113">
        <f t="shared" si="231"/>
        <v>31097.177916418561</v>
      </c>
    </row>
    <row r="3668" spans="1:15" x14ac:dyDescent="0.25">
      <c r="A3668" s="43">
        <v>44466</v>
      </c>
      <c r="B3668" s="51">
        <v>1319</v>
      </c>
      <c r="C3668" s="66" t="s">
        <v>298</v>
      </c>
      <c r="D3668" s="66" t="s">
        <v>536</v>
      </c>
      <c r="E3668" t="s">
        <v>17</v>
      </c>
      <c r="F3668" s="50" t="s">
        <v>573</v>
      </c>
      <c r="G3668" s="50" t="s">
        <v>574</v>
      </c>
      <c r="H3668" s="50">
        <v>2</v>
      </c>
      <c r="I3668" s="100">
        <v>6.7391919697301583</v>
      </c>
      <c r="J3668" s="52">
        <v>3834.68</v>
      </c>
      <c r="K3668" s="67">
        <f t="shared" si="232"/>
        <v>34086.448309817511</v>
      </c>
      <c r="L3668" s="95">
        <f>+VLOOKUP(E3668,MARGEN!A:B,2,FALSE)</f>
        <v>0.1</v>
      </c>
      <c r="M3668" s="112">
        <f t="shared" si="229"/>
        <v>3408.6448309817515</v>
      </c>
      <c r="N3668" s="113">
        <f t="shared" si="230"/>
        <v>136.34579323927005</v>
      </c>
      <c r="O3668" s="113">
        <f t="shared" si="231"/>
        <v>30541.457685596492</v>
      </c>
    </row>
    <row r="3669" spans="1:15" x14ac:dyDescent="0.25">
      <c r="A3669" s="43">
        <v>44466</v>
      </c>
      <c r="B3669" s="51">
        <v>1319</v>
      </c>
      <c r="C3669" s="66" t="s">
        <v>141</v>
      </c>
      <c r="D3669" s="66" t="s">
        <v>450</v>
      </c>
      <c r="E3669" t="s">
        <v>17</v>
      </c>
      <c r="F3669" s="50" t="s">
        <v>573</v>
      </c>
      <c r="G3669" s="50" t="s">
        <v>574</v>
      </c>
      <c r="H3669" s="50">
        <v>2</v>
      </c>
      <c r="I3669" s="100">
        <v>6.7391919697301583</v>
      </c>
      <c r="J3669" s="52">
        <v>3834.68</v>
      </c>
      <c r="K3669" s="67">
        <f t="shared" si="232"/>
        <v>34086.448309817511</v>
      </c>
      <c r="L3669" s="95">
        <f>+VLOOKUP(E3669,MARGEN!A:B,2,FALSE)</f>
        <v>0.1</v>
      </c>
      <c r="M3669" s="112">
        <f t="shared" si="229"/>
        <v>3408.6448309817515</v>
      </c>
      <c r="N3669" s="113">
        <f t="shared" si="230"/>
        <v>136.34579323927005</v>
      </c>
      <c r="O3669" s="113">
        <f t="shared" si="231"/>
        <v>30541.457685596492</v>
      </c>
    </row>
    <row r="3670" spans="1:15" x14ac:dyDescent="0.25">
      <c r="A3670" s="43">
        <v>44466</v>
      </c>
      <c r="B3670" s="51">
        <v>1319</v>
      </c>
      <c r="C3670" s="66" t="s">
        <v>118</v>
      </c>
      <c r="D3670" s="66" t="s">
        <v>329</v>
      </c>
      <c r="E3670" t="s">
        <v>17</v>
      </c>
      <c r="F3670" s="50" t="s">
        <v>573</v>
      </c>
      <c r="G3670" s="50" t="s">
        <v>574</v>
      </c>
      <c r="H3670" s="50">
        <v>2</v>
      </c>
      <c r="I3670" s="100">
        <v>6.7391919697301583</v>
      </c>
      <c r="J3670" s="52">
        <v>3834.68</v>
      </c>
      <c r="K3670" s="67">
        <f t="shared" si="232"/>
        <v>34086.448309817511</v>
      </c>
      <c r="L3670" s="95">
        <f>+VLOOKUP(E3670,MARGEN!A:B,2,FALSE)</f>
        <v>0.1</v>
      </c>
      <c r="M3670" s="112">
        <f t="shared" si="229"/>
        <v>3408.6448309817515</v>
      </c>
      <c r="N3670" s="113">
        <f t="shared" si="230"/>
        <v>136.34579323927005</v>
      </c>
      <c r="O3670" s="113">
        <f t="shared" si="231"/>
        <v>30541.457685596492</v>
      </c>
    </row>
    <row r="3671" spans="1:15" x14ac:dyDescent="0.25">
      <c r="A3671" s="43">
        <v>44466</v>
      </c>
      <c r="B3671" s="51">
        <v>1295</v>
      </c>
      <c r="C3671" s="66" t="s">
        <v>166</v>
      </c>
      <c r="D3671" s="66" t="s">
        <v>426</v>
      </c>
      <c r="E3671" t="s">
        <v>17</v>
      </c>
      <c r="F3671" s="50" t="s">
        <v>558</v>
      </c>
      <c r="G3671" s="50" t="s">
        <v>574</v>
      </c>
      <c r="H3671" s="50">
        <v>2</v>
      </c>
      <c r="I3671" s="100">
        <v>6.7391919697301583</v>
      </c>
      <c r="J3671" s="52">
        <v>3834.68</v>
      </c>
      <c r="K3671" s="67">
        <f t="shared" si="232"/>
        <v>33466.224837917871</v>
      </c>
      <c r="L3671" s="95">
        <f>+VLOOKUP(E3671,MARGEN!A:B,2,FALSE)</f>
        <v>0.1</v>
      </c>
      <c r="M3671" s="112">
        <f t="shared" si="229"/>
        <v>3346.6224837917871</v>
      </c>
      <c r="N3671" s="113">
        <f t="shared" si="230"/>
        <v>133.86489935167148</v>
      </c>
      <c r="O3671" s="113">
        <f t="shared" si="231"/>
        <v>29985.737454774411</v>
      </c>
    </row>
    <row r="3672" spans="1:15" x14ac:dyDescent="0.25">
      <c r="A3672" s="43">
        <v>44466</v>
      </c>
      <c r="B3672" s="51">
        <v>1295</v>
      </c>
      <c r="C3672" s="66" t="s">
        <v>151</v>
      </c>
      <c r="D3672" s="66" t="s">
        <v>394</v>
      </c>
      <c r="E3672" t="s">
        <v>17</v>
      </c>
      <c r="F3672" s="50" t="s">
        <v>573</v>
      </c>
      <c r="G3672" s="50" t="s">
        <v>574</v>
      </c>
      <c r="H3672" s="50">
        <v>2</v>
      </c>
      <c r="I3672" s="100">
        <v>6.7391919697301583</v>
      </c>
      <c r="J3672" s="52">
        <v>3834.68</v>
      </c>
      <c r="K3672" s="67">
        <f t="shared" si="232"/>
        <v>33466.224837917871</v>
      </c>
      <c r="L3672" s="95">
        <f>+VLOOKUP(E3672,MARGEN!A:B,2,FALSE)</f>
        <v>0.1</v>
      </c>
      <c r="M3672" s="112">
        <f t="shared" si="229"/>
        <v>3346.6224837917871</v>
      </c>
      <c r="N3672" s="113">
        <f t="shared" si="230"/>
        <v>133.86489935167148</v>
      </c>
      <c r="O3672" s="113">
        <f t="shared" si="231"/>
        <v>29985.737454774411</v>
      </c>
    </row>
    <row r="3673" spans="1:15" x14ac:dyDescent="0.25">
      <c r="A3673" s="43">
        <v>44466</v>
      </c>
      <c r="B3673" s="51">
        <v>1295</v>
      </c>
      <c r="C3673" s="66" t="s">
        <v>303</v>
      </c>
      <c r="D3673" s="66" t="s">
        <v>539</v>
      </c>
      <c r="E3673" t="s">
        <v>17</v>
      </c>
      <c r="F3673" s="50" t="s">
        <v>573</v>
      </c>
      <c r="G3673" s="50" t="s">
        <v>574</v>
      </c>
      <c r="H3673" s="50">
        <v>2</v>
      </c>
      <c r="I3673" s="100">
        <v>6.7391919697301583</v>
      </c>
      <c r="J3673" s="52">
        <v>3834.68</v>
      </c>
      <c r="K3673" s="67">
        <f t="shared" si="232"/>
        <v>33466.224837917871</v>
      </c>
      <c r="L3673" s="95">
        <f>+VLOOKUP(E3673,MARGEN!A:B,2,FALSE)</f>
        <v>0.1</v>
      </c>
      <c r="M3673" s="112">
        <f t="shared" si="229"/>
        <v>3346.6224837917871</v>
      </c>
      <c r="N3673" s="113">
        <f t="shared" si="230"/>
        <v>133.86489935167148</v>
      </c>
      <c r="O3673" s="113">
        <f t="shared" si="231"/>
        <v>29985.737454774411</v>
      </c>
    </row>
    <row r="3674" spans="1:15" x14ac:dyDescent="0.25">
      <c r="A3674" s="43">
        <v>44466</v>
      </c>
      <c r="B3674" s="51">
        <v>1295</v>
      </c>
      <c r="C3674" s="66" t="s">
        <v>302</v>
      </c>
      <c r="D3674" s="66" t="s">
        <v>538</v>
      </c>
      <c r="E3674" t="s">
        <v>17</v>
      </c>
      <c r="F3674" s="50" t="s">
        <v>573</v>
      </c>
      <c r="G3674" s="50" t="s">
        <v>574</v>
      </c>
      <c r="H3674" s="50">
        <v>2</v>
      </c>
      <c r="I3674" s="100">
        <v>6.7391919697301583</v>
      </c>
      <c r="J3674" s="52">
        <v>3834.68</v>
      </c>
      <c r="K3674" s="67">
        <f t="shared" si="232"/>
        <v>33466.224837917871</v>
      </c>
      <c r="L3674" s="95">
        <f>+VLOOKUP(E3674,MARGEN!A:B,2,FALSE)</f>
        <v>0.1</v>
      </c>
      <c r="M3674" s="112">
        <f t="shared" si="229"/>
        <v>3346.6224837917871</v>
      </c>
      <c r="N3674" s="113">
        <f t="shared" si="230"/>
        <v>133.86489935167148</v>
      </c>
      <c r="O3674" s="113">
        <f t="shared" si="231"/>
        <v>29985.737454774411</v>
      </c>
    </row>
    <row r="3675" spans="1:15" x14ac:dyDescent="0.25">
      <c r="A3675" s="43">
        <v>44466</v>
      </c>
      <c r="B3675" s="51">
        <v>1271</v>
      </c>
      <c r="C3675" s="66" t="s">
        <v>183</v>
      </c>
      <c r="D3675" s="66" t="s">
        <v>390</v>
      </c>
      <c r="E3675" t="s">
        <v>17</v>
      </c>
      <c r="F3675" s="50" t="s">
        <v>573</v>
      </c>
      <c r="G3675" s="50" t="s">
        <v>574</v>
      </c>
      <c r="H3675" s="50">
        <v>2</v>
      </c>
      <c r="I3675" s="100">
        <v>6.7391919697301583</v>
      </c>
      <c r="J3675" s="52">
        <v>3834.68</v>
      </c>
      <c r="K3675" s="67">
        <f t="shared" si="232"/>
        <v>32846.00136601823</v>
      </c>
      <c r="L3675" s="95">
        <f>+VLOOKUP(E3675,MARGEN!A:B,2,FALSE)</f>
        <v>0.1</v>
      </c>
      <c r="M3675" s="112">
        <f t="shared" si="229"/>
        <v>3284.6001366018231</v>
      </c>
      <c r="N3675" s="113">
        <f t="shared" si="230"/>
        <v>131.38400546407291</v>
      </c>
      <c r="O3675" s="113">
        <f t="shared" si="231"/>
        <v>29430.017223952334</v>
      </c>
    </row>
    <row r="3676" spans="1:15" x14ac:dyDescent="0.25">
      <c r="A3676" s="43">
        <v>44466</v>
      </c>
      <c r="B3676" s="51">
        <v>1223</v>
      </c>
      <c r="C3676" s="66" t="s">
        <v>300</v>
      </c>
      <c r="D3676" s="66" t="s">
        <v>529</v>
      </c>
      <c r="E3676" t="s">
        <v>17</v>
      </c>
      <c r="F3676" s="50" t="s">
        <v>558</v>
      </c>
      <c r="G3676" s="50" t="s">
        <v>574</v>
      </c>
      <c r="H3676" s="50">
        <v>2</v>
      </c>
      <c r="I3676" s="100">
        <v>6.7391919697301583</v>
      </c>
      <c r="J3676" s="52">
        <v>3834.68</v>
      </c>
      <c r="K3676" s="67">
        <f t="shared" si="232"/>
        <v>31605.55442221896</v>
      </c>
      <c r="L3676" s="95">
        <f>+VLOOKUP(E3676,MARGEN!A:B,2,FALSE)</f>
        <v>0.1</v>
      </c>
      <c r="M3676" s="112">
        <f t="shared" si="229"/>
        <v>3160.5554422218961</v>
      </c>
      <c r="N3676" s="113">
        <f t="shared" si="230"/>
        <v>126.42221768887585</v>
      </c>
      <c r="O3676" s="113">
        <f t="shared" si="231"/>
        <v>28318.576762308188</v>
      </c>
    </row>
    <row r="3677" spans="1:15" x14ac:dyDescent="0.25">
      <c r="A3677" s="43">
        <v>44466</v>
      </c>
      <c r="B3677" s="51">
        <v>1199</v>
      </c>
      <c r="C3677" s="66" t="s">
        <v>308</v>
      </c>
      <c r="D3677" s="66" t="s">
        <v>500</v>
      </c>
      <c r="E3677" t="s">
        <v>17</v>
      </c>
      <c r="F3677" s="50" t="s">
        <v>573</v>
      </c>
      <c r="G3677" s="50" t="s">
        <v>574</v>
      </c>
      <c r="H3677" s="50">
        <v>2</v>
      </c>
      <c r="I3677" s="100">
        <v>6.7391919697301583</v>
      </c>
      <c r="J3677" s="52">
        <v>3834.68</v>
      </c>
      <c r="K3677" s="67">
        <f t="shared" si="232"/>
        <v>30985.330950319327</v>
      </c>
      <c r="L3677" s="95">
        <f>+VLOOKUP(E3677,MARGEN!A:B,2,FALSE)</f>
        <v>0.1</v>
      </c>
      <c r="M3677" s="112">
        <f t="shared" si="229"/>
        <v>3098.533095031933</v>
      </c>
      <c r="N3677" s="113">
        <f t="shared" si="230"/>
        <v>123.94132380127731</v>
      </c>
      <c r="O3677" s="113">
        <f t="shared" si="231"/>
        <v>27762.856531486115</v>
      </c>
    </row>
    <row r="3678" spans="1:15" x14ac:dyDescent="0.25">
      <c r="A3678" s="43">
        <v>44466</v>
      </c>
      <c r="B3678" s="51">
        <v>1199</v>
      </c>
      <c r="C3678" s="66" t="s">
        <v>201</v>
      </c>
      <c r="D3678" s="66" t="s">
        <v>374</v>
      </c>
      <c r="E3678" t="s">
        <v>17</v>
      </c>
      <c r="F3678" s="50" t="s">
        <v>573</v>
      </c>
      <c r="G3678" s="50" t="s">
        <v>574</v>
      </c>
      <c r="H3678" s="50">
        <v>2</v>
      </c>
      <c r="I3678" s="100">
        <v>6.7391919697301583</v>
      </c>
      <c r="J3678" s="52">
        <v>3834.68</v>
      </c>
      <c r="K3678" s="67">
        <f t="shared" si="232"/>
        <v>30985.330950319327</v>
      </c>
      <c r="L3678" s="95">
        <f>+VLOOKUP(E3678,MARGEN!A:B,2,FALSE)</f>
        <v>0.1</v>
      </c>
      <c r="M3678" s="112">
        <f t="shared" si="229"/>
        <v>3098.533095031933</v>
      </c>
      <c r="N3678" s="113">
        <f t="shared" si="230"/>
        <v>123.94132380127731</v>
      </c>
      <c r="O3678" s="113">
        <f t="shared" si="231"/>
        <v>27762.856531486115</v>
      </c>
    </row>
    <row r="3679" spans="1:15" x14ac:dyDescent="0.25">
      <c r="A3679" s="43">
        <v>44466</v>
      </c>
      <c r="B3679" s="51">
        <v>1199</v>
      </c>
      <c r="C3679" s="66" t="s">
        <v>199</v>
      </c>
      <c r="D3679" s="66" t="s">
        <v>414</v>
      </c>
      <c r="E3679" t="s">
        <v>17</v>
      </c>
      <c r="F3679" s="50" t="s">
        <v>573</v>
      </c>
      <c r="G3679" s="50" t="s">
        <v>574</v>
      </c>
      <c r="H3679" s="50">
        <v>2</v>
      </c>
      <c r="I3679" s="100">
        <v>6.7391919697301583</v>
      </c>
      <c r="J3679" s="52">
        <v>3834.68</v>
      </c>
      <c r="K3679" s="67">
        <f t="shared" si="232"/>
        <v>30985.330950319327</v>
      </c>
      <c r="L3679" s="95">
        <f>+VLOOKUP(E3679,MARGEN!A:B,2,FALSE)</f>
        <v>0.1</v>
      </c>
      <c r="M3679" s="112">
        <f t="shared" si="229"/>
        <v>3098.533095031933</v>
      </c>
      <c r="N3679" s="113">
        <f t="shared" si="230"/>
        <v>123.94132380127731</v>
      </c>
      <c r="O3679" s="113">
        <f t="shared" si="231"/>
        <v>27762.856531486115</v>
      </c>
    </row>
    <row r="3680" spans="1:15" x14ac:dyDescent="0.25">
      <c r="A3680" s="43">
        <v>44466</v>
      </c>
      <c r="B3680" s="51">
        <v>1151</v>
      </c>
      <c r="C3680" s="66" t="s">
        <v>184</v>
      </c>
      <c r="D3680" s="66" t="s">
        <v>443</v>
      </c>
      <c r="E3680" t="s">
        <v>17</v>
      </c>
      <c r="F3680" s="50" t="s">
        <v>573</v>
      </c>
      <c r="G3680" s="50" t="s">
        <v>574</v>
      </c>
      <c r="H3680" s="50">
        <v>2</v>
      </c>
      <c r="I3680" s="100">
        <v>6.7391919697301583</v>
      </c>
      <c r="J3680" s="52">
        <v>3834.68</v>
      </c>
      <c r="K3680" s="67">
        <f t="shared" si="232"/>
        <v>29744.884006520053</v>
      </c>
      <c r="L3680" s="95">
        <f>+VLOOKUP(E3680,MARGEN!A:B,2,FALSE)</f>
        <v>0.1</v>
      </c>
      <c r="M3680" s="112">
        <f t="shared" si="229"/>
        <v>2974.4884006520056</v>
      </c>
      <c r="N3680" s="113">
        <f t="shared" si="230"/>
        <v>118.97953602608021</v>
      </c>
      <c r="O3680" s="113">
        <f t="shared" si="231"/>
        <v>26651.416069841969</v>
      </c>
    </row>
    <row r="3681" spans="1:15" x14ac:dyDescent="0.25">
      <c r="A3681" s="43">
        <v>44466</v>
      </c>
      <c r="B3681" s="51">
        <v>1127</v>
      </c>
      <c r="C3681" s="66" t="s">
        <v>153</v>
      </c>
      <c r="D3681" s="66" t="s">
        <v>444</v>
      </c>
      <c r="E3681" t="s">
        <v>17</v>
      </c>
      <c r="F3681" s="50" t="s">
        <v>573</v>
      </c>
      <c r="G3681" s="50" t="s">
        <v>574</v>
      </c>
      <c r="H3681" s="50">
        <v>2</v>
      </c>
      <c r="I3681" s="100">
        <v>6.7391919697301583</v>
      </c>
      <c r="J3681" s="52">
        <v>3834.68</v>
      </c>
      <c r="K3681" s="67">
        <f t="shared" si="232"/>
        <v>29124.660534620416</v>
      </c>
      <c r="L3681" s="95">
        <f>+VLOOKUP(E3681,MARGEN!A:B,2,FALSE)</f>
        <v>0.1</v>
      </c>
      <c r="M3681" s="112">
        <f t="shared" si="229"/>
        <v>2912.4660534620416</v>
      </c>
      <c r="N3681" s="113">
        <f t="shared" si="230"/>
        <v>116.49864213848167</v>
      </c>
      <c r="O3681" s="113">
        <f t="shared" si="231"/>
        <v>26095.695839019892</v>
      </c>
    </row>
    <row r="3682" spans="1:15" x14ac:dyDescent="0.25">
      <c r="A3682" s="43">
        <v>44466</v>
      </c>
      <c r="B3682" s="51">
        <v>1055</v>
      </c>
      <c r="C3682" s="66" t="s">
        <v>195</v>
      </c>
      <c r="D3682" s="66" t="s">
        <v>392</v>
      </c>
      <c r="E3682" t="s">
        <v>17</v>
      </c>
      <c r="F3682" s="50" t="s">
        <v>558</v>
      </c>
      <c r="G3682" s="50" t="s">
        <v>574</v>
      </c>
      <c r="H3682" s="50">
        <v>2</v>
      </c>
      <c r="I3682" s="100">
        <v>6.7391919697301583</v>
      </c>
      <c r="J3682" s="52">
        <v>3834.68</v>
      </c>
      <c r="K3682" s="67">
        <f t="shared" si="232"/>
        <v>27263.990118921512</v>
      </c>
      <c r="L3682" s="95">
        <f>+VLOOKUP(E3682,MARGEN!A:B,2,FALSE)</f>
        <v>0.1</v>
      </c>
      <c r="M3682" s="112">
        <f t="shared" si="229"/>
        <v>2726.3990118921515</v>
      </c>
      <c r="N3682" s="113">
        <f t="shared" si="230"/>
        <v>109.05596047568605</v>
      </c>
      <c r="O3682" s="113">
        <f t="shared" si="231"/>
        <v>24428.535146553677</v>
      </c>
    </row>
    <row r="3683" spans="1:15" x14ac:dyDescent="0.25">
      <c r="A3683" s="43">
        <v>44466</v>
      </c>
      <c r="B3683" s="51">
        <v>791</v>
      </c>
      <c r="C3683" s="66" t="s">
        <v>307</v>
      </c>
      <c r="D3683" s="66" t="s">
        <v>497</v>
      </c>
      <c r="E3683" t="s">
        <v>17</v>
      </c>
      <c r="F3683" s="50" t="s">
        <v>573</v>
      </c>
      <c r="G3683" s="50" t="s">
        <v>574</v>
      </c>
      <c r="H3683" s="50">
        <v>2</v>
      </c>
      <c r="I3683" s="100">
        <v>6.7391919697301583</v>
      </c>
      <c r="J3683" s="52">
        <v>3834.68</v>
      </c>
      <c r="K3683" s="67">
        <f t="shared" si="232"/>
        <v>20441.53192802551</v>
      </c>
      <c r="L3683" s="95">
        <f>+VLOOKUP(E3683,MARGEN!A:B,2,FALSE)</f>
        <v>0.1</v>
      </c>
      <c r="M3683" s="112">
        <f t="shared" si="229"/>
        <v>2044.1531928025511</v>
      </c>
      <c r="N3683" s="113">
        <f t="shared" si="230"/>
        <v>81.766127712102033</v>
      </c>
      <c r="O3683" s="113">
        <f t="shared" si="231"/>
        <v>18315.612607510859</v>
      </c>
    </row>
    <row r="3684" spans="1:15" x14ac:dyDescent="0.25">
      <c r="A3684" s="43">
        <v>44466</v>
      </c>
      <c r="B3684" s="51">
        <v>743</v>
      </c>
      <c r="C3684" s="66" t="s">
        <v>181</v>
      </c>
      <c r="D3684" s="66" t="s">
        <v>415</v>
      </c>
      <c r="E3684" t="s">
        <v>17</v>
      </c>
      <c r="F3684" s="50" t="s">
        <v>573</v>
      </c>
      <c r="G3684" s="50" t="s">
        <v>574</v>
      </c>
      <c r="H3684" s="50">
        <v>2</v>
      </c>
      <c r="I3684" s="100">
        <v>6.7391919697301583</v>
      </c>
      <c r="J3684" s="52">
        <v>3834.68</v>
      </c>
      <c r="K3684" s="67">
        <f t="shared" si="232"/>
        <v>19201.08498422624</v>
      </c>
      <c r="L3684" s="95">
        <f>+VLOOKUP(E3684,MARGEN!A:B,2,FALSE)</f>
        <v>0.1</v>
      </c>
      <c r="M3684" s="112">
        <f t="shared" si="229"/>
        <v>1920.1084984226241</v>
      </c>
      <c r="N3684" s="113">
        <f t="shared" si="230"/>
        <v>76.804339936904952</v>
      </c>
      <c r="O3684" s="113">
        <f t="shared" si="231"/>
        <v>17204.172145866709</v>
      </c>
    </row>
    <row r="3685" spans="1:15" x14ac:dyDescent="0.25">
      <c r="A3685" s="43">
        <v>44467</v>
      </c>
      <c r="B3685" s="51">
        <v>8471</v>
      </c>
      <c r="C3685" s="66" t="s">
        <v>164</v>
      </c>
      <c r="D3685" s="66" t="s">
        <v>445</v>
      </c>
      <c r="E3685" t="s">
        <v>17</v>
      </c>
      <c r="F3685" s="50" t="s">
        <v>573</v>
      </c>
      <c r="G3685" s="50" t="s">
        <v>574</v>
      </c>
      <c r="H3685" s="50">
        <v>2</v>
      </c>
      <c r="I3685" s="100">
        <v>6.7391919697301583</v>
      </c>
      <c r="J3685" s="52">
        <v>3834.68</v>
      </c>
      <c r="K3685" s="67">
        <f t="shared" si="232"/>
        <v>218913.04293590909</v>
      </c>
      <c r="L3685" s="95">
        <f>+VLOOKUP(E3685,MARGEN!A:B,2,FALSE)</f>
        <v>0.1</v>
      </c>
      <c r="M3685" s="112">
        <f t="shared" si="229"/>
        <v>21891.304293590911</v>
      </c>
      <c r="N3685" s="113">
        <f t="shared" si="230"/>
        <v>875.65217174363636</v>
      </c>
      <c r="O3685" s="113">
        <f t="shared" si="231"/>
        <v>196146.08647057455</v>
      </c>
    </row>
    <row r="3686" spans="1:15" x14ac:dyDescent="0.25">
      <c r="A3686" s="43">
        <v>44467</v>
      </c>
      <c r="B3686" s="51">
        <v>6767</v>
      </c>
      <c r="C3686" s="66" t="s">
        <v>150</v>
      </c>
      <c r="D3686" s="66" t="s">
        <v>357</v>
      </c>
      <c r="E3686" t="s">
        <v>17</v>
      </c>
      <c r="F3686" s="50" t="s">
        <v>573</v>
      </c>
      <c r="G3686" s="50" t="s">
        <v>574</v>
      </c>
      <c r="H3686" s="50">
        <v>2</v>
      </c>
      <c r="I3686" s="100">
        <v>6.7391919697301583</v>
      </c>
      <c r="J3686" s="52">
        <v>3834.68</v>
      </c>
      <c r="K3686" s="67">
        <f t="shared" si="232"/>
        <v>174877.17643103495</v>
      </c>
      <c r="L3686" s="95">
        <f>+VLOOKUP(E3686,MARGEN!A:B,2,FALSE)</f>
        <v>0.1</v>
      </c>
      <c r="M3686" s="112">
        <f t="shared" si="229"/>
        <v>17487.717643103497</v>
      </c>
      <c r="N3686" s="113">
        <f t="shared" si="230"/>
        <v>699.50870572413976</v>
      </c>
      <c r="O3686" s="113">
        <f t="shared" si="231"/>
        <v>156689.9500822073</v>
      </c>
    </row>
    <row r="3687" spans="1:15" x14ac:dyDescent="0.25">
      <c r="A3687" s="43">
        <v>44467</v>
      </c>
      <c r="B3687" s="51">
        <v>5975</v>
      </c>
      <c r="C3687" s="66" t="s">
        <v>279</v>
      </c>
      <c r="D3687" s="66" t="s">
        <v>493</v>
      </c>
      <c r="E3687" t="s">
        <v>17</v>
      </c>
      <c r="F3687" s="50" t="s">
        <v>573</v>
      </c>
      <c r="G3687" s="50" t="s">
        <v>574</v>
      </c>
      <c r="H3687" s="50">
        <v>2</v>
      </c>
      <c r="I3687" s="100">
        <v>6.7391919697301583</v>
      </c>
      <c r="J3687" s="52">
        <v>3834.68</v>
      </c>
      <c r="K3687" s="67">
        <f t="shared" si="232"/>
        <v>154409.80185834694</v>
      </c>
      <c r="L3687" s="95">
        <f>+VLOOKUP(E3687,MARGEN!A:B,2,FALSE)</f>
        <v>0.1</v>
      </c>
      <c r="M3687" s="112">
        <f t="shared" si="229"/>
        <v>15440.980185834695</v>
      </c>
      <c r="N3687" s="113">
        <f t="shared" si="230"/>
        <v>617.63920743338781</v>
      </c>
      <c r="O3687" s="113">
        <f t="shared" si="231"/>
        <v>138351.18246507886</v>
      </c>
    </row>
    <row r="3688" spans="1:15" x14ac:dyDescent="0.25">
      <c r="A3688" s="43">
        <v>44467</v>
      </c>
      <c r="B3688" s="51">
        <v>5255</v>
      </c>
      <c r="C3688" s="66" t="s">
        <v>278</v>
      </c>
      <c r="D3688" s="66" t="s">
        <v>453</v>
      </c>
      <c r="E3688" t="s">
        <v>17</v>
      </c>
      <c r="F3688" s="50" t="s">
        <v>573</v>
      </c>
      <c r="G3688" s="50" t="s">
        <v>574</v>
      </c>
      <c r="H3688" s="50">
        <v>2</v>
      </c>
      <c r="I3688" s="100">
        <v>6.7391919697301583</v>
      </c>
      <c r="J3688" s="52">
        <v>3834.68</v>
      </c>
      <c r="K3688" s="67">
        <f t="shared" si="232"/>
        <v>135803.09770135785</v>
      </c>
      <c r="L3688" s="95">
        <f>+VLOOKUP(E3688,MARGEN!A:B,2,FALSE)</f>
        <v>0.1</v>
      </c>
      <c r="M3688" s="112">
        <f t="shared" si="229"/>
        <v>13580.309770135786</v>
      </c>
      <c r="N3688" s="113">
        <f t="shared" si="230"/>
        <v>543.21239080543137</v>
      </c>
      <c r="O3688" s="113">
        <f t="shared" si="231"/>
        <v>121679.57554041663</v>
      </c>
    </row>
    <row r="3689" spans="1:15" x14ac:dyDescent="0.25">
      <c r="A3689" s="43">
        <v>44467</v>
      </c>
      <c r="B3689" s="51">
        <v>4631</v>
      </c>
      <c r="C3689" s="66" t="s">
        <v>136</v>
      </c>
      <c r="D3689" s="66" t="s">
        <v>359</v>
      </c>
      <c r="E3689" t="s">
        <v>17</v>
      </c>
      <c r="F3689" s="50" t="s">
        <v>573</v>
      </c>
      <c r="G3689" s="50" t="s">
        <v>574</v>
      </c>
      <c r="H3689" s="50">
        <v>2</v>
      </c>
      <c r="I3689" s="100">
        <v>6.7391919697301583</v>
      </c>
      <c r="J3689" s="52">
        <v>3834.68</v>
      </c>
      <c r="K3689" s="67">
        <f t="shared" si="232"/>
        <v>119677.28743196731</v>
      </c>
      <c r="L3689" s="95">
        <f>+VLOOKUP(E3689,MARGEN!A:B,2,FALSE)</f>
        <v>0.1</v>
      </c>
      <c r="M3689" s="112">
        <f t="shared" si="229"/>
        <v>11967.728743196732</v>
      </c>
      <c r="N3689" s="113">
        <f t="shared" si="230"/>
        <v>478.70914972786926</v>
      </c>
      <c r="O3689" s="113">
        <f t="shared" si="231"/>
        <v>107230.84953904271</v>
      </c>
    </row>
    <row r="3690" spans="1:15" x14ac:dyDescent="0.25">
      <c r="A3690" s="43">
        <v>44467</v>
      </c>
      <c r="B3690" s="51">
        <v>4271</v>
      </c>
      <c r="C3690" s="66" t="s">
        <v>193</v>
      </c>
      <c r="D3690" s="66" t="s">
        <v>380</v>
      </c>
      <c r="E3690" t="s">
        <v>17</v>
      </c>
      <c r="F3690" s="50" t="s">
        <v>573</v>
      </c>
      <c r="G3690" s="50" t="s">
        <v>574</v>
      </c>
      <c r="H3690" s="50">
        <v>2</v>
      </c>
      <c r="I3690" s="100">
        <v>6.7391919697301583</v>
      </c>
      <c r="J3690" s="52">
        <v>3834.68</v>
      </c>
      <c r="K3690" s="67">
        <f t="shared" si="232"/>
        <v>110373.93535347277</v>
      </c>
      <c r="L3690" s="95">
        <f>+VLOOKUP(E3690,MARGEN!A:B,2,FALSE)</f>
        <v>0.1</v>
      </c>
      <c r="M3690" s="112">
        <f t="shared" si="229"/>
        <v>11037.393535347277</v>
      </c>
      <c r="N3690" s="113">
        <f t="shared" si="230"/>
        <v>441.4957414138911</v>
      </c>
      <c r="O3690" s="113">
        <f t="shared" si="231"/>
        <v>98895.046076711602</v>
      </c>
    </row>
    <row r="3691" spans="1:15" x14ac:dyDescent="0.25">
      <c r="A3691" s="43">
        <v>44467</v>
      </c>
      <c r="B3691" s="51">
        <v>4079</v>
      </c>
      <c r="C3691" s="66" t="s">
        <v>148</v>
      </c>
      <c r="D3691" s="66" t="s">
        <v>323</v>
      </c>
      <c r="E3691" t="s">
        <v>17</v>
      </c>
      <c r="F3691" s="50" t="s">
        <v>566</v>
      </c>
      <c r="G3691" s="50" t="s">
        <v>574</v>
      </c>
      <c r="H3691" s="50">
        <v>2</v>
      </c>
      <c r="I3691" s="100">
        <v>6.7391919697301583</v>
      </c>
      <c r="J3691" s="52">
        <v>3834.68</v>
      </c>
      <c r="K3691" s="67">
        <f t="shared" si="232"/>
        <v>105412.14757827566</v>
      </c>
      <c r="L3691" s="95">
        <f>+VLOOKUP(E3691,MARGEN!A:B,2,FALSE)</f>
        <v>0.1</v>
      </c>
      <c r="M3691" s="112">
        <f t="shared" si="229"/>
        <v>10541.214757827567</v>
      </c>
      <c r="N3691" s="113">
        <f t="shared" si="230"/>
        <v>421.64859031310266</v>
      </c>
      <c r="O3691" s="113">
        <f t="shared" si="231"/>
        <v>94449.284230135003</v>
      </c>
    </row>
    <row r="3692" spans="1:15" x14ac:dyDescent="0.25">
      <c r="A3692" s="43">
        <v>44467</v>
      </c>
      <c r="B3692" s="51">
        <v>3959</v>
      </c>
      <c r="C3692" s="66" t="s">
        <v>301</v>
      </c>
      <c r="D3692" s="66" t="s">
        <v>521</v>
      </c>
      <c r="E3692" t="s">
        <v>17</v>
      </c>
      <c r="F3692" s="50" t="s">
        <v>562</v>
      </c>
      <c r="G3692" s="50" t="s">
        <v>574</v>
      </c>
      <c r="H3692" s="50">
        <v>2</v>
      </c>
      <c r="I3692" s="100">
        <v>6.7391919697301583</v>
      </c>
      <c r="J3692" s="52">
        <v>3834.68</v>
      </c>
      <c r="K3692" s="67">
        <f t="shared" si="232"/>
        <v>102311.03021877749</v>
      </c>
      <c r="L3692" s="95">
        <f>+VLOOKUP(E3692,MARGEN!A:B,2,FALSE)</f>
        <v>0.1</v>
      </c>
      <c r="M3692" s="112">
        <f t="shared" si="229"/>
        <v>10231.103021877751</v>
      </c>
      <c r="N3692" s="113">
        <f t="shared" si="230"/>
        <v>409.24412087510996</v>
      </c>
      <c r="O3692" s="113">
        <f t="shared" si="231"/>
        <v>91670.683076024638</v>
      </c>
    </row>
    <row r="3693" spans="1:15" x14ac:dyDescent="0.25">
      <c r="A3693" s="43">
        <v>44467</v>
      </c>
      <c r="B3693" s="51">
        <v>3887</v>
      </c>
      <c r="C3693" s="66" t="s">
        <v>293</v>
      </c>
      <c r="D3693" s="66" t="s">
        <v>499</v>
      </c>
      <c r="E3693" t="s">
        <v>17</v>
      </c>
      <c r="F3693" s="50" t="s">
        <v>573</v>
      </c>
      <c r="G3693" s="50" t="s">
        <v>574</v>
      </c>
      <c r="H3693" s="50">
        <v>2</v>
      </c>
      <c r="I3693" s="100">
        <v>6.7391919697301583</v>
      </c>
      <c r="J3693" s="52">
        <v>3834.68</v>
      </c>
      <c r="K3693" s="67">
        <f t="shared" si="232"/>
        <v>100450.35980307858</v>
      </c>
      <c r="L3693" s="95">
        <f>+VLOOKUP(E3693,MARGEN!A:B,2,FALSE)</f>
        <v>0.1</v>
      </c>
      <c r="M3693" s="112">
        <f t="shared" si="229"/>
        <v>10045.035980307859</v>
      </c>
      <c r="N3693" s="113">
        <f t="shared" si="230"/>
        <v>401.80143921231434</v>
      </c>
      <c r="O3693" s="113">
        <f t="shared" si="231"/>
        <v>90003.522383558404</v>
      </c>
    </row>
    <row r="3694" spans="1:15" x14ac:dyDescent="0.25">
      <c r="A3694" s="43">
        <v>44467</v>
      </c>
      <c r="B3694" s="51">
        <v>3743</v>
      </c>
      <c r="C3694" s="66" t="s">
        <v>144</v>
      </c>
      <c r="D3694" s="66" t="s">
        <v>343</v>
      </c>
      <c r="E3694" t="s">
        <v>17</v>
      </c>
      <c r="F3694" s="50" t="s">
        <v>573</v>
      </c>
      <c r="G3694" s="50" t="s">
        <v>574</v>
      </c>
      <c r="H3694" s="50">
        <v>2</v>
      </c>
      <c r="I3694" s="100">
        <v>6.7391919697301583</v>
      </c>
      <c r="J3694" s="52">
        <v>3834.68</v>
      </c>
      <c r="K3694" s="67">
        <f t="shared" si="232"/>
        <v>96729.01897168078</v>
      </c>
      <c r="L3694" s="95">
        <f>+VLOOKUP(E3694,MARGEN!A:B,2,FALSE)</f>
        <v>0.1</v>
      </c>
      <c r="M3694" s="112">
        <f t="shared" si="229"/>
        <v>9672.901897168078</v>
      </c>
      <c r="N3694" s="113">
        <f t="shared" si="230"/>
        <v>386.91607588672309</v>
      </c>
      <c r="O3694" s="113">
        <f t="shared" si="231"/>
        <v>86669.20099862598</v>
      </c>
    </row>
    <row r="3695" spans="1:15" x14ac:dyDescent="0.25">
      <c r="A3695" s="43">
        <v>44467</v>
      </c>
      <c r="B3695" s="51">
        <v>3623</v>
      </c>
      <c r="C3695" s="66" t="s">
        <v>149</v>
      </c>
      <c r="D3695" s="66" t="s">
        <v>325</v>
      </c>
      <c r="E3695" t="s">
        <v>17</v>
      </c>
      <c r="F3695" s="50" t="s">
        <v>573</v>
      </c>
      <c r="G3695" s="50" t="s">
        <v>574</v>
      </c>
      <c r="H3695" s="50">
        <v>2</v>
      </c>
      <c r="I3695" s="100">
        <v>6.7391919697301583</v>
      </c>
      <c r="J3695" s="52">
        <v>3834.68</v>
      </c>
      <c r="K3695" s="67">
        <f t="shared" si="232"/>
        <v>93627.901612182584</v>
      </c>
      <c r="L3695" s="95">
        <f>+VLOOKUP(E3695,MARGEN!A:B,2,FALSE)</f>
        <v>0.1</v>
      </c>
      <c r="M3695" s="112">
        <f t="shared" si="229"/>
        <v>9362.7901612182595</v>
      </c>
      <c r="N3695" s="113">
        <f t="shared" si="230"/>
        <v>374.51160644873033</v>
      </c>
      <c r="O3695" s="113">
        <f t="shared" si="231"/>
        <v>83890.599844515586</v>
      </c>
    </row>
    <row r="3696" spans="1:15" x14ac:dyDescent="0.25">
      <c r="A3696" s="43">
        <v>44467</v>
      </c>
      <c r="B3696" s="51">
        <v>3599</v>
      </c>
      <c r="C3696" s="66" t="s">
        <v>192</v>
      </c>
      <c r="D3696" s="66" t="s">
        <v>347</v>
      </c>
      <c r="E3696" t="s">
        <v>17</v>
      </c>
      <c r="F3696" s="50" t="s">
        <v>573</v>
      </c>
      <c r="G3696" s="50" t="s">
        <v>574</v>
      </c>
      <c r="H3696" s="50">
        <v>2</v>
      </c>
      <c r="I3696" s="100">
        <v>6.7391919697301583</v>
      </c>
      <c r="J3696" s="52">
        <v>3834.68</v>
      </c>
      <c r="K3696" s="67">
        <f t="shared" si="232"/>
        <v>93007.678140282951</v>
      </c>
      <c r="L3696" s="95">
        <f>+VLOOKUP(E3696,MARGEN!A:B,2,FALSE)</f>
        <v>0.1</v>
      </c>
      <c r="M3696" s="112">
        <f t="shared" si="229"/>
        <v>9300.7678140282951</v>
      </c>
      <c r="N3696" s="113">
        <f t="shared" si="230"/>
        <v>372.03071256113179</v>
      </c>
      <c r="O3696" s="113">
        <f t="shared" si="231"/>
        <v>83334.879613693527</v>
      </c>
    </row>
    <row r="3697" spans="1:15" x14ac:dyDescent="0.25">
      <c r="A3697" s="43">
        <v>44467</v>
      </c>
      <c r="B3697" s="51">
        <v>3479</v>
      </c>
      <c r="C3697" s="66" t="s">
        <v>165</v>
      </c>
      <c r="D3697" s="66" t="s">
        <v>375</v>
      </c>
      <c r="E3697" t="s">
        <v>17</v>
      </c>
      <c r="F3697" s="50" t="s">
        <v>573</v>
      </c>
      <c r="G3697" s="50" t="s">
        <v>574</v>
      </c>
      <c r="H3697" s="50">
        <v>2</v>
      </c>
      <c r="I3697" s="100">
        <v>6.7391919697301583</v>
      </c>
      <c r="J3697" s="52">
        <v>3834.68</v>
      </c>
      <c r="K3697" s="67">
        <f t="shared" si="232"/>
        <v>89906.56078078477</v>
      </c>
      <c r="L3697" s="95">
        <f>+VLOOKUP(E3697,MARGEN!A:B,2,FALSE)</f>
        <v>0.1</v>
      </c>
      <c r="M3697" s="112">
        <f t="shared" si="229"/>
        <v>8990.6560780784766</v>
      </c>
      <c r="N3697" s="113">
        <f t="shared" si="230"/>
        <v>359.62624312313909</v>
      </c>
      <c r="O3697" s="113">
        <f t="shared" si="231"/>
        <v>80556.278459583147</v>
      </c>
    </row>
    <row r="3698" spans="1:15" x14ac:dyDescent="0.25">
      <c r="A3698" s="43">
        <v>44467</v>
      </c>
      <c r="B3698" s="51">
        <v>3383</v>
      </c>
      <c r="C3698" s="66" t="s">
        <v>135</v>
      </c>
      <c r="D3698" s="66" t="s">
        <v>533</v>
      </c>
      <c r="E3698" t="s">
        <v>17</v>
      </c>
      <c r="F3698" s="50" t="s">
        <v>573</v>
      </c>
      <c r="G3698" s="50" t="s">
        <v>574</v>
      </c>
      <c r="H3698" s="50">
        <v>2</v>
      </c>
      <c r="I3698" s="100">
        <v>6.7391919697301583</v>
      </c>
      <c r="J3698" s="52">
        <v>3834.68</v>
      </c>
      <c r="K3698" s="67">
        <f t="shared" si="232"/>
        <v>87425.666893186222</v>
      </c>
      <c r="L3698" s="95">
        <f>+VLOOKUP(E3698,MARGEN!A:B,2,FALSE)</f>
        <v>0.1</v>
      </c>
      <c r="M3698" s="112">
        <f t="shared" si="229"/>
        <v>8742.5666893186226</v>
      </c>
      <c r="N3698" s="113">
        <f t="shared" si="230"/>
        <v>349.70266757274487</v>
      </c>
      <c r="O3698" s="113">
        <f t="shared" si="231"/>
        <v>78333.397536294855</v>
      </c>
    </row>
    <row r="3699" spans="1:15" x14ac:dyDescent="0.25">
      <c r="A3699" s="43">
        <v>44467</v>
      </c>
      <c r="B3699" s="51">
        <v>3359</v>
      </c>
      <c r="C3699" s="66" t="s">
        <v>309</v>
      </c>
      <c r="D3699" s="66" t="s">
        <v>544</v>
      </c>
      <c r="E3699" t="s">
        <v>17</v>
      </c>
      <c r="F3699" s="50" t="s">
        <v>573</v>
      </c>
      <c r="G3699" s="50" t="s">
        <v>574</v>
      </c>
      <c r="H3699" s="50">
        <v>2</v>
      </c>
      <c r="I3699" s="100">
        <v>6.7391919697301583</v>
      </c>
      <c r="J3699" s="52">
        <v>3834.68</v>
      </c>
      <c r="K3699" s="67">
        <f t="shared" si="232"/>
        <v>86805.443421286589</v>
      </c>
      <c r="L3699" s="95">
        <f>+VLOOKUP(E3699,MARGEN!A:B,2,FALSE)</f>
        <v>0.1</v>
      </c>
      <c r="M3699" s="112">
        <f t="shared" si="229"/>
        <v>8680.54434212866</v>
      </c>
      <c r="N3699" s="113">
        <f t="shared" si="230"/>
        <v>347.22177368514633</v>
      </c>
      <c r="O3699" s="113">
        <f t="shared" si="231"/>
        <v>77777.677305472782</v>
      </c>
    </row>
    <row r="3700" spans="1:15" x14ac:dyDescent="0.25">
      <c r="A3700" s="43">
        <v>44467</v>
      </c>
      <c r="B3700" s="51">
        <v>2903</v>
      </c>
      <c r="C3700" s="66" t="s">
        <v>134</v>
      </c>
      <c r="D3700" s="66" t="s">
        <v>362</v>
      </c>
      <c r="E3700" t="s">
        <v>17</v>
      </c>
      <c r="F3700" s="50" t="s">
        <v>573</v>
      </c>
      <c r="G3700" s="50" t="s">
        <v>574</v>
      </c>
      <c r="H3700" s="50">
        <v>2</v>
      </c>
      <c r="I3700" s="100">
        <v>6.7391919697301583</v>
      </c>
      <c r="J3700" s="52">
        <v>3834.68</v>
      </c>
      <c r="K3700" s="67">
        <f t="shared" si="232"/>
        <v>75021.197455193484</v>
      </c>
      <c r="L3700" s="95">
        <f>+VLOOKUP(E3700,MARGEN!A:B,2,FALSE)</f>
        <v>0.1</v>
      </c>
      <c r="M3700" s="112">
        <f t="shared" si="229"/>
        <v>7502.1197455193487</v>
      </c>
      <c r="N3700" s="113">
        <f t="shared" si="230"/>
        <v>300.08478982077395</v>
      </c>
      <c r="O3700" s="113">
        <f t="shared" si="231"/>
        <v>67218.992919853365</v>
      </c>
    </row>
    <row r="3701" spans="1:15" x14ac:dyDescent="0.25">
      <c r="A3701" s="43">
        <v>44467</v>
      </c>
      <c r="B3701" s="51">
        <v>2783</v>
      </c>
      <c r="C3701" s="66" t="s">
        <v>131</v>
      </c>
      <c r="D3701" s="66" t="s">
        <v>344</v>
      </c>
      <c r="E3701" t="s">
        <v>17</v>
      </c>
      <c r="F3701" s="50" t="s">
        <v>573</v>
      </c>
      <c r="G3701" s="50" t="s">
        <v>574</v>
      </c>
      <c r="H3701" s="50">
        <v>2</v>
      </c>
      <c r="I3701" s="100">
        <v>6.7391919697301583</v>
      </c>
      <c r="J3701" s="52">
        <v>3834.68</v>
      </c>
      <c r="K3701" s="67">
        <f t="shared" si="232"/>
        <v>71920.080095695317</v>
      </c>
      <c r="L3701" s="95">
        <f>+VLOOKUP(E3701,MARGEN!A:B,2,FALSE)</f>
        <v>0.1</v>
      </c>
      <c r="M3701" s="112">
        <f t="shared" si="229"/>
        <v>7192.0080095695321</v>
      </c>
      <c r="N3701" s="113">
        <f t="shared" si="230"/>
        <v>287.68032038278125</v>
      </c>
      <c r="O3701" s="113">
        <f t="shared" si="231"/>
        <v>64440.391765743007</v>
      </c>
    </row>
    <row r="3702" spans="1:15" x14ac:dyDescent="0.25">
      <c r="A3702" s="43">
        <v>44467</v>
      </c>
      <c r="B3702" s="51">
        <v>2711</v>
      </c>
      <c r="C3702" s="66" t="s">
        <v>132</v>
      </c>
      <c r="D3702" s="66" t="s">
        <v>376</v>
      </c>
      <c r="E3702" t="s">
        <v>17</v>
      </c>
      <c r="F3702" s="50" t="s">
        <v>573</v>
      </c>
      <c r="G3702" s="50" t="s">
        <v>574</v>
      </c>
      <c r="H3702" s="50">
        <v>2</v>
      </c>
      <c r="I3702" s="100">
        <v>6.7391919697301583</v>
      </c>
      <c r="J3702" s="52">
        <v>3834.68</v>
      </c>
      <c r="K3702" s="67">
        <f t="shared" si="232"/>
        <v>70059.409679996417</v>
      </c>
      <c r="L3702" s="95">
        <f>+VLOOKUP(E3702,MARGEN!A:B,2,FALSE)</f>
        <v>0.1</v>
      </c>
      <c r="M3702" s="112">
        <f t="shared" si="229"/>
        <v>7005.9409679996425</v>
      </c>
      <c r="N3702" s="113">
        <f t="shared" si="230"/>
        <v>280.23763871998568</v>
      </c>
      <c r="O3702" s="113">
        <f t="shared" si="231"/>
        <v>62773.231073276787</v>
      </c>
    </row>
    <row r="3703" spans="1:15" x14ac:dyDescent="0.25">
      <c r="A3703" s="43">
        <v>44467</v>
      </c>
      <c r="B3703" s="51">
        <v>2663</v>
      </c>
      <c r="C3703" s="66" t="s">
        <v>186</v>
      </c>
      <c r="D3703" s="66" t="s">
        <v>440</v>
      </c>
      <c r="E3703" t="s">
        <v>17</v>
      </c>
      <c r="F3703" s="50" t="s">
        <v>573</v>
      </c>
      <c r="G3703" s="50" t="s">
        <v>574</v>
      </c>
      <c r="H3703" s="50">
        <v>2</v>
      </c>
      <c r="I3703" s="100">
        <v>6.7391919697301583</v>
      </c>
      <c r="J3703" s="52">
        <v>3834.68</v>
      </c>
      <c r="K3703" s="67">
        <f t="shared" si="232"/>
        <v>68818.962736197136</v>
      </c>
      <c r="L3703" s="95">
        <f>+VLOOKUP(E3703,MARGEN!A:B,2,FALSE)</f>
        <v>0.1</v>
      </c>
      <c r="M3703" s="112">
        <f t="shared" si="229"/>
        <v>6881.8962736197136</v>
      </c>
      <c r="N3703" s="113">
        <f t="shared" si="230"/>
        <v>275.27585094478854</v>
      </c>
      <c r="O3703" s="113">
        <f t="shared" si="231"/>
        <v>61661.790611632634</v>
      </c>
    </row>
    <row r="3704" spans="1:15" x14ac:dyDescent="0.25">
      <c r="A3704" s="43">
        <v>44467</v>
      </c>
      <c r="B3704" s="51">
        <v>2567</v>
      </c>
      <c r="C3704" s="66" t="s">
        <v>310</v>
      </c>
      <c r="D3704" s="66" t="s">
        <v>540</v>
      </c>
      <c r="E3704" t="s">
        <v>17</v>
      </c>
      <c r="F3704" s="50" t="s">
        <v>573</v>
      </c>
      <c r="G3704" s="50" t="s">
        <v>574</v>
      </c>
      <c r="H3704" s="50">
        <v>2</v>
      </c>
      <c r="I3704" s="100">
        <v>6.7391919697301583</v>
      </c>
      <c r="J3704" s="52">
        <v>3834.68</v>
      </c>
      <c r="K3704" s="67">
        <f t="shared" si="232"/>
        <v>66338.068848598588</v>
      </c>
      <c r="L3704" s="95">
        <f>+VLOOKUP(E3704,MARGEN!A:B,2,FALSE)</f>
        <v>0.1</v>
      </c>
      <c r="M3704" s="112">
        <f t="shared" si="229"/>
        <v>6633.8068848598596</v>
      </c>
      <c r="N3704" s="113">
        <f t="shared" si="230"/>
        <v>265.35227539439433</v>
      </c>
      <c r="O3704" s="113">
        <f t="shared" si="231"/>
        <v>59438.909688344334</v>
      </c>
    </row>
    <row r="3705" spans="1:15" x14ac:dyDescent="0.25">
      <c r="A3705" s="43">
        <v>44467</v>
      </c>
      <c r="B3705" s="51">
        <v>2519</v>
      </c>
      <c r="C3705" s="66" t="s">
        <v>127</v>
      </c>
      <c r="D3705" s="66" t="s">
        <v>411</v>
      </c>
      <c r="E3705" t="s">
        <v>17</v>
      </c>
      <c r="F3705" s="50" t="s">
        <v>562</v>
      </c>
      <c r="G3705" s="50" t="s">
        <v>574</v>
      </c>
      <c r="H3705" s="50">
        <v>2</v>
      </c>
      <c r="I3705" s="100">
        <v>6.7391919697301583</v>
      </c>
      <c r="J3705" s="52">
        <v>3834.68</v>
      </c>
      <c r="K3705" s="67">
        <f t="shared" si="232"/>
        <v>65097.621904799322</v>
      </c>
      <c r="L3705" s="95">
        <f>+VLOOKUP(E3705,MARGEN!A:B,2,FALSE)</f>
        <v>0.1</v>
      </c>
      <c r="M3705" s="112">
        <f t="shared" si="229"/>
        <v>6509.7621904799325</v>
      </c>
      <c r="N3705" s="113">
        <f t="shared" si="230"/>
        <v>260.3904876191973</v>
      </c>
      <c r="O3705" s="113">
        <f t="shared" si="231"/>
        <v>58327.469226700196</v>
      </c>
    </row>
    <row r="3706" spans="1:15" x14ac:dyDescent="0.25">
      <c r="A3706" s="43">
        <v>44467</v>
      </c>
      <c r="B3706" s="51">
        <v>2519</v>
      </c>
      <c r="C3706" s="66" t="s">
        <v>146</v>
      </c>
      <c r="D3706" s="66" t="s">
        <v>348</v>
      </c>
      <c r="E3706" t="s">
        <v>17</v>
      </c>
      <c r="F3706" s="50" t="s">
        <v>573</v>
      </c>
      <c r="G3706" s="50" t="s">
        <v>574</v>
      </c>
      <c r="H3706" s="50">
        <v>2</v>
      </c>
      <c r="I3706" s="100">
        <v>6.7391919697301583</v>
      </c>
      <c r="J3706" s="52">
        <v>3834.68</v>
      </c>
      <c r="K3706" s="67">
        <f t="shared" si="232"/>
        <v>65097.621904799322</v>
      </c>
      <c r="L3706" s="95">
        <f>+VLOOKUP(E3706,MARGEN!A:B,2,FALSE)</f>
        <v>0.1</v>
      </c>
      <c r="M3706" s="112">
        <f t="shared" si="229"/>
        <v>6509.7621904799325</v>
      </c>
      <c r="N3706" s="113">
        <f t="shared" si="230"/>
        <v>260.3904876191973</v>
      </c>
      <c r="O3706" s="113">
        <f t="shared" si="231"/>
        <v>58327.469226700196</v>
      </c>
    </row>
    <row r="3707" spans="1:15" x14ac:dyDescent="0.25">
      <c r="A3707" s="43">
        <v>44467</v>
      </c>
      <c r="B3707" s="51">
        <v>2447</v>
      </c>
      <c r="C3707" s="66" t="s">
        <v>163</v>
      </c>
      <c r="D3707" s="66" t="s">
        <v>398</v>
      </c>
      <c r="E3707" t="s">
        <v>17</v>
      </c>
      <c r="F3707" s="50" t="s">
        <v>573</v>
      </c>
      <c r="G3707" s="50" t="s">
        <v>574</v>
      </c>
      <c r="H3707" s="50">
        <v>2</v>
      </c>
      <c r="I3707" s="100">
        <v>6.7391919697301583</v>
      </c>
      <c r="J3707" s="52">
        <v>3834.68</v>
      </c>
      <c r="K3707" s="67">
        <f t="shared" si="232"/>
        <v>63236.951489100415</v>
      </c>
      <c r="L3707" s="95">
        <f>+VLOOKUP(E3707,MARGEN!A:B,2,FALSE)</f>
        <v>0.1</v>
      </c>
      <c r="M3707" s="112">
        <f t="shared" si="229"/>
        <v>6323.695148910042</v>
      </c>
      <c r="N3707" s="113">
        <f t="shared" si="230"/>
        <v>252.94780595640165</v>
      </c>
      <c r="O3707" s="113">
        <f t="shared" si="231"/>
        <v>56660.308534233976</v>
      </c>
    </row>
    <row r="3708" spans="1:15" x14ac:dyDescent="0.25">
      <c r="A3708" s="43">
        <v>44467</v>
      </c>
      <c r="B3708" s="51">
        <v>2399</v>
      </c>
      <c r="C3708" s="66" t="s">
        <v>281</v>
      </c>
      <c r="D3708" s="66" t="s">
        <v>495</v>
      </c>
      <c r="E3708" t="s">
        <v>17</v>
      </c>
      <c r="F3708" s="50" t="s">
        <v>573</v>
      </c>
      <c r="G3708" s="50" t="s">
        <v>574</v>
      </c>
      <c r="H3708" s="50">
        <v>2</v>
      </c>
      <c r="I3708" s="100">
        <v>6.7391919697301583</v>
      </c>
      <c r="J3708" s="52">
        <v>3834.68</v>
      </c>
      <c r="K3708" s="67">
        <f t="shared" si="232"/>
        <v>61996.504545301133</v>
      </c>
      <c r="L3708" s="95">
        <f>+VLOOKUP(E3708,MARGEN!A:B,2,FALSE)</f>
        <v>0.1</v>
      </c>
      <c r="M3708" s="112">
        <f t="shared" si="229"/>
        <v>6199.6504545301141</v>
      </c>
      <c r="N3708" s="113">
        <f t="shared" si="230"/>
        <v>247.98601818120454</v>
      </c>
      <c r="O3708" s="113">
        <f t="shared" si="231"/>
        <v>55548.868072589816</v>
      </c>
    </row>
    <row r="3709" spans="1:15" x14ac:dyDescent="0.25">
      <c r="A3709" s="43">
        <v>44467</v>
      </c>
      <c r="B3709" s="51">
        <v>2327</v>
      </c>
      <c r="C3709" s="66" t="s">
        <v>156</v>
      </c>
      <c r="D3709" s="66" t="s">
        <v>429</v>
      </c>
      <c r="E3709" t="s">
        <v>17</v>
      </c>
      <c r="F3709" s="50" t="s">
        <v>573</v>
      </c>
      <c r="G3709" s="50" t="s">
        <v>574</v>
      </c>
      <c r="H3709" s="50">
        <v>2</v>
      </c>
      <c r="I3709" s="100">
        <v>6.7391919697301583</v>
      </c>
      <c r="J3709" s="52">
        <v>3834.68</v>
      </c>
      <c r="K3709" s="67">
        <f t="shared" si="232"/>
        <v>60135.834129602234</v>
      </c>
      <c r="L3709" s="95">
        <f>+VLOOKUP(E3709,MARGEN!A:B,2,FALSE)</f>
        <v>0.1</v>
      </c>
      <c r="M3709" s="112">
        <f t="shared" si="229"/>
        <v>6013.5834129602235</v>
      </c>
      <c r="N3709" s="113">
        <f t="shared" si="230"/>
        <v>240.54333651840892</v>
      </c>
      <c r="O3709" s="113">
        <f t="shared" si="231"/>
        <v>53881.707380123604</v>
      </c>
    </row>
    <row r="3710" spans="1:15" x14ac:dyDescent="0.25">
      <c r="A3710" s="43">
        <v>44467</v>
      </c>
      <c r="B3710" s="51">
        <v>2303</v>
      </c>
      <c r="C3710" s="66" t="s">
        <v>128</v>
      </c>
      <c r="D3710" s="66" t="s">
        <v>416</v>
      </c>
      <c r="E3710" t="s">
        <v>17</v>
      </c>
      <c r="F3710" s="50" t="s">
        <v>573</v>
      </c>
      <c r="G3710" s="50" t="s">
        <v>574</v>
      </c>
      <c r="H3710" s="50">
        <v>2</v>
      </c>
      <c r="I3710" s="100">
        <v>6.7391919697301583</v>
      </c>
      <c r="J3710" s="52">
        <v>3834.68</v>
      </c>
      <c r="K3710" s="67">
        <f t="shared" si="232"/>
        <v>59515.610657702593</v>
      </c>
      <c r="L3710" s="95">
        <f>+VLOOKUP(E3710,MARGEN!A:B,2,FALSE)</f>
        <v>0.1</v>
      </c>
      <c r="M3710" s="112">
        <f t="shared" si="229"/>
        <v>5951.56106577026</v>
      </c>
      <c r="N3710" s="113">
        <f t="shared" si="230"/>
        <v>238.06244263081038</v>
      </c>
      <c r="O3710" s="113">
        <f t="shared" si="231"/>
        <v>53325.987149301516</v>
      </c>
    </row>
    <row r="3711" spans="1:15" x14ac:dyDescent="0.25">
      <c r="A3711" s="43">
        <v>44467</v>
      </c>
      <c r="B3711" s="51">
        <v>2303</v>
      </c>
      <c r="C3711" s="66" t="s">
        <v>130</v>
      </c>
      <c r="D3711" s="66" t="s">
        <v>367</v>
      </c>
      <c r="E3711" t="s">
        <v>17</v>
      </c>
      <c r="F3711" s="50" t="s">
        <v>573</v>
      </c>
      <c r="G3711" s="50" t="s">
        <v>574</v>
      </c>
      <c r="H3711" s="50">
        <v>2</v>
      </c>
      <c r="I3711" s="100">
        <v>6.7391919697301583</v>
      </c>
      <c r="J3711" s="52">
        <v>3834.68</v>
      </c>
      <c r="K3711" s="67">
        <f t="shared" si="232"/>
        <v>59515.610657702593</v>
      </c>
      <c r="L3711" s="95">
        <f>+VLOOKUP(E3711,MARGEN!A:B,2,FALSE)</f>
        <v>0.1</v>
      </c>
      <c r="M3711" s="112">
        <f t="shared" si="229"/>
        <v>5951.56106577026</v>
      </c>
      <c r="N3711" s="113">
        <f t="shared" si="230"/>
        <v>238.06244263081038</v>
      </c>
      <c r="O3711" s="113">
        <f t="shared" si="231"/>
        <v>53325.987149301516</v>
      </c>
    </row>
    <row r="3712" spans="1:15" x14ac:dyDescent="0.25">
      <c r="A3712" s="43">
        <v>44467</v>
      </c>
      <c r="B3712" s="51">
        <v>2279</v>
      </c>
      <c r="C3712" s="66" t="s">
        <v>122</v>
      </c>
      <c r="D3712" s="66" t="s">
        <v>446</v>
      </c>
      <c r="E3712" t="s">
        <v>17</v>
      </c>
      <c r="F3712" s="50" t="s">
        <v>573</v>
      </c>
      <c r="G3712" s="50" t="s">
        <v>574</v>
      </c>
      <c r="H3712" s="50">
        <v>2</v>
      </c>
      <c r="I3712" s="100">
        <v>6.7391919697301583</v>
      </c>
      <c r="J3712" s="52">
        <v>3834.68</v>
      </c>
      <c r="K3712" s="67">
        <f t="shared" si="232"/>
        <v>58895.387185802952</v>
      </c>
      <c r="L3712" s="95">
        <f>+VLOOKUP(E3712,MARGEN!A:B,2,FALSE)</f>
        <v>0.1</v>
      </c>
      <c r="M3712" s="112">
        <f t="shared" si="229"/>
        <v>5889.5387185802956</v>
      </c>
      <c r="N3712" s="113">
        <f t="shared" si="230"/>
        <v>235.58154874321181</v>
      </c>
      <c r="O3712" s="113">
        <f t="shared" si="231"/>
        <v>52770.266918479443</v>
      </c>
    </row>
    <row r="3713" spans="1:15" x14ac:dyDescent="0.25">
      <c r="A3713" s="43">
        <v>44467</v>
      </c>
      <c r="B3713" s="51">
        <v>2231</v>
      </c>
      <c r="C3713" s="66" t="s">
        <v>126</v>
      </c>
      <c r="D3713" s="66" t="s">
        <v>438</v>
      </c>
      <c r="E3713" t="s">
        <v>17</v>
      </c>
      <c r="F3713" s="50" t="s">
        <v>573</v>
      </c>
      <c r="G3713" s="50" t="s">
        <v>574</v>
      </c>
      <c r="H3713" s="50">
        <v>2</v>
      </c>
      <c r="I3713" s="100">
        <v>6.7391919697301583</v>
      </c>
      <c r="J3713" s="52">
        <v>3834.68</v>
      </c>
      <c r="K3713" s="67">
        <f t="shared" si="232"/>
        <v>57654.940242003679</v>
      </c>
      <c r="L3713" s="95">
        <f>+VLOOKUP(E3713,MARGEN!A:B,2,FALSE)</f>
        <v>0.1</v>
      </c>
      <c r="M3713" s="112">
        <f t="shared" si="229"/>
        <v>5765.4940242003686</v>
      </c>
      <c r="N3713" s="113">
        <f t="shared" si="230"/>
        <v>230.6197609680147</v>
      </c>
      <c r="O3713" s="113">
        <f t="shared" si="231"/>
        <v>51658.826456835297</v>
      </c>
    </row>
    <row r="3714" spans="1:15" x14ac:dyDescent="0.25">
      <c r="A3714" s="43">
        <v>44467</v>
      </c>
      <c r="B3714" s="51">
        <v>2159</v>
      </c>
      <c r="C3714" s="66" t="s">
        <v>282</v>
      </c>
      <c r="D3714" s="66" t="s">
        <v>494</v>
      </c>
      <c r="E3714" t="s">
        <v>17</v>
      </c>
      <c r="F3714" s="50" t="s">
        <v>573</v>
      </c>
      <c r="G3714" s="50" t="s">
        <v>574</v>
      </c>
      <c r="H3714" s="50">
        <v>2</v>
      </c>
      <c r="I3714" s="100">
        <v>6.7391919697301583</v>
      </c>
      <c r="J3714" s="52">
        <v>3834.68</v>
      </c>
      <c r="K3714" s="67">
        <f t="shared" si="232"/>
        <v>55794.269826304779</v>
      </c>
      <c r="L3714" s="95">
        <f>+VLOOKUP(E3714,MARGEN!A:B,2,FALSE)</f>
        <v>0.1</v>
      </c>
      <c r="M3714" s="112">
        <f t="shared" si="229"/>
        <v>5579.4269826304781</v>
      </c>
      <c r="N3714" s="113">
        <f t="shared" si="230"/>
        <v>223.17707930521911</v>
      </c>
      <c r="O3714" s="113">
        <f t="shared" si="231"/>
        <v>49991.665764369078</v>
      </c>
    </row>
    <row r="3715" spans="1:15" x14ac:dyDescent="0.25">
      <c r="A3715" s="43">
        <v>44467</v>
      </c>
      <c r="B3715" s="51">
        <v>2135</v>
      </c>
      <c r="C3715" s="66" t="s">
        <v>157</v>
      </c>
      <c r="D3715" s="66" t="s">
        <v>435</v>
      </c>
      <c r="E3715" t="s">
        <v>17</v>
      </c>
      <c r="F3715" s="50" t="s">
        <v>573</v>
      </c>
      <c r="G3715" s="50" t="s">
        <v>574</v>
      </c>
      <c r="H3715" s="50">
        <v>2</v>
      </c>
      <c r="I3715" s="100">
        <v>6.7391919697301583</v>
      </c>
      <c r="J3715" s="52">
        <v>3834.68</v>
      </c>
      <c r="K3715" s="67">
        <f t="shared" si="232"/>
        <v>55174.046354405145</v>
      </c>
      <c r="L3715" s="95">
        <f>+VLOOKUP(E3715,MARGEN!A:B,2,FALSE)</f>
        <v>0.1</v>
      </c>
      <c r="M3715" s="112">
        <f t="shared" ref="M3715:M3778" si="233">+K3715*L3715</f>
        <v>5517.4046354405145</v>
      </c>
      <c r="N3715" s="113">
        <f t="shared" ref="N3715:N3778" si="234">+K3715*4/1000</f>
        <v>220.69618541762057</v>
      </c>
      <c r="O3715" s="113">
        <f t="shared" ref="O3715:O3778" si="235">+K3715-M3715-N3715</f>
        <v>49435.945533547012</v>
      </c>
    </row>
    <row r="3716" spans="1:15" x14ac:dyDescent="0.25">
      <c r="A3716" s="43">
        <v>44467</v>
      </c>
      <c r="B3716" s="51">
        <v>2015</v>
      </c>
      <c r="C3716" s="66" t="s">
        <v>123</v>
      </c>
      <c r="D3716" s="66" t="s">
        <v>396</v>
      </c>
      <c r="E3716" t="s">
        <v>17</v>
      </c>
      <c r="F3716" s="50" t="s">
        <v>573</v>
      </c>
      <c r="G3716" s="50" t="s">
        <v>574</v>
      </c>
      <c r="H3716" s="50">
        <v>2</v>
      </c>
      <c r="I3716" s="100">
        <v>6.7391919697301583</v>
      </c>
      <c r="J3716" s="52">
        <v>3834.68</v>
      </c>
      <c r="K3716" s="67">
        <f t="shared" si="232"/>
        <v>52072.928994906957</v>
      </c>
      <c r="L3716" s="95">
        <f>+VLOOKUP(E3716,MARGEN!A:B,2,FALSE)</f>
        <v>0.1</v>
      </c>
      <c r="M3716" s="112">
        <f t="shared" si="233"/>
        <v>5207.2928994906961</v>
      </c>
      <c r="N3716" s="113">
        <f t="shared" si="234"/>
        <v>208.29171597962784</v>
      </c>
      <c r="O3716" s="113">
        <f t="shared" si="235"/>
        <v>46657.344379436632</v>
      </c>
    </row>
    <row r="3717" spans="1:15" x14ac:dyDescent="0.25">
      <c r="A3717" s="43">
        <v>44467</v>
      </c>
      <c r="B3717" s="51">
        <v>1967</v>
      </c>
      <c r="C3717" s="66" t="s">
        <v>295</v>
      </c>
      <c r="D3717" s="66" t="s">
        <v>532</v>
      </c>
      <c r="E3717" t="s">
        <v>17</v>
      </c>
      <c r="F3717" s="50" t="s">
        <v>573</v>
      </c>
      <c r="G3717" s="50" t="s">
        <v>574</v>
      </c>
      <c r="H3717" s="50">
        <v>2</v>
      </c>
      <c r="I3717" s="100">
        <v>6.7391919697301583</v>
      </c>
      <c r="J3717" s="52">
        <v>3834.68</v>
      </c>
      <c r="K3717" s="67">
        <f t="shared" si="232"/>
        <v>50832.482051107683</v>
      </c>
      <c r="L3717" s="95">
        <f>+VLOOKUP(E3717,MARGEN!A:B,2,FALSE)</f>
        <v>0.1</v>
      </c>
      <c r="M3717" s="112">
        <f t="shared" si="233"/>
        <v>5083.248205110769</v>
      </c>
      <c r="N3717" s="113">
        <f t="shared" si="234"/>
        <v>203.32992820443073</v>
      </c>
      <c r="O3717" s="113">
        <f t="shared" si="235"/>
        <v>45545.903917792486</v>
      </c>
    </row>
    <row r="3718" spans="1:15" x14ac:dyDescent="0.25">
      <c r="A3718" s="43">
        <v>44467</v>
      </c>
      <c r="B3718" s="51">
        <v>1967</v>
      </c>
      <c r="C3718" s="66" t="s">
        <v>155</v>
      </c>
      <c r="D3718" s="66" t="s">
        <v>399</v>
      </c>
      <c r="E3718" t="s">
        <v>17</v>
      </c>
      <c r="F3718" s="50" t="s">
        <v>573</v>
      </c>
      <c r="G3718" s="50" t="s">
        <v>574</v>
      </c>
      <c r="H3718" s="50">
        <v>2</v>
      </c>
      <c r="I3718" s="100">
        <v>6.7391919697301583</v>
      </c>
      <c r="J3718" s="52">
        <v>3834.68</v>
      </c>
      <c r="K3718" s="67">
        <f t="shared" si="232"/>
        <v>50832.482051107683</v>
      </c>
      <c r="L3718" s="95">
        <f>+VLOOKUP(E3718,MARGEN!A:B,2,FALSE)</f>
        <v>0.1</v>
      </c>
      <c r="M3718" s="112">
        <f t="shared" si="233"/>
        <v>5083.248205110769</v>
      </c>
      <c r="N3718" s="113">
        <f t="shared" si="234"/>
        <v>203.32992820443073</v>
      </c>
      <c r="O3718" s="113">
        <f t="shared" si="235"/>
        <v>45545.903917792486</v>
      </c>
    </row>
    <row r="3719" spans="1:15" x14ac:dyDescent="0.25">
      <c r="A3719" s="43">
        <v>44467</v>
      </c>
      <c r="B3719" s="51">
        <v>1871</v>
      </c>
      <c r="C3719" s="66" t="s">
        <v>304</v>
      </c>
      <c r="D3719" s="66" t="s">
        <v>522</v>
      </c>
      <c r="E3719" t="s">
        <v>17</v>
      </c>
      <c r="F3719" s="50" t="s">
        <v>573</v>
      </c>
      <c r="G3719" s="50" t="s">
        <v>574</v>
      </c>
      <c r="H3719" s="50">
        <v>2</v>
      </c>
      <c r="I3719" s="100">
        <v>6.7391919697301583</v>
      </c>
      <c r="J3719" s="52">
        <v>3834.68</v>
      </c>
      <c r="K3719" s="67">
        <f t="shared" si="232"/>
        <v>48351.588163509143</v>
      </c>
      <c r="L3719" s="95">
        <f>+VLOOKUP(E3719,MARGEN!A:B,2,FALSE)</f>
        <v>0.1</v>
      </c>
      <c r="M3719" s="112">
        <f t="shared" si="233"/>
        <v>4835.1588163509141</v>
      </c>
      <c r="N3719" s="113">
        <f t="shared" si="234"/>
        <v>193.40635265403657</v>
      </c>
      <c r="O3719" s="113">
        <f t="shared" si="235"/>
        <v>43323.022994504194</v>
      </c>
    </row>
    <row r="3720" spans="1:15" x14ac:dyDescent="0.25">
      <c r="A3720" s="43">
        <v>44467</v>
      </c>
      <c r="B3720" s="51">
        <v>1847</v>
      </c>
      <c r="C3720" s="66" t="s">
        <v>125</v>
      </c>
      <c r="D3720" s="66" t="s">
        <v>341</v>
      </c>
      <c r="E3720" t="s">
        <v>17</v>
      </c>
      <c r="F3720" s="50" t="s">
        <v>573</v>
      </c>
      <c r="G3720" s="50" t="s">
        <v>574</v>
      </c>
      <c r="H3720" s="50">
        <v>2</v>
      </c>
      <c r="I3720" s="100">
        <v>6.7391919697301583</v>
      </c>
      <c r="J3720" s="52">
        <v>3834.68</v>
      </c>
      <c r="K3720" s="67">
        <f t="shared" si="232"/>
        <v>47731.364691609502</v>
      </c>
      <c r="L3720" s="95">
        <f>+VLOOKUP(E3720,MARGEN!A:B,2,FALSE)</f>
        <v>0.1</v>
      </c>
      <c r="M3720" s="112">
        <f t="shared" si="233"/>
        <v>4773.1364691609506</v>
      </c>
      <c r="N3720" s="113">
        <f t="shared" si="234"/>
        <v>190.925458766438</v>
      </c>
      <c r="O3720" s="113">
        <f t="shared" si="235"/>
        <v>42767.302763682113</v>
      </c>
    </row>
    <row r="3721" spans="1:15" x14ac:dyDescent="0.25">
      <c r="A3721" s="43">
        <v>44467</v>
      </c>
      <c r="B3721" s="51">
        <v>1799</v>
      </c>
      <c r="C3721" s="66" t="s">
        <v>172</v>
      </c>
      <c r="D3721" s="66" t="s">
        <v>371</v>
      </c>
      <c r="E3721" t="s">
        <v>17</v>
      </c>
      <c r="F3721" s="50" t="s">
        <v>573</v>
      </c>
      <c r="G3721" s="50" t="s">
        <v>574</v>
      </c>
      <c r="H3721" s="50">
        <v>2</v>
      </c>
      <c r="I3721" s="100">
        <v>6.7391919697301583</v>
      </c>
      <c r="J3721" s="52">
        <v>3834.68</v>
      </c>
      <c r="K3721" s="67">
        <f t="shared" ref="K3721:K3784" si="236">+B3721*I3721*J3721/1000</f>
        <v>46490.917747810228</v>
      </c>
      <c r="L3721" s="95">
        <f>+VLOOKUP(E3721,MARGEN!A:B,2,FALSE)</f>
        <v>0.1</v>
      </c>
      <c r="M3721" s="112">
        <f t="shared" si="233"/>
        <v>4649.0917747810227</v>
      </c>
      <c r="N3721" s="113">
        <f t="shared" si="234"/>
        <v>185.96367099124092</v>
      </c>
      <c r="O3721" s="113">
        <f t="shared" si="235"/>
        <v>41655.862302037967</v>
      </c>
    </row>
    <row r="3722" spans="1:15" x14ac:dyDescent="0.25">
      <c r="A3722" s="43">
        <v>44467</v>
      </c>
      <c r="B3722" s="51">
        <v>1751</v>
      </c>
      <c r="C3722" s="66" t="s">
        <v>154</v>
      </c>
      <c r="D3722" s="66" t="s">
        <v>419</v>
      </c>
      <c r="E3722" t="s">
        <v>17</v>
      </c>
      <c r="F3722" s="50" t="s">
        <v>573</v>
      </c>
      <c r="G3722" s="50" t="s">
        <v>574</v>
      </c>
      <c r="H3722" s="50">
        <v>2</v>
      </c>
      <c r="I3722" s="100">
        <v>6.7391919697301583</v>
      </c>
      <c r="J3722" s="52">
        <v>3834.68</v>
      </c>
      <c r="K3722" s="67">
        <f t="shared" si="236"/>
        <v>45250.470804010954</v>
      </c>
      <c r="L3722" s="95">
        <f>+VLOOKUP(E3722,MARGEN!A:B,2,FALSE)</f>
        <v>0.1</v>
      </c>
      <c r="M3722" s="112">
        <f t="shared" si="233"/>
        <v>4525.0470804010956</v>
      </c>
      <c r="N3722" s="113">
        <f t="shared" si="234"/>
        <v>181.00188321604381</v>
      </c>
      <c r="O3722" s="113">
        <f t="shared" si="235"/>
        <v>40544.421840393814</v>
      </c>
    </row>
    <row r="3723" spans="1:15" x14ac:dyDescent="0.25">
      <c r="A3723" s="43">
        <v>44467</v>
      </c>
      <c r="B3723" s="51">
        <v>1727</v>
      </c>
      <c r="C3723" s="66" t="s">
        <v>158</v>
      </c>
      <c r="D3723" s="66" t="s">
        <v>442</v>
      </c>
      <c r="E3723" t="s">
        <v>17</v>
      </c>
      <c r="F3723" s="50" t="s">
        <v>566</v>
      </c>
      <c r="G3723" s="50" t="s">
        <v>574</v>
      </c>
      <c r="H3723" s="50">
        <v>2</v>
      </c>
      <c r="I3723" s="100">
        <v>6.7391919697301583</v>
      </c>
      <c r="J3723" s="52">
        <v>3834.68</v>
      </c>
      <c r="K3723" s="67">
        <f t="shared" si="236"/>
        <v>44630.247332111321</v>
      </c>
      <c r="L3723" s="95">
        <f>+VLOOKUP(E3723,MARGEN!A:B,2,FALSE)</f>
        <v>0.1</v>
      </c>
      <c r="M3723" s="112">
        <f t="shared" si="233"/>
        <v>4463.0247332111321</v>
      </c>
      <c r="N3723" s="113">
        <f t="shared" si="234"/>
        <v>178.5209893284453</v>
      </c>
      <c r="O3723" s="113">
        <f t="shared" si="235"/>
        <v>39988.701609571741</v>
      </c>
    </row>
    <row r="3724" spans="1:15" x14ac:dyDescent="0.25">
      <c r="A3724" s="43">
        <v>44467</v>
      </c>
      <c r="B3724" s="51">
        <v>1727</v>
      </c>
      <c r="C3724" s="66" t="s">
        <v>188</v>
      </c>
      <c r="D3724" s="66" t="s">
        <v>397</v>
      </c>
      <c r="E3724" t="s">
        <v>17</v>
      </c>
      <c r="F3724" s="50" t="s">
        <v>573</v>
      </c>
      <c r="G3724" s="50" t="s">
        <v>574</v>
      </c>
      <c r="H3724" s="50">
        <v>2</v>
      </c>
      <c r="I3724" s="100">
        <v>6.7391919697301583</v>
      </c>
      <c r="J3724" s="52">
        <v>3834.68</v>
      </c>
      <c r="K3724" s="67">
        <f t="shared" si="236"/>
        <v>44630.247332111321</v>
      </c>
      <c r="L3724" s="95">
        <f>+VLOOKUP(E3724,MARGEN!A:B,2,FALSE)</f>
        <v>0.1</v>
      </c>
      <c r="M3724" s="112">
        <f t="shared" si="233"/>
        <v>4463.0247332111321</v>
      </c>
      <c r="N3724" s="113">
        <f t="shared" si="234"/>
        <v>178.5209893284453</v>
      </c>
      <c r="O3724" s="113">
        <f t="shared" si="235"/>
        <v>39988.701609571741</v>
      </c>
    </row>
    <row r="3725" spans="1:15" x14ac:dyDescent="0.25">
      <c r="A3725" s="43">
        <v>44467</v>
      </c>
      <c r="B3725" s="51">
        <v>1727</v>
      </c>
      <c r="C3725" s="66" t="s">
        <v>170</v>
      </c>
      <c r="D3725" s="66" t="s">
        <v>437</v>
      </c>
      <c r="E3725" t="s">
        <v>17</v>
      </c>
      <c r="F3725" s="50" t="s">
        <v>573</v>
      </c>
      <c r="G3725" s="50" t="s">
        <v>574</v>
      </c>
      <c r="H3725" s="50">
        <v>2</v>
      </c>
      <c r="I3725" s="100">
        <v>6.7391919697301583</v>
      </c>
      <c r="J3725" s="52">
        <v>3834.68</v>
      </c>
      <c r="K3725" s="67">
        <f t="shared" si="236"/>
        <v>44630.247332111321</v>
      </c>
      <c r="L3725" s="95">
        <f>+VLOOKUP(E3725,MARGEN!A:B,2,FALSE)</f>
        <v>0.1</v>
      </c>
      <c r="M3725" s="112">
        <f t="shared" si="233"/>
        <v>4463.0247332111321</v>
      </c>
      <c r="N3725" s="113">
        <f t="shared" si="234"/>
        <v>178.5209893284453</v>
      </c>
      <c r="O3725" s="113">
        <f t="shared" si="235"/>
        <v>39988.701609571741</v>
      </c>
    </row>
    <row r="3726" spans="1:15" x14ac:dyDescent="0.25">
      <c r="A3726" s="43">
        <v>44467</v>
      </c>
      <c r="B3726" s="51">
        <v>1727</v>
      </c>
      <c r="C3726" s="66" t="s">
        <v>174</v>
      </c>
      <c r="D3726" s="66" t="s">
        <v>395</v>
      </c>
      <c r="E3726" t="s">
        <v>17</v>
      </c>
      <c r="F3726" s="50" t="s">
        <v>573</v>
      </c>
      <c r="G3726" s="50" t="s">
        <v>574</v>
      </c>
      <c r="H3726" s="50">
        <v>2</v>
      </c>
      <c r="I3726" s="100">
        <v>6.7391919697301583</v>
      </c>
      <c r="J3726" s="52">
        <v>3834.68</v>
      </c>
      <c r="K3726" s="67">
        <f t="shared" si="236"/>
        <v>44630.247332111321</v>
      </c>
      <c r="L3726" s="95">
        <f>+VLOOKUP(E3726,MARGEN!A:B,2,FALSE)</f>
        <v>0.1</v>
      </c>
      <c r="M3726" s="112">
        <f t="shared" si="233"/>
        <v>4463.0247332111321</v>
      </c>
      <c r="N3726" s="113">
        <f t="shared" si="234"/>
        <v>178.5209893284453</v>
      </c>
      <c r="O3726" s="113">
        <f t="shared" si="235"/>
        <v>39988.701609571741</v>
      </c>
    </row>
    <row r="3727" spans="1:15" x14ac:dyDescent="0.25">
      <c r="A3727" s="43">
        <v>44467</v>
      </c>
      <c r="B3727" s="51">
        <v>1703</v>
      </c>
      <c r="C3727" s="66" t="s">
        <v>120</v>
      </c>
      <c r="D3727" s="66" t="s">
        <v>452</v>
      </c>
      <c r="E3727" t="s">
        <v>17</v>
      </c>
      <c r="F3727" s="50" t="s">
        <v>573</v>
      </c>
      <c r="G3727" s="50" t="s">
        <v>574</v>
      </c>
      <c r="H3727" s="50">
        <v>2</v>
      </c>
      <c r="I3727" s="100">
        <v>6.7391919697301583</v>
      </c>
      <c r="J3727" s="52">
        <v>3834.68</v>
      </c>
      <c r="K3727" s="67">
        <f t="shared" si="236"/>
        <v>44010.023860211688</v>
      </c>
      <c r="L3727" s="95">
        <f>+VLOOKUP(E3727,MARGEN!A:B,2,FALSE)</f>
        <v>0.1</v>
      </c>
      <c r="M3727" s="112">
        <f t="shared" si="233"/>
        <v>4401.0023860211686</v>
      </c>
      <c r="N3727" s="113">
        <f t="shared" si="234"/>
        <v>176.04009544084676</v>
      </c>
      <c r="O3727" s="113">
        <f t="shared" si="235"/>
        <v>39432.981378749675</v>
      </c>
    </row>
    <row r="3728" spans="1:15" x14ac:dyDescent="0.25">
      <c r="A3728" s="43">
        <v>44467</v>
      </c>
      <c r="B3728" s="51">
        <v>1703</v>
      </c>
      <c r="C3728" s="66" t="s">
        <v>296</v>
      </c>
      <c r="D3728" s="66" t="s">
        <v>498</v>
      </c>
      <c r="E3728" t="s">
        <v>17</v>
      </c>
      <c r="F3728" s="50" t="s">
        <v>573</v>
      </c>
      <c r="G3728" s="50" t="s">
        <v>574</v>
      </c>
      <c r="H3728" s="50">
        <v>2</v>
      </c>
      <c r="I3728" s="100">
        <v>6.7391919697301583</v>
      </c>
      <c r="J3728" s="52">
        <v>3834.68</v>
      </c>
      <c r="K3728" s="67">
        <f t="shared" si="236"/>
        <v>44010.023860211688</v>
      </c>
      <c r="L3728" s="95">
        <f>+VLOOKUP(E3728,MARGEN!A:B,2,FALSE)</f>
        <v>0.1</v>
      </c>
      <c r="M3728" s="112">
        <f t="shared" si="233"/>
        <v>4401.0023860211686</v>
      </c>
      <c r="N3728" s="113">
        <f t="shared" si="234"/>
        <v>176.04009544084676</v>
      </c>
      <c r="O3728" s="113">
        <f t="shared" si="235"/>
        <v>39432.981378749675</v>
      </c>
    </row>
    <row r="3729" spans="1:15" x14ac:dyDescent="0.25">
      <c r="A3729" s="43">
        <v>44467</v>
      </c>
      <c r="B3729" s="51">
        <v>1679</v>
      </c>
      <c r="C3729" s="66" t="s">
        <v>287</v>
      </c>
      <c r="D3729" s="66" t="s">
        <v>496</v>
      </c>
      <c r="E3729" t="s">
        <v>17</v>
      </c>
      <c r="F3729" s="50" t="s">
        <v>573</v>
      </c>
      <c r="G3729" s="50" t="s">
        <v>574</v>
      </c>
      <c r="H3729" s="50">
        <v>2</v>
      </c>
      <c r="I3729" s="100">
        <v>6.7391919697301583</v>
      </c>
      <c r="J3729" s="52">
        <v>3834.68</v>
      </c>
      <c r="K3729" s="67">
        <f t="shared" si="236"/>
        <v>43389.800388312047</v>
      </c>
      <c r="L3729" s="95">
        <f>+VLOOKUP(E3729,MARGEN!A:B,2,FALSE)</f>
        <v>0.1</v>
      </c>
      <c r="M3729" s="112">
        <f t="shared" si="233"/>
        <v>4338.9800388312051</v>
      </c>
      <c r="N3729" s="113">
        <f t="shared" si="234"/>
        <v>173.55920155324819</v>
      </c>
      <c r="O3729" s="113">
        <f t="shared" si="235"/>
        <v>38877.261147927595</v>
      </c>
    </row>
    <row r="3730" spans="1:15" x14ac:dyDescent="0.25">
      <c r="A3730" s="43">
        <v>44467</v>
      </c>
      <c r="B3730" s="51">
        <v>1679</v>
      </c>
      <c r="C3730" s="66" t="s">
        <v>121</v>
      </c>
      <c r="D3730" s="66" t="s">
        <v>381</v>
      </c>
      <c r="E3730" t="s">
        <v>17</v>
      </c>
      <c r="F3730" s="50" t="s">
        <v>573</v>
      </c>
      <c r="G3730" s="50" t="s">
        <v>574</v>
      </c>
      <c r="H3730" s="50">
        <v>2</v>
      </c>
      <c r="I3730" s="100">
        <v>6.7391919697301583</v>
      </c>
      <c r="J3730" s="52">
        <v>3834.68</v>
      </c>
      <c r="K3730" s="67">
        <f t="shared" si="236"/>
        <v>43389.800388312047</v>
      </c>
      <c r="L3730" s="95">
        <f>+VLOOKUP(E3730,MARGEN!A:B,2,FALSE)</f>
        <v>0.1</v>
      </c>
      <c r="M3730" s="112">
        <f t="shared" si="233"/>
        <v>4338.9800388312051</v>
      </c>
      <c r="N3730" s="113">
        <f t="shared" si="234"/>
        <v>173.55920155324819</v>
      </c>
      <c r="O3730" s="113">
        <f t="shared" si="235"/>
        <v>38877.261147927595</v>
      </c>
    </row>
    <row r="3731" spans="1:15" x14ac:dyDescent="0.25">
      <c r="A3731" s="43">
        <v>44467</v>
      </c>
      <c r="B3731" s="51">
        <v>1679</v>
      </c>
      <c r="C3731" s="66" t="s">
        <v>288</v>
      </c>
      <c r="D3731" s="66" t="s">
        <v>530</v>
      </c>
      <c r="E3731" t="s">
        <v>17</v>
      </c>
      <c r="F3731" s="50" t="s">
        <v>573</v>
      </c>
      <c r="G3731" s="50" t="s">
        <v>574</v>
      </c>
      <c r="H3731" s="50">
        <v>2</v>
      </c>
      <c r="I3731" s="100">
        <v>6.7391919697301583</v>
      </c>
      <c r="J3731" s="52">
        <v>3834.68</v>
      </c>
      <c r="K3731" s="67">
        <f t="shared" si="236"/>
        <v>43389.800388312047</v>
      </c>
      <c r="L3731" s="95">
        <f>+VLOOKUP(E3731,MARGEN!A:B,2,FALSE)</f>
        <v>0.1</v>
      </c>
      <c r="M3731" s="112">
        <f t="shared" si="233"/>
        <v>4338.9800388312051</v>
      </c>
      <c r="N3731" s="113">
        <f t="shared" si="234"/>
        <v>173.55920155324819</v>
      </c>
      <c r="O3731" s="113">
        <f t="shared" si="235"/>
        <v>38877.261147927595</v>
      </c>
    </row>
    <row r="3732" spans="1:15" x14ac:dyDescent="0.25">
      <c r="A3732" s="43">
        <v>44467</v>
      </c>
      <c r="B3732" s="51">
        <v>1679</v>
      </c>
      <c r="C3732" s="66" t="s">
        <v>194</v>
      </c>
      <c r="D3732" s="66" t="s">
        <v>417</v>
      </c>
      <c r="E3732" t="s">
        <v>17</v>
      </c>
      <c r="F3732" s="50" t="s">
        <v>573</v>
      </c>
      <c r="G3732" s="50" t="s">
        <v>574</v>
      </c>
      <c r="H3732" s="50">
        <v>2</v>
      </c>
      <c r="I3732" s="100">
        <v>6.7391919697301583</v>
      </c>
      <c r="J3732" s="52">
        <v>3834.68</v>
      </c>
      <c r="K3732" s="67">
        <f t="shared" si="236"/>
        <v>43389.800388312047</v>
      </c>
      <c r="L3732" s="95">
        <f>+VLOOKUP(E3732,MARGEN!A:B,2,FALSE)</f>
        <v>0.1</v>
      </c>
      <c r="M3732" s="112">
        <f t="shared" si="233"/>
        <v>4338.9800388312051</v>
      </c>
      <c r="N3732" s="113">
        <f t="shared" si="234"/>
        <v>173.55920155324819</v>
      </c>
      <c r="O3732" s="113">
        <f t="shared" si="235"/>
        <v>38877.261147927595</v>
      </c>
    </row>
    <row r="3733" spans="1:15" x14ac:dyDescent="0.25">
      <c r="A3733" s="43">
        <v>44467</v>
      </c>
      <c r="B3733" s="51">
        <v>1631</v>
      </c>
      <c r="C3733" s="66" t="s">
        <v>209</v>
      </c>
      <c r="D3733" s="66" t="s">
        <v>441</v>
      </c>
      <c r="E3733" t="s">
        <v>17</v>
      </c>
      <c r="F3733" s="50" t="s">
        <v>573</v>
      </c>
      <c r="G3733" s="50" t="s">
        <v>574</v>
      </c>
      <c r="H3733" s="50">
        <v>2</v>
      </c>
      <c r="I3733" s="100">
        <v>6.7391919697301583</v>
      </c>
      <c r="J3733" s="52">
        <v>3834.68</v>
      </c>
      <c r="K3733" s="67">
        <f t="shared" si="236"/>
        <v>42149.353444512773</v>
      </c>
      <c r="L3733" s="95">
        <f>+VLOOKUP(E3733,MARGEN!A:B,2,FALSE)</f>
        <v>0.1</v>
      </c>
      <c r="M3733" s="112">
        <f t="shared" si="233"/>
        <v>4214.9353444512772</v>
      </c>
      <c r="N3733" s="113">
        <f t="shared" si="234"/>
        <v>168.59741377805111</v>
      </c>
      <c r="O3733" s="113">
        <f t="shared" si="235"/>
        <v>37765.820686283449</v>
      </c>
    </row>
    <row r="3734" spans="1:15" x14ac:dyDescent="0.25">
      <c r="A3734" s="43">
        <v>44467</v>
      </c>
      <c r="B3734" s="51">
        <v>1631</v>
      </c>
      <c r="C3734" s="66" t="s">
        <v>196</v>
      </c>
      <c r="D3734" s="66" t="s">
        <v>413</v>
      </c>
      <c r="E3734" t="s">
        <v>17</v>
      </c>
      <c r="F3734" s="50" t="s">
        <v>573</v>
      </c>
      <c r="G3734" s="50" t="s">
        <v>574</v>
      </c>
      <c r="H3734" s="50">
        <v>2</v>
      </c>
      <c r="I3734" s="100">
        <v>6.7391919697301583</v>
      </c>
      <c r="J3734" s="52">
        <v>3834.68</v>
      </c>
      <c r="K3734" s="67">
        <f t="shared" si="236"/>
        <v>42149.353444512773</v>
      </c>
      <c r="L3734" s="95">
        <f>+VLOOKUP(E3734,MARGEN!A:B,2,FALSE)</f>
        <v>0.1</v>
      </c>
      <c r="M3734" s="112">
        <f t="shared" si="233"/>
        <v>4214.9353444512772</v>
      </c>
      <c r="N3734" s="113">
        <f t="shared" si="234"/>
        <v>168.59741377805111</v>
      </c>
      <c r="O3734" s="113">
        <f t="shared" si="235"/>
        <v>37765.820686283449</v>
      </c>
    </row>
    <row r="3735" spans="1:15" x14ac:dyDescent="0.25">
      <c r="A3735" s="43">
        <v>44467</v>
      </c>
      <c r="B3735" s="51">
        <v>1607</v>
      </c>
      <c r="C3735" s="66" t="s">
        <v>180</v>
      </c>
      <c r="D3735" s="66" t="s">
        <v>447</v>
      </c>
      <c r="E3735" t="s">
        <v>17</v>
      </c>
      <c r="F3735" s="50" t="s">
        <v>573</v>
      </c>
      <c r="G3735" s="50" t="s">
        <v>574</v>
      </c>
      <c r="H3735" s="50">
        <v>2</v>
      </c>
      <c r="I3735" s="100">
        <v>6.7391919697301583</v>
      </c>
      <c r="J3735" s="52">
        <v>3834.68</v>
      </c>
      <c r="K3735" s="67">
        <f t="shared" si="236"/>
        <v>41529.12997261314</v>
      </c>
      <c r="L3735" s="95">
        <f>+VLOOKUP(E3735,MARGEN!A:B,2,FALSE)</f>
        <v>0.1</v>
      </c>
      <c r="M3735" s="112">
        <f t="shared" si="233"/>
        <v>4152.9129972613146</v>
      </c>
      <c r="N3735" s="113">
        <f t="shared" si="234"/>
        <v>166.11651989045257</v>
      </c>
      <c r="O3735" s="113">
        <f t="shared" si="235"/>
        <v>37210.100455461376</v>
      </c>
    </row>
    <row r="3736" spans="1:15" x14ac:dyDescent="0.25">
      <c r="A3736" s="43">
        <v>44467</v>
      </c>
      <c r="B3736" s="51">
        <v>1559</v>
      </c>
      <c r="C3736" s="66" t="s">
        <v>552</v>
      </c>
      <c r="D3736" s="66" t="s">
        <v>563</v>
      </c>
      <c r="E3736" t="s">
        <v>17</v>
      </c>
      <c r="F3736" s="50" t="s">
        <v>573</v>
      </c>
      <c r="G3736" s="50" t="s">
        <v>574</v>
      </c>
      <c r="H3736" s="50">
        <v>2</v>
      </c>
      <c r="I3736" s="100">
        <v>6.7391919697301583</v>
      </c>
      <c r="J3736" s="52">
        <v>3834.68</v>
      </c>
      <c r="K3736" s="67">
        <f t="shared" si="236"/>
        <v>40288.683028813866</v>
      </c>
      <c r="L3736" s="95">
        <f>+VLOOKUP(E3736,MARGEN!A:B,2,FALSE)</f>
        <v>0.1</v>
      </c>
      <c r="M3736" s="112">
        <f t="shared" si="233"/>
        <v>4028.8683028813866</v>
      </c>
      <c r="N3736" s="113">
        <f t="shared" si="234"/>
        <v>161.15473211525546</v>
      </c>
      <c r="O3736" s="113">
        <f t="shared" si="235"/>
        <v>36098.659993817222</v>
      </c>
    </row>
    <row r="3737" spans="1:15" x14ac:dyDescent="0.25">
      <c r="A3737" s="43">
        <v>44467</v>
      </c>
      <c r="B3737" s="51">
        <v>1559</v>
      </c>
      <c r="C3737" s="66" t="s">
        <v>176</v>
      </c>
      <c r="D3737" s="66" t="s">
        <v>430</v>
      </c>
      <c r="E3737" t="s">
        <v>17</v>
      </c>
      <c r="F3737" s="50" t="s">
        <v>573</v>
      </c>
      <c r="G3737" s="50" t="s">
        <v>574</v>
      </c>
      <c r="H3737" s="50">
        <v>2</v>
      </c>
      <c r="I3737" s="100">
        <v>6.7391919697301583</v>
      </c>
      <c r="J3737" s="52">
        <v>3834.68</v>
      </c>
      <c r="K3737" s="67">
        <f t="shared" si="236"/>
        <v>40288.683028813866</v>
      </c>
      <c r="L3737" s="95">
        <f>+VLOOKUP(E3737,MARGEN!A:B,2,FALSE)</f>
        <v>0.1</v>
      </c>
      <c r="M3737" s="112">
        <f t="shared" si="233"/>
        <v>4028.8683028813866</v>
      </c>
      <c r="N3737" s="113">
        <f t="shared" si="234"/>
        <v>161.15473211525546</v>
      </c>
      <c r="O3737" s="113">
        <f t="shared" si="235"/>
        <v>36098.659993817222</v>
      </c>
    </row>
    <row r="3738" spans="1:15" x14ac:dyDescent="0.25">
      <c r="A3738" s="43">
        <v>44467</v>
      </c>
      <c r="B3738" s="51">
        <v>1535</v>
      </c>
      <c r="C3738" s="66" t="s">
        <v>137</v>
      </c>
      <c r="D3738" s="66" t="s">
        <v>418</v>
      </c>
      <c r="E3738" t="s">
        <v>17</v>
      </c>
      <c r="F3738" s="50" t="s">
        <v>573</v>
      </c>
      <c r="G3738" s="50" t="s">
        <v>574</v>
      </c>
      <c r="H3738" s="50">
        <v>2</v>
      </c>
      <c r="I3738" s="100">
        <v>6.7391919697301583</v>
      </c>
      <c r="J3738" s="52">
        <v>3834.68</v>
      </c>
      <c r="K3738" s="67">
        <f t="shared" si="236"/>
        <v>39668.459556914233</v>
      </c>
      <c r="L3738" s="95">
        <f>+VLOOKUP(E3738,MARGEN!A:B,2,FALSE)</f>
        <v>0.1</v>
      </c>
      <c r="M3738" s="112">
        <f t="shared" si="233"/>
        <v>3966.8459556914236</v>
      </c>
      <c r="N3738" s="113">
        <f t="shared" si="234"/>
        <v>158.67383822765694</v>
      </c>
      <c r="O3738" s="113">
        <f t="shared" si="235"/>
        <v>35542.939762995149</v>
      </c>
    </row>
    <row r="3739" spans="1:15" x14ac:dyDescent="0.25">
      <c r="A3739" s="43">
        <v>44467</v>
      </c>
      <c r="B3739" s="51">
        <v>1511</v>
      </c>
      <c r="C3739" s="66" t="s">
        <v>152</v>
      </c>
      <c r="D3739" s="66" t="s">
        <v>425</v>
      </c>
      <c r="E3739" t="s">
        <v>17</v>
      </c>
      <c r="F3739" s="50" t="s">
        <v>573</v>
      </c>
      <c r="G3739" s="50" t="s">
        <v>574</v>
      </c>
      <c r="H3739" s="50">
        <v>2</v>
      </c>
      <c r="I3739" s="100">
        <v>6.7391919697301583</v>
      </c>
      <c r="J3739" s="52">
        <v>3834.68</v>
      </c>
      <c r="K3739" s="67">
        <f t="shared" si="236"/>
        <v>39048.2360850146</v>
      </c>
      <c r="L3739" s="95">
        <f>+VLOOKUP(E3739,MARGEN!A:B,2,FALSE)</f>
        <v>0.1</v>
      </c>
      <c r="M3739" s="112">
        <f t="shared" si="233"/>
        <v>3904.8236085014601</v>
      </c>
      <c r="N3739" s="113">
        <f t="shared" si="234"/>
        <v>156.1929443400584</v>
      </c>
      <c r="O3739" s="113">
        <f t="shared" si="235"/>
        <v>34987.219532173083</v>
      </c>
    </row>
    <row r="3740" spans="1:15" x14ac:dyDescent="0.25">
      <c r="A3740" s="43">
        <v>44467</v>
      </c>
      <c r="B3740" s="51">
        <v>1487</v>
      </c>
      <c r="C3740" s="66" t="s">
        <v>202</v>
      </c>
      <c r="D3740" s="66" t="s">
        <v>436</v>
      </c>
      <c r="E3740" t="s">
        <v>17</v>
      </c>
      <c r="F3740" s="50" t="s">
        <v>566</v>
      </c>
      <c r="G3740" s="50" t="s">
        <v>574</v>
      </c>
      <c r="H3740" s="50">
        <v>2</v>
      </c>
      <c r="I3740" s="100">
        <v>6.7391919697301583</v>
      </c>
      <c r="J3740" s="52">
        <v>3834.68</v>
      </c>
      <c r="K3740" s="67">
        <f t="shared" si="236"/>
        <v>38428.012613114959</v>
      </c>
      <c r="L3740" s="95">
        <f>+VLOOKUP(E3740,MARGEN!A:B,2,FALSE)</f>
        <v>0.1</v>
      </c>
      <c r="M3740" s="112">
        <f t="shared" si="233"/>
        <v>3842.8012613114961</v>
      </c>
      <c r="N3740" s="113">
        <f t="shared" si="234"/>
        <v>153.71205045245983</v>
      </c>
      <c r="O3740" s="113">
        <f t="shared" si="235"/>
        <v>34431.499301351003</v>
      </c>
    </row>
    <row r="3741" spans="1:15" x14ac:dyDescent="0.25">
      <c r="A3741" s="43">
        <v>44467</v>
      </c>
      <c r="B3741" s="51">
        <v>1487</v>
      </c>
      <c r="C3741" s="66" t="s">
        <v>169</v>
      </c>
      <c r="D3741" s="66" t="s">
        <v>351</v>
      </c>
      <c r="E3741" t="s">
        <v>17</v>
      </c>
      <c r="F3741" s="50" t="s">
        <v>573</v>
      </c>
      <c r="G3741" s="50" t="s">
        <v>574</v>
      </c>
      <c r="H3741" s="50">
        <v>2</v>
      </c>
      <c r="I3741" s="100">
        <v>6.7391919697301583</v>
      </c>
      <c r="J3741" s="52">
        <v>3834.68</v>
      </c>
      <c r="K3741" s="67">
        <f t="shared" si="236"/>
        <v>38428.012613114959</v>
      </c>
      <c r="L3741" s="95">
        <f>+VLOOKUP(E3741,MARGEN!A:B,2,FALSE)</f>
        <v>0.1</v>
      </c>
      <c r="M3741" s="112">
        <f t="shared" si="233"/>
        <v>3842.8012613114961</v>
      </c>
      <c r="N3741" s="113">
        <f t="shared" si="234"/>
        <v>153.71205045245983</v>
      </c>
      <c r="O3741" s="113">
        <f t="shared" si="235"/>
        <v>34431.499301351003</v>
      </c>
    </row>
    <row r="3742" spans="1:15" x14ac:dyDescent="0.25">
      <c r="A3742" s="43">
        <v>44467</v>
      </c>
      <c r="B3742" s="51">
        <v>1487</v>
      </c>
      <c r="C3742" s="66" t="s">
        <v>294</v>
      </c>
      <c r="D3742" s="66" t="s">
        <v>527</v>
      </c>
      <c r="E3742" t="s">
        <v>17</v>
      </c>
      <c r="F3742" s="50" t="s">
        <v>573</v>
      </c>
      <c r="G3742" s="50" t="s">
        <v>574</v>
      </c>
      <c r="H3742" s="50">
        <v>2</v>
      </c>
      <c r="I3742" s="100">
        <v>6.7391919697301583</v>
      </c>
      <c r="J3742" s="52">
        <v>3834.68</v>
      </c>
      <c r="K3742" s="67">
        <f t="shared" si="236"/>
        <v>38428.012613114959</v>
      </c>
      <c r="L3742" s="95">
        <f>+VLOOKUP(E3742,MARGEN!A:B,2,FALSE)</f>
        <v>0.1</v>
      </c>
      <c r="M3742" s="112">
        <f t="shared" si="233"/>
        <v>3842.8012613114961</v>
      </c>
      <c r="N3742" s="113">
        <f t="shared" si="234"/>
        <v>153.71205045245983</v>
      </c>
      <c r="O3742" s="113">
        <f t="shared" si="235"/>
        <v>34431.499301351003</v>
      </c>
    </row>
    <row r="3743" spans="1:15" x14ac:dyDescent="0.25">
      <c r="A3743" s="43">
        <v>44467</v>
      </c>
      <c r="B3743" s="51">
        <v>1487</v>
      </c>
      <c r="C3743" s="66" t="s">
        <v>119</v>
      </c>
      <c r="D3743" s="66" t="s">
        <v>377</v>
      </c>
      <c r="E3743" t="s">
        <v>17</v>
      </c>
      <c r="F3743" s="50" t="s">
        <v>573</v>
      </c>
      <c r="G3743" s="50" t="s">
        <v>574</v>
      </c>
      <c r="H3743" s="50">
        <v>2</v>
      </c>
      <c r="I3743" s="100">
        <v>6.7391919697301583</v>
      </c>
      <c r="J3743" s="52">
        <v>3834.68</v>
      </c>
      <c r="K3743" s="67">
        <f t="shared" si="236"/>
        <v>38428.012613114959</v>
      </c>
      <c r="L3743" s="95">
        <f>+VLOOKUP(E3743,MARGEN!A:B,2,FALSE)</f>
        <v>0.1</v>
      </c>
      <c r="M3743" s="112">
        <f t="shared" si="233"/>
        <v>3842.8012613114961</v>
      </c>
      <c r="N3743" s="113">
        <f t="shared" si="234"/>
        <v>153.71205045245983</v>
      </c>
      <c r="O3743" s="113">
        <f t="shared" si="235"/>
        <v>34431.499301351003</v>
      </c>
    </row>
    <row r="3744" spans="1:15" x14ac:dyDescent="0.25">
      <c r="A3744" s="43">
        <v>44467</v>
      </c>
      <c r="B3744" s="51">
        <v>1463</v>
      </c>
      <c r="C3744" s="66" t="s">
        <v>297</v>
      </c>
      <c r="D3744" s="66" t="s">
        <v>526</v>
      </c>
      <c r="E3744" t="s">
        <v>17</v>
      </c>
      <c r="F3744" s="50" t="s">
        <v>573</v>
      </c>
      <c r="G3744" s="50" t="s">
        <v>574</v>
      </c>
      <c r="H3744" s="50">
        <v>2</v>
      </c>
      <c r="I3744" s="100">
        <v>6.7391919697301583</v>
      </c>
      <c r="J3744" s="52">
        <v>3834.68</v>
      </c>
      <c r="K3744" s="67">
        <f t="shared" si="236"/>
        <v>37807.789141215326</v>
      </c>
      <c r="L3744" s="95">
        <f>+VLOOKUP(E3744,MARGEN!A:B,2,FALSE)</f>
        <v>0.1</v>
      </c>
      <c r="M3744" s="112">
        <f t="shared" si="233"/>
        <v>3780.7789141215326</v>
      </c>
      <c r="N3744" s="113">
        <f t="shared" si="234"/>
        <v>151.23115656486129</v>
      </c>
      <c r="O3744" s="113">
        <f t="shared" si="235"/>
        <v>33875.77907052893</v>
      </c>
    </row>
    <row r="3745" spans="1:15" x14ac:dyDescent="0.25">
      <c r="A3745" s="43">
        <v>44467</v>
      </c>
      <c r="B3745" s="51">
        <v>1439</v>
      </c>
      <c r="C3745" s="66" t="s">
        <v>210</v>
      </c>
      <c r="D3745" s="66" t="s">
        <v>402</v>
      </c>
      <c r="E3745" t="s">
        <v>17</v>
      </c>
      <c r="F3745" s="50" t="s">
        <v>573</v>
      </c>
      <c r="G3745" s="50" t="s">
        <v>574</v>
      </c>
      <c r="H3745" s="50">
        <v>2</v>
      </c>
      <c r="I3745" s="100">
        <v>6.7391919697301583</v>
      </c>
      <c r="J3745" s="52">
        <v>3834.68</v>
      </c>
      <c r="K3745" s="67">
        <f t="shared" si="236"/>
        <v>37187.565669315685</v>
      </c>
      <c r="L3745" s="95">
        <f>+VLOOKUP(E3745,MARGEN!A:B,2,FALSE)</f>
        <v>0.1</v>
      </c>
      <c r="M3745" s="112">
        <f t="shared" si="233"/>
        <v>3718.7565669315686</v>
      </c>
      <c r="N3745" s="113">
        <f t="shared" si="234"/>
        <v>148.75026267726275</v>
      </c>
      <c r="O3745" s="113">
        <f t="shared" si="235"/>
        <v>33320.058839706857</v>
      </c>
    </row>
    <row r="3746" spans="1:15" x14ac:dyDescent="0.25">
      <c r="A3746" s="43">
        <v>44467</v>
      </c>
      <c r="B3746" s="51">
        <v>1439</v>
      </c>
      <c r="C3746" s="66" t="s">
        <v>168</v>
      </c>
      <c r="D3746" s="66" t="s">
        <v>352</v>
      </c>
      <c r="E3746" t="s">
        <v>17</v>
      </c>
      <c r="F3746" s="50" t="s">
        <v>573</v>
      </c>
      <c r="G3746" s="50" t="s">
        <v>574</v>
      </c>
      <c r="H3746" s="50">
        <v>2</v>
      </c>
      <c r="I3746" s="100">
        <v>6.7391919697301583</v>
      </c>
      <c r="J3746" s="52">
        <v>3834.68</v>
      </c>
      <c r="K3746" s="67">
        <f t="shared" si="236"/>
        <v>37187.565669315685</v>
      </c>
      <c r="L3746" s="95">
        <f>+VLOOKUP(E3746,MARGEN!A:B,2,FALSE)</f>
        <v>0.1</v>
      </c>
      <c r="M3746" s="112">
        <f t="shared" si="233"/>
        <v>3718.7565669315686</v>
      </c>
      <c r="N3746" s="113">
        <f t="shared" si="234"/>
        <v>148.75026267726275</v>
      </c>
      <c r="O3746" s="113">
        <f t="shared" si="235"/>
        <v>33320.058839706857</v>
      </c>
    </row>
    <row r="3747" spans="1:15" x14ac:dyDescent="0.25">
      <c r="A3747" s="43">
        <v>44467</v>
      </c>
      <c r="B3747" s="51">
        <v>1439</v>
      </c>
      <c r="C3747" s="66" t="s">
        <v>200</v>
      </c>
      <c r="D3747" s="66" t="s">
        <v>428</v>
      </c>
      <c r="E3747" t="s">
        <v>17</v>
      </c>
      <c r="F3747" s="50" t="s">
        <v>573</v>
      </c>
      <c r="G3747" s="50" t="s">
        <v>574</v>
      </c>
      <c r="H3747" s="50">
        <v>2</v>
      </c>
      <c r="I3747" s="100">
        <v>6.7391919697301583</v>
      </c>
      <c r="J3747" s="52">
        <v>3834.68</v>
      </c>
      <c r="K3747" s="67">
        <f t="shared" si="236"/>
        <v>37187.565669315685</v>
      </c>
      <c r="L3747" s="95">
        <f>+VLOOKUP(E3747,MARGEN!A:B,2,FALSE)</f>
        <v>0.1</v>
      </c>
      <c r="M3747" s="112">
        <f t="shared" si="233"/>
        <v>3718.7565669315686</v>
      </c>
      <c r="N3747" s="113">
        <f t="shared" si="234"/>
        <v>148.75026267726275</v>
      </c>
      <c r="O3747" s="113">
        <f t="shared" si="235"/>
        <v>33320.058839706857</v>
      </c>
    </row>
    <row r="3748" spans="1:15" x14ac:dyDescent="0.25">
      <c r="A3748" s="43">
        <v>44467</v>
      </c>
      <c r="B3748" s="51">
        <v>1367</v>
      </c>
      <c r="C3748" s="66" t="s">
        <v>289</v>
      </c>
      <c r="D3748" s="66" t="s">
        <v>528</v>
      </c>
      <c r="E3748" t="s">
        <v>17</v>
      </c>
      <c r="F3748" s="50" t="s">
        <v>566</v>
      </c>
      <c r="G3748" s="50" t="s">
        <v>574</v>
      </c>
      <c r="H3748" s="50">
        <v>2</v>
      </c>
      <c r="I3748" s="100">
        <v>6.7391919697301583</v>
      </c>
      <c r="J3748" s="52">
        <v>3834.68</v>
      </c>
      <c r="K3748" s="67">
        <f t="shared" si="236"/>
        <v>35326.895253616778</v>
      </c>
      <c r="L3748" s="95">
        <f>+VLOOKUP(E3748,MARGEN!A:B,2,FALSE)</f>
        <v>0.1</v>
      </c>
      <c r="M3748" s="112">
        <f t="shared" si="233"/>
        <v>3532.6895253616781</v>
      </c>
      <c r="N3748" s="113">
        <f t="shared" si="234"/>
        <v>141.3075810144671</v>
      </c>
      <c r="O3748" s="113">
        <f t="shared" si="235"/>
        <v>31652.898147240634</v>
      </c>
    </row>
    <row r="3749" spans="1:15" x14ac:dyDescent="0.25">
      <c r="A3749" s="43">
        <v>44467</v>
      </c>
      <c r="B3749" s="51">
        <v>1367</v>
      </c>
      <c r="C3749" s="66" t="s">
        <v>173</v>
      </c>
      <c r="D3749" s="66" t="s">
        <v>451</v>
      </c>
      <c r="E3749" t="s">
        <v>17</v>
      </c>
      <c r="F3749" s="50" t="s">
        <v>573</v>
      </c>
      <c r="G3749" s="50" t="s">
        <v>574</v>
      </c>
      <c r="H3749" s="50">
        <v>2</v>
      </c>
      <c r="I3749" s="100">
        <v>6.7391919697301583</v>
      </c>
      <c r="J3749" s="52">
        <v>3834.68</v>
      </c>
      <c r="K3749" s="67">
        <f t="shared" si="236"/>
        <v>35326.895253616778</v>
      </c>
      <c r="L3749" s="95">
        <f>+VLOOKUP(E3749,MARGEN!A:B,2,FALSE)</f>
        <v>0.1</v>
      </c>
      <c r="M3749" s="112">
        <f t="shared" si="233"/>
        <v>3532.6895253616781</v>
      </c>
      <c r="N3749" s="113">
        <f t="shared" si="234"/>
        <v>141.3075810144671</v>
      </c>
      <c r="O3749" s="113">
        <f t="shared" si="235"/>
        <v>31652.898147240634</v>
      </c>
    </row>
    <row r="3750" spans="1:15" x14ac:dyDescent="0.25">
      <c r="A3750" s="43">
        <v>44467</v>
      </c>
      <c r="B3750" s="51">
        <v>1343</v>
      </c>
      <c r="C3750" s="66" t="s">
        <v>292</v>
      </c>
      <c r="D3750" s="66" t="s">
        <v>535</v>
      </c>
      <c r="E3750" t="s">
        <v>17</v>
      </c>
      <c r="F3750" s="50" t="s">
        <v>573</v>
      </c>
      <c r="G3750" s="50" t="s">
        <v>574</v>
      </c>
      <c r="H3750" s="50">
        <v>2</v>
      </c>
      <c r="I3750" s="100">
        <v>6.7391919697301583</v>
      </c>
      <c r="J3750" s="52">
        <v>3834.68</v>
      </c>
      <c r="K3750" s="67">
        <f t="shared" si="236"/>
        <v>34706.671781717145</v>
      </c>
      <c r="L3750" s="95">
        <f>+VLOOKUP(E3750,MARGEN!A:B,2,FALSE)</f>
        <v>0.1</v>
      </c>
      <c r="M3750" s="112">
        <f t="shared" si="233"/>
        <v>3470.6671781717146</v>
      </c>
      <c r="N3750" s="113">
        <f t="shared" si="234"/>
        <v>138.82668712686859</v>
      </c>
      <c r="O3750" s="113">
        <f t="shared" si="235"/>
        <v>31097.177916418561</v>
      </c>
    </row>
    <row r="3751" spans="1:15" x14ac:dyDescent="0.25">
      <c r="A3751" s="43">
        <v>44467</v>
      </c>
      <c r="B3751" s="51">
        <v>1319</v>
      </c>
      <c r="C3751" s="66" t="s">
        <v>118</v>
      </c>
      <c r="D3751" s="66" t="s">
        <v>329</v>
      </c>
      <c r="E3751" t="s">
        <v>17</v>
      </c>
      <c r="F3751" s="50" t="s">
        <v>573</v>
      </c>
      <c r="G3751" s="50" t="s">
        <v>574</v>
      </c>
      <c r="H3751" s="50">
        <v>2</v>
      </c>
      <c r="I3751" s="100">
        <v>6.7391919697301583</v>
      </c>
      <c r="J3751" s="52">
        <v>3834.68</v>
      </c>
      <c r="K3751" s="67">
        <f t="shared" si="236"/>
        <v>34086.448309817511</v>
      </c>
      <c r="L3751" s="95">
        <f>+VLOOKUP(E3751,MARGEN!A:B,2,FALSE)</f>
        <v>0.1</v>
      </c>
      <c r="M3751" s="112">
        <f t="shared" si="233"/>
        <v>3408.6448309817515</v>
      </c>
      <c r="N3751" s="113">
        <f t="shared" si="234"/>
        <v>136.34579323927005</v>
      </c>
      <c r="O3751" s="113">
        <f t="shared" si="235"/>
        <v>30541.457685596492</v>
      </c>
    </row>
    <row r="3752" spans="1:15" x14ac:dyDescent="0.25">
      <c r="A3752" s="43">
        <v>44467</v>
      </c>
      <c r="B3752" s="51">
        <v>1319</v>
      </c>
      <c r="C3752" s="66" t="s">
        <v>141</v>
      </c>
      <c r="D3752" s="66" t="s">
        <v>450</v>
      </c>
      <c r="E3752" t="s">
        <v>17</v>
      </c>
      <c r="F3752" s="50" t="s">
        <v>573</v>
      </c>
      <c r="G3752" s="50" t="s">
        <v>574</v>
      </c>
      <c r="H3752" s="50">
        <v>2</v>
      </c>
      <c r="I3752" s="100">
        <v>6.7391919697301583</v>
      </c>
      <c r="J3752" s="52">
        <v>3834.68</v>
      </c>
      <c r="K3752" s="67">
        <f t="shared" si="236"/>
        <v>34086.448309817511</v>
      </c>
      <c r="L3752" s="95">
        <f>+VLOOKUP(E3752,MARGEN!A:B,2,FALSE)</f>
        <v>0.1</v>
      </c>
      <c r="M3752" s="112">
        <f t="shared" si="233"/>
        <v>3408.6448309817515</v>
      </c>
      <c r="N3752" s="113">
        <f t="shared" si="234"/>
        <v>136.34579323927005</v>
      </c>
      <c r="O3752" s="113">
        <f t="shared" si="235"/>
        <v>30541.457685596492</v>
      </c>
    </row>
    <row r="3753" spans="1:15" x14ac:dyDescent="0.25">
      <c r="A3753" s="43">
        <v>44467</v>
      </c>
      <c r="B3753" s="51">
        <v>1295</v>
      </c>
      <c r="C3753" s="66" t="s">
        <v>166</v>
      </c>
      <c r="D3753" s="66" t="s">
        <v>426</v>
      </c>
      <c r="E3753" t="s">
        <v>17</v>
      </c>
      <c r="F3753" s="50" t="s">
        <v>566</v>
      </c>
      <c r="G3753" s="50" t="s">
        <v>574</v>
      </c>
      <c r="H3753" s="50">
        <v>2</v>
      </c>
      <c r="I3753" s="100">
        <v>6.7391919697301583</v>
      </c>
      <c r="J3753" s="52">
        <v>3834.68</v>
      </c>
      <c r="K3753" s="67">
        <f t="shared" si="236"/>
        <v>33466.224837917871</v>
      </c>
      <c r="L3753" s="95">
        <f>+VLOOKUP(E3753,MARGEN!A:B,2,FALSE)</f>
        <v>0.1</v>
      </c>
      <c r="M3753" s="112">
        <f t="shared" si="233"/>
        <v>3346.6224837917871</v>
      </c>
      <c r="N3753" s="113">
        <f t="shared" si="234"/>
        <v>133.86489935167148</v>
      </c>
      <c r="O3753" s="113">
        <f t="shared" si="235"/>
        <v>29985.737454774411</v>
      </c>
    </row>
    <row r="3754" spans="1:15" x14ac:dyDescent="0.25">
      <c r="A3754" s="43">
        <v>44467</v>
      </c>
      <c r="B3754" s="51">
        <v>1295</v>
      </c>
      <c r="C3754" s="66" t="s">
        <v>211</v>
      </c>
      <c r="D3754" s="66" t="s">
        <v>382</v>
      </c>
      <c r="E3754" t="s">
        <v>17</v>
      </c>
      <c r="F3754" s="50" t="s">
        <v>566</v>
      </c>
      <c r="G3754" s="50" t="s">
        <v>574</v>
      </c>
      <c r="H3754" s="50">
        <v>2</v>
      </c>
      <c r="I3754" s="100">
        <v>6.7391919697301583</v>
      </c>
      <c r="J3754" s="52">
        <v>3834.68</v>
      </c>
      <c r="K3754" s="67">
        <f t="shared" si="236"/>
        <v>33466.224837917871</v>
      </c>
      <c r="L3754" s="95">
        <f>+VLOOKUP(E3754,MARGEN!A:B,2,FALSE)</f>
        <v>0.1</v>
      </c>
      <c r="M3754" s="112">
        <f t="shared" si="233"/>
        <v>3346.6224837917871</v>
      </c>
      <c r="N3754" s="113">
        <f t="shared" si="234"/>
        <v>133.86489935167148</v>
      </c>
      <c r="O3754" s="113">
        <f t="shared" si="235"/>
        <v>29985.737454774411</v>
      </c>
    </row>
    <row r="3755" spans="1:15" x14ac:dyDescent="0.25">
      <c r="A3755" s="43">
        <v>44467</v>
      </c>
      <c r="B3755" s="51">
        <v>1295</v>
      </c>
      <c r="C3755" s="66" t="s">
        <v>302</v>
      </c>
      <c r="D3755" s="66" t="s">
        <v>538</v>
      </c>
      <c r="E3755" t="s">
        <v>17</v>
      </c>
      <c r="F3755" s="50" t="s">
        <v>573</v>
      </c>
      <c r="G3755" s="50" t="s">
        <v>574</v>
      </c>
      <c r="H3755" s="50">
        <v>2</v>
      </c>
      <c r="I3755" s="100">
        <v>6.7391919697301583</v>
      </c>
      <c r="J3755" s="52">
        <v>3834.68</v>
      </c>
      <c r="K3755" s="67">
        <f t="shared" si="236"/>
        <v>33466.224837917871</v>
      </c>
      <c r="L3755" s="95">
        <f>+VLOOKUP(E3755,MARGEN!A:B,2,FALSE)</f>
        <v>0.1</v>
      </c>
      <c r="M3755" s="112">
        <f t="shared" si="233"/>
        <v>3346.6224837917871</v>
      </c>
      <c r="N3755" s="113">
        <f t="shared" si="234"/>
        <v>133.86489935167148</v>
      </c>
      <c r="O3755" s="113">
        <f t="shared" si="235"/>
        <v>29985.737454774411</v>
      </c>
    </row>
    <row r="3756" spans="1:15" x14ac:dyDescent="0.25">
      <c r="A3756" s="43">
        <v>44467</v>
      </c>
      <c r="B3756" s="51">
        <v>1295</v>
      </c>
      <c r="C3756" s="66" t="s">
        <v>151</v>
      </c>
      <c r="D3756" s="66" t="s">
        <v>394</v>
      </c>
      <c r="E3756" t="s">
        <v>17</v>
      </c>
      <c r="F3756" s="50" t="s">
        <v>573</v>
      </c>
      <c r="G3756" s="50" t="s">
        <v>574</v>
      </c>
      <c r="H3756" s="50">
        <v>2</v>
      </c>
      <c r="I3756" s="100">
        <v>6.7391919697301583</v>
      </c>
      <c r="J3756" s="52">
        <v>3834.68</v>
      </c>
      <c r="K3756" s="67">
        <f t="shared" si="236"/>
        <v>33466.224837917871</v>
      </c>
      <c r="L3756" s="95">
        <f>+VLOOKUP(E3756,MARGEN!A:B,2,FALSE)</f>
        <v>0.1</v>
      </c>
      <c r="M3756" s="112">
        <f t="shared" si="233"/>
        <v>3346.6224837917871</v>
      </c>
      <c r="N3756" s="113">
        <f t="shared" si="234"/>
        <v>133.86489935167148</v>
      </c>
      <c r="O3756" s="113">
        <f t="shared" si="235"/>
        <v>29985.737454774411</v>
      </c>
    </row>
    <row r="3757" spans="1:15" x14ac:dyDescent="0.25">
      <c r="A3757" s="43">
        <v>44467</v>
      </c>
      <c r="B3757" s="51">
        <v>1295</v>
      </c>
      <c r="C3757" s="66" t="s">
        <v>183</v>
      </c>
      <c r="D3757" s="66" t="s">
        <v>390</v>
      </c>
      <c r="E3757" t="s">
        <v>17</v>
      </c>
      <c r="F3757" s="50" t="s">
        <v>573</v>
      </c>
      <c r="G3757" s="50" t="s">
        <v>574</v>
      </c>
      <c r="H3757" s="50">
        <v>2</v>
      </c>
      <c r="I3757" s="100">
        <v>6.7391919697301583</v>
      </c>
      <c r="J3757" s="52">
        <v>3834.68</v>
      </c>
      <c r="K3757" s="67">
        <f t="shared" si="236"/>
        <v>33466.224837917871</v>
      </c>
      <c r="L3757" s="95">
        <f>+VLOOKUP(E3757,MARGEN!A:B,2,FALSE)</f>
        <v>0.1</v>
      </c>
      <c r="M3757" s="112">
        <f t="shared" si="233"/>
        <v>3346.6224837917871</v>
      </c>
      <c r="N3757" s="113">
        <f t="shared" si="234"/>
        <v>133.86489935167148</v>
      </c>
      <c r="O3757" s="113">
        <f t="shared" si="235"/>
        <v>29985.737454774411</v>
      </c>
    </row>
    <row r="3758" spans="1:15" x14ac:dyDescent="0.25">
      <c r="A3758" s="43">
        <v>44467</v>
      </c>
      <c r="B3758" s="51">
        <v>1271</v>
      </c>
      <c r="C3758" s="66" t="s">
        <v>298</v>
      </c>
      <c r="D3758" s="66" t="s">
        <v>536</v>
      </c>
      <c r="E3758" t="s">
        <v>17</v>
      </c>
      <c r="F3758" s="50" t="s">
        <v>573</v>
      </c>
      <c r="G3758" s="50" t="s">
        <v>574</v>
      </c>
      <c r="H3758" s="50">
        <v>2</v>
      </c>
      <c r="I3758" s="100">
        <v>6.7391919697301583</v>
      </c>
      <c r="J3758" s="52">
        <v>3834.68</v>
      </c>
      <c r="K3758" s="67">
        <f t="shared" si="236"/>
        <v>32846.00136601823</v>
      </c>
      <c r="L3758" s="95">
        <f>+VLOOKUP(E3758,MARGEN!A:B,2,FALSE)</f>
        <v>0.1</v>
      </c>
      <c r="M3758" s="112">
        <f t="shared" si="233"/>
        <v>3284.6001366018231</v>
      </c>
      <c r="N3758" s="113">
        <f t="shared" si="234"/>
        <v>131.38400546407291</v>
      </c>
      <c r="O3758" s="113">
        <f t="shared" si="235"/>
        <v>29430.017223952334</v>
      </c>
    </row>
    <row r="3759" spans="1:15" x14ac:dyDescent="0.25">
      <c r="A3759" s="43">
        <v>44467</v>
      </c>
      <c r="B3759" s="51">
        <v>1247</v>
      </c>
      <c r="C3759" s="66" t="s">
        <v>300</v>
      </c>
      <c r="D3759" s="66" t="s">
        <v>529</v>
      </c>
      <c r="E3759" t="s">
        <v>17</v>
      </c>
      <c r="F3759" s="50" t="s">
        <v>566</v>
      </c>
      <c r="G3759" s="50" t="s">
        <v>574</v>
      </c>
      <c r="H3759" s="50">
        <v>2</v>
      </c>
      <c r="I3759" s="100">
        <v>6.7391919697301583</v>
      </c>
      <c r="J3759" s="52">
        <v>3834.68</v>
      </c>
      <c r="K3759" s="67">
        <f t="shared" si="236"/>
        <v>32225.777894118601</v>
      </c>
      <c r="L3759" s="95">
        <f>+VLOOKUP(E3759,MARGEN!A:B,2,FALSE)</f>
        <v>0.1</v>
      </c>
      <c r="M3759" s="112">
        <f t="shared" si="233"/>
        <v>3222.5777894118601</v>
      </c>
      <c r="N3759" s="113">
        <f t="shared" si="234"/>
        <v>128.9031115764744</v>
      </c>
      <c r="O3759" s="113">
        <f t="shared" si="235"/>
        <v>28874.296993130265</v>
      </c>
    </row>
    <row r="3760" spans="1:15" x14ac:dyDescent="0.25">
      <c r="A3760" s="43">
        <v>44467</v>
      </c>
      <c r="B3760" s="51">
        <v>1247</v>
      </c>
      <c r="C3760" s="66" t="s">
        <v>303</v>
      </c>
      <c r="D3760" s="66" t="s">
        <v>539</v>
      </c>
      <c r="E3760" t="s">
        <v>17</v>
      </c>
      <c r="F3760" s="50" t="s">
        <v>573</v>
      </c>
      <c r="G3760" s="50" t="s">
        <v>574</v>
      </c>
      <c r="H3760" s="50">
        <v>2</v>
      </c>
      <c r="I3760" s="100">
        <v>6.7391919697301583</v>
      </c>
      <c r="J3760" s="52">
        <v>3834.68</v>
      </c>
      <c r="K3760" s="67">
        <f t="shared" si="236"/>
        <v>32225.777894118601</v>
      </c>
      <c r="L3760" s="95">
        <f>+VLOOKUP(E3760,MARGEN!A:B,2,FALSE)</f>
        <v>0.1</v>
      </c>
      <c r="M3760" s="112">
        <f t="shared" si="233"/>
        <v>3222.5777894118601</v>
      </c>
      <c r="N3760" s="113">
        <f t="shared" si="234"/>
        <v>128.9031115764744</v>
      </c>
      <c r="O3760" s="113">
        <f t="shared" si="235"/>
        <v>28874.296993130265</v>
      </c>
    </row>
    <row r="3761" spans="1:15" x14ac:dyDescent="0.25">
      <c r="A3761" s="43">
        <v>44467</v>
      </c>
      <c r="B3761" s="51">
        <v>1223</v>
      </c>
      <c r="C3761" s="66" t="s">
        <v>299</v>
      </c>
      <c r="D3761" s="66" t="s">
        <v>537</v>
      </c>
      <c r="E3761" t="s">
        <v>17</v>
      </c>
      <c r="F3761" s="50" t="s">
        <v>566</v>
      </c>
      <c r="G3761" s="50" t="s">
        <v>574</v>
      </c>
      <c r="H3761" s="50">
        <v>2</v>
      </c>
      <c r="I3761" s="100">
        <v>6.7391919697301583</v>
      </c>
      <c r="J3761" s="52">
        <v>3834.68</v>
      </c>
      <c r="K3761" s="67">
        <f t="shared" si="236"/>
        <v>31605.55442221896</v>
      </c>
      <c r="L3761" s="95">
        <f>+VLOOKUP(E3761,MARGEN!A:B,2,FALSE)</f>
        <v>0.1</v>
      </c>
      <c r="M3761" s="112">
        <f t="shared" si="233"/>
        <v>3160.5554422218961</v>
      </c>
      <c r="N3761" s="113">
        <f t="shared" si="234"/>
        <v>126.42221768887585</v>
      </c>
      <c r="O3761" s="113">
        <f t="shared" si="235"/>
        <v>28318.576762308188</v>
      </c>
    </row>
    <row r="3762" spans="1:15" x14ac:dyDescent="0.25">
      <c r="A3762" s="43">
        <v>44467</v>
      </c>
      <c r="B3762" s="51">
        <v>1223</v>
      </c>
      <c r="C3762" s="66" t="s">
        <v>199</v>
      </c>
      <c r="D3762" s="66" t="s">
        <v>414</v>
      </c>
      <c r="E3762" t="s">
        <v>17</v>
      </c>
      <c r="F3762" s="50" t="s">
        <v>573</v>
      </c>
      <c r="G3762" s="50" t="s">
        <v>574</v>
      </c>
      <c r="H3762" s="50">
        <v>2</v>
      </c>
      <c r="I3762" s="100">
        <v>6.7391919697301583</v>
      </c>
      <c r="J3762" s="52">
        <v>3834.68</v>
      </c>
      <c r="K3762" s="67">
        <f t="shared" si="236"/>
        <v>31605.55442221896</v>
      </c>
      <c r="L3762" s="95">
        <f>+VLOOKUP(E3762,MARGEN!A:B,2,FALSE)</f>
        <v>0.1</v>
      </c>
      <c r="M3762" s="112">
        <f t="shared" si="233"/>
        <v>3160.5554422218961</v>
      </c>
      <c r="N3762" s="113">
        <f t="shared" si="234"/>
        <v>126.42221768887585</v>
      </c>
      <c r="O3762" s="113">
        <f t="shared" si="235"/>
        <v>28318.576762308188</v>
      </c>
    </row>
    <row r="3763" spans="1:15" x14ac:dyDescent="0.25">
      <c r="A3763" s="43">
        <v>44467</v>
      </c>
      <c r="B3763" s="51">
        <v>1223</v>
      </c>
      <c r="C3763" s="66" t="s">
        <v>308</v>
      </c>
      <c r="D3763" s="66" t="s">
        <v>500</v>
      </c>
      <c r="E3763" t="s">
        <v>17</v>
      </c>
      <c r="F3763" s="50" t="s">
        <v>573</v>
      </c>
      <c r="G3763" s="50" t="s">
        <v>574</v>
      </c>
      <c r="H3763" s="50">
        <v>2</v>
      </c>
      <c r="I3763" s="100">
        <v>6.7391919697301583</v>
      </c>
      <c r="J3763" s="52">
        <v>3834.68</v>
      </c>
      <c r="K3763" s="67">
        <f t="shared" si="236"/>
        <v>31605.55442221896</v>
      </c>
      <c r="L3763" s="95">
        <f>+VLOOKUP(E3763,MARGEN!A:B,2,FALSE)</f>
        <v>0.1</v>
      </c>
      <c r="M3763" s="112">
        <f t="shared" si="233"/>
        <v>3160.5554422218961</v>
      </c>
      <c r="N3763" s="113">
        <f t="shared" si="234"/>
        <v>126.42221768887585</v>
      </c>
      <c r="O3763" s="113">
        <f t="shared" si="235"/>
        <v>28318.576762308188</v>
      </c>
    </row>
    <row r="3764" spans="1:15" x14ac:dyDescent="0.25">
      <c r="A3764" s="43">
        <v>44467</v>
      </c>
      <c r="B3764" s="51">
        <v>1199</v>
      </c>
      <c r="C3764" s="66" t="s">
        <v>201</v>
      </c>
      <c r="D3764" s="66" t="s">
        <v>374</v>
      </c>
      <c r="E3764" t="s">
        <v>17</v>
      </c>
      <c r="F3764" s="50" t="s">
        <v>573</v>
      </c>
      <c r="G3764" s="50" t="s">
        <v>574</v>
      </c>
      <c r="H3764" s="50">
        <v>2</v>
      </c>
      <c r="I3764" s="100">
        <v>6.7391919697301583</v>
      </c>
      <c r="J3764" s="52">
        <v>3834.68</v>
      </c>
      <c r="K3764" s="67">
        <f t="shared" si="236"/>
        <v>30985.330950319327</v>
      </c>
      <c r="L3764" s="95">
        <f>+VLOOKUP(E3764,MARGEN!A:B,2,FALSE)</f>
        <v>0.1</v>
      </c>
      <c r="M3764" s="112">
        <f t="shared" si="233"/>
        <v>3098.533095031933</v>
      </c>
      <c r="N3764" s="113">
        <f t="shared" si="234"/>
        <v>123.94132380127731</v>
      </c>
      <c r="O3764" s="113">
        <f t="shared" si="235"/>
        <v>27762.856531486115</v>
      </c>
    </row>
    <row r="3765" spans="1:15" x14ac:dyDescent="0.25">
      <c r="A3765" s="43">
        <v>44467</v>
      </c>
      <c r="B3765" s="51">
        <v>1151</v>
      </c>
      <c r="C3765" s="66" t="s">
        <v>184</v>
      </c>
      <c r="D3765" s="66" t="s">
        <v>443</v>
      </c>
      <c r="E3765" t="s">
        <v>17</v>
      </c>
      <c r="F3765" s="50" t="s">
        <v>573</v>
      </c>
      <c r="G3765" s="50" t="s">
        <v>574</v>
      </c>
      <c r="H3765" s="50">
        <v>2</v>
      </c>
      <c r="I3765" s="100">
        <v>6.7391919697301583</v>
      </c>
      <c r="J3765" s="52">
        <v>3834.68</v>
      </c>
      <c r="K3765" s="67">
        <f t="shared" si="236"/>
        <v>29744.884006520053</v>
      </c>
      <c r="L3765" s="95">
        <f>+VLOOKUP(E3765,MARGEN!A:B,2,FALSE)</f>
        <v>0.1</v>
      </c>
      <c r="M3765" s="112">
        <f t="shared" si="233"/>
        <v>2974.4884006520056</v>
      </c>
      <c r="N3765" s="113">
        <f t="shared" si="234"/>
        <v>118.97953602608021</v>
      </c>
      <c r="O3765" s="113">
        <f t="shared" si="235"/>
        <v>26651.416069841969</v>
      </c>
    </row>
    <row r="3766" spans="1:15" x14ac:dyDescent="0.25">
      <c r="A3766" s="43">
        <v>44467</v>
      </c>
      <c r="B3766" s="51">
        <v>1127</v>
      </c>
      <c r="C3766" s="66" t="s">
        <v>153</v>
      </c>
      <c r="D3766" s="66" t="s">
        <v>444</v>
      </c>
      <c r="E3766" t="s">
        <v>17</v>
      </c>
      <c r="F3766" s="50" t="s">
        <v>573</v>
      </c>
      <c r="G3766" s="50" t="s">
        <v>574</v>
      </c>
      <c r="H3766" s="50">
        <v>2</v>
      </c>
      <c r="I3766" s="100">
        <v>6.7391919697301583</v>
      </c>
      <c r="J3766" s="52">
        <v>3834.68</v>
      </c>
      <c r="K3766" s="67">
        <f t="shared" si="236"/>
        <v>29124.660534620416</v>
      </c>
      <c r="L3766" s="95">
        <f>+VLOOKUP(E3766,MARGEN!A:B,2,FALSE)</f>
        <v>0.1</v>
      </c>
      <c r="M3766" s="112">
        <f t="shared" si="233"/>
        <v>2912.4660534620416</v>
      </c>
      <c r="N3766" s="113">
        <f t="shared" si="234"/>
        <v>116.49864213848167</v>
      </c>
      <c r="O3766" s="113">
        <f t="shared" si="235"/>
        <v>26095.695839019892</v>
      </c>
    </row>
    <row r="3767" spans="1:15" x14ac:dyDescent="0.25">
      <c r="A3767" s="43">
        <v>44467</v>
      </c>
      <c r="B3767" s="51">
        <v>791</v>
      </c>
      <c r="C3767" s="66" t="s">
        <v>307</v>
      </c>
      <c r="D3767" s="66" t="s">
        <v>497</v>
      </c>
      <c r="E3767" t="s">
        <v>17</v>
      </c>
      <c r="F3767" s="50" t="s">
        <v>573</v>
      </c>
      <c r="G3767" s="50" t="s">
        <v>574</v>
      </c>
      <c r="H3767" s="50">
        <v>2</v>
      </c>
      <c r="I3767" s="100">
        <v>6.7391919697301583</v>
      </c>
      <c r="J3767" s="52">
        <v>3834.68</v>
      </c>
      <c r="K3767" s="67">
        <f t="shared" si="236"/>
        <v>20441.53192802551</v>
      </c>
      <c r="L3767" s="95">
        <f>+VLOOKUP(E3767,MARGEN!A:B,2,FALSE)</f>
        <v>0.1</v>
      </c>
      <c r="M3767" s="112">
        <f t="shared" si="233"/>
        <v>2044.1531928025511</v>
      </c>
      <c r="N3767" s="113">
        <f t="shared" si="234"/>
        <v>81.766127712102033</v>
      </c>
      <c r="O3767" s="113">
        <f t="shared" si="235"/>
        <v>18315.612607510859</v>
      </c>
    </row>
    <row r="3768" spans="1:15" x14ac:dyDescent="0.25">
      <c r="A3768" s="43">
        <v>44467</v>
      </c>
      <c r="B3768" s="51">
        <v>767</v>
      </c>
      <c r="C3768" s="66" t="s">
        <v>181</v>
      </c>
      <c r="D3768" s="66" t="s">
        <v>415</v>
      </c>
      <c r="E3768" t="s">
        <v>17</v>
      </c>
      <c r="F3768" s="50" t="s">
        <v>573</v>
      </c>
      <c r="G3768" s="50" t="s">
        <v>574</v>
      </c>
      <c r="H3768" s="50">
        <v>2</v>
      </c>
      <c r="I3768" s="100">
        <v>6.7391919697301583</v>
      </c>
      <c r="J3768" s="52">
        <v>3834.68</v>
      </c>
      <c r="K3768" s="67">
        <f t="shared" si="236"/>
        <v>19821.308456125873</v>
      </c>
      <c r="L3768" s="95">
        <f>+VLOOKUP(E3768,MARGEN!A:B,2,FALSE)</f>
        <v>0.1</v>
      </c>
      <c r="M3768" s="112">
        <f t="shared" si="233"/>
        <v>1982.1308456125873</v>
      </c>
      <c r="N3768" s="113">
        <f t="shared" si="234"/>
        <v>79.285233824503493</v>
      </c>
      <c r="O3768" s="113">
        <f t="shared" si="235"/>
        <v>17759.892376688782</v>
      </c>
    </row>
    <row r="3769" spans="1:15" x14ac:dyDescent="0.25">
      <c r="A3769" s="43">
        <v>44468</v>
      </c>
      <c r="B3769" s="51">
        <v>8471</v>
      </c>
      <c r="C3769" s="66" t="s">
        <v>164</v>
      </c>
      <c r="D3769" s="66" t="s">
        <v>445</v>
      </c>
      <c r="E3769" t="s">
        <v>17</v>
      </c>
      <c r="F3769" s="50" t="s">
        <v>573</v>
      </c>
      <c r="G3769" s="50" t="s">
        <v>574</v>
      </c>
      <c r="H3769" s="50">
        <v>2</v>
      </c>
      <c r="I3769" s="100">
        <v>6.7391919697301583</v>
      </c>
      <c r="J3769" s="52">
        <v>3834.68</v>
      </c>
      <c r="K3769" s="67">
        <f t="shared" si="236"/>
        <v>218913.04293590909</v>
      </c>
      <c r="L3769" s="95">
        <f>+VLOOKUP(E3769,MARGEN!A:B,2,FALSE)</f>
        <v>0.1</v>
      </c>
      <c r="M3769" s="112">
        <f t="shared" si="233"/>
        <v>21891.304293590911</v>
      </c>
      <c r="N3769" s="113">
        <f t="shared" si="234"/>
        <v>875.65217174363636</v>
      </c>
      <c r="O3769" s="113">
        <f t="shared" si="235"/>
        <v>196146.08647057455</v>
      </c>
    </row>
    <row r="3770" spans="1:15" x14ac:dyDescent="0.25">
      <c r="A3770" s="43">
        <v>44468</v>
      </c>
      <c r="B3770" s="51">
        <v>6767</v>
      </c>
      <c r="C3770" s="66" t="s">
        <v>150</v>
      </c>
      <c r="D3770" s="66" t="s">
        <v>357</v>
      </c>
      <c r="E3770" t="s">
        <v>17</v>
      </c>
      <c r="F3770" s="50" t="s">
        <v>573</v>
      </c>
      <c r="G3770" s="50" t="s">
        <v>574</v>
      </c>
      <c r="H3770" s="50">
        <v>2</v>
      </c>
      <c r="I3770" s="100">
        <v>6.7391919697301583</v>
      </c>
      <c r="J3770" s="52">
        <v>3834.68</v>
      </c>
      <c r="K3770" s="67">
        <f t="shared" si="236"/>
        <v>174877.17643103495</v>
      </c>
      <c r="L3770" s="95">
        <f>+VLOOKUP(E3770,MARGEN!A:B,2,FALSE)</f>
        <v>0.1</v>
      </c>
      <c r="M3770" s="112">
        <f t="shared" si="233"/>
        <v>17487.717643103497</v>
      </c>
      <c r="N3770" s="113">
        <f t="shared" si="234"/>
        <v>699.50870572413976</v>
      </c>
      <c r="O3770" s="113">
        <f t="shared" si="235"/>
        <v>156689.9500822073</v>
      </c>
    </row>
    <row r="3771" spans="1:15" x14ac:dyDescent="0.25">
      <c r="A3771" s="43">
        <v>44468</v>
      </c>
      <c r="B3771" s="51">
        <v>5975</v>
      </c>
      <c r="C3771" s="66" t="s">
        <v>279</v>
      </c>
      <c r="D3771" s="66" t="s">
        <v>493</v>
      </c>
      <c r="E3771" t="s">
        <v>17</v>
      </c>
      <c r="F3771" s="50" t="s">
        <v>573</v>
      </c>
      <c r="G3771" s="50" t="s">
        <v>574</v>
      </c>
      <c r="H3771" s="50">
        <v>2</v>
      </c>
      <c r="I3771" s="100">
        <v>6.7391919697301583</v>
      </c>
      <c r="J3771" s="52">
        <v>3834.68</v>
      </c>
      <c r="K3771" s="67">
        <f t="shared" si="236"/>
        <v>154409.80185834694</v>
      </c>
      <c r="L3771" s="95">
        <f>+VLOOKUP(E3771,MARGEN!A:B,2,FALSE)</f>
        <v>0.1</v>
      </c>
      <c r="M3771" s="112">
        <f t="shared" si="233"/>
        <v>15440.980185834695</v>
      </c>
      <c r="N3771" s="113">
        <f t="shared" si="234"/>
        <v>617.63920743338781</v>
      </c>
      <c r="O3771" s="113">
        <f t="shared" si="235"/>
        <v>138351.18246507886</v>
      </c>
    </row>
    <row r="3772" spans="1:15" x14ac:dyDescent="0.25">
      <c r="A3772" s="43">
        <v>44468</v>
      </c>
      <c r="B3772" s="51">
        <v>5279</v>
      </c>
      <c r="C3772" s="66" t="s">
        <v>278</v>
      </c>
      <c r="D3772" s="66" t="s">
        <v>453</v>
      </c>
      <c r="E3772" t="s">
        <v>17</v>
      </c>
      <c r="F3772" s="50" t="s">
        <v>573</v>
      </c>
      <c r="G3772" s="50" t="s">
        <v>574</v>
      </c>
      <c r="H3772" s="50">
        <v>2</v>
      </c>
      <c r="I3772" s="100">
        <v>6.7391919697301583</v>
      </c>
      <c r="J3772" s="52">
        <v>3834.68</v>
      </c>
      <c r="K3772" s="67">
        <f t="shared" si="236"/>
        <v>136423.32117325746</v>
      </c>
      <c r="L3772" s="95">
        <f>+VLOOKUP(E3772,MARGEN!A:B,2,FALSE)</f>
        <v>0.1</v>
      </c>
      <c r="M3772" s="112">
        <f t="shared" si="233"/>
        <v>13642.332117325746</v>
      </c>
      <c r="N3772" s="113">
        <f t="shared" si="234"/>
        <v>545.6932846930298</v>
      </c>
      <c r="O3772" s="113">
        <f t="shared" si="235"/>
        <v>122235.29577123869</v>
      </c>
    </row>
    <row r="3773" spans="1:15" x14ac:dyDescent="0.25">
      <c r="A3773" s="43">
        <v>44468</v>
      </c>
      <c r="B3773" s="51">
        <v>4631</v>
      </c>
      <c r="C3773" s="66" t="s">
        <v>136</v>
      </c>
      <c r="D3773" s="66" t="s">
        <v>359</v>
      </c>
      <c r="E3773" t="s">
        <v>17</v>
      </c>
      <c r="F3773" s="50" t="s">
        <v>573</v>
      </c>
      <c r="G3773" s="50" t="s">
        <v>574</v>
      </c>
      <c r="H3773" s="50">
        <v>2</v>
      </c>
      <c r="I3773" s="100">
        <v>6.7391919697301583</v>
      </c>
      <c r="J3773" s="52">
        <v>3834.68</v>
      </c>
      <c r="K3773" s="67">
        <f t="shared" si="236"/>
        <v>119677.28743196731</v>
      </c>
      <c r="L3773" s="95">
        <f>+VLOOKUP(E3773,MARGEN!A:B,2,FALSE)</f>
        <v>0.1</v>
      </c>
      <c r="M3773" s="112">
        <f t="shared" si="233"/>
        <v>11967.728743196732</v>
      </c>
      <c r="N3773" s="113">
        <f t="shared" si="234"/>
        <v>478.70914972786926</v>
      </c>
      <c r="O3773" s="113">
        <f t="shared" si="235"/>
        <v>107230.84953904271</v>
      </c>
    </row>
    <row r="3774" spans="1:15" x14ac:dyDescent="0.25">
      <c r="A3774" s="43">
        <v>44468</v>
      </c>
      <c r="B3774" s="51">
        <v>4271</v>
      </c>
      <c r="C3774" s="66" t="s">
        <v>193</v>
      </c>
      <c r="D3774" s="66" t="s">
        <v>380</v>
      </c>
      <c r="E3774" t="s">
        <v>17</v>
      </c>
      <c r="F3774" s="50" t="s">
        <v>573</v>
      </c>
      <c r="G3774" s="50" t="s">
        <v>574</v>
      </c>
      <c r="H3774" s="50">
        <v>2</v>
      </c>
      <c r="I3774" s="100">
        <v>6.7391919697301583</v>
      </c>
      <c r="J3774" s="52">
        <v>3834.68</v>
      </c>
      <c r="K3774" s="67">
        <f t="shared" si="236"/>
        <v>110373.93535347277</v>
      </c>
      <c r="L3774" s="95">
        <f>+VLOOKUP(E3774,MARGEN!A:B,2,FALSE)</f>
        <v>0.1</v>
      </c>
      <c r="M3774" s="112">
        <f t="shared" si="233"/>
        <v>11037.393535347277</v>
      </c>
      <c r="N3774" s="113">
        <f t="shared" si="234"/>
        <v>441.4957414138911</v>
      </c>
      <c r="O3774" s="113">
        <f t="shared" si="235"/>
        <v>98895.046076711602</v>
      </c>
    </row>
    <row r="3775" spans="1:15" x14ac:dyDescent="0.25">
      <c r="A3775" s="43">
        <v>44468</v>
      </c>
      <c r="B3775" s="51">
        <v>3959</v>
      </c>
      <c r="C3775" s="66" t="s">
        <v>301</v>
      </c>
      <c r="D3775" s="66" t="s">
        <v>521</v>
      </c>
      <c r="E3775" t="s">
        <v>17</v>
      </c>
      <c r="F3775" s="50" t="s">
        <v>558</v>
      </c>
      <c r="G3775" s="50" t="s">
        <v>574</v>
      </c>
      <c r="H3775" s="50">
        <v>2</v>
      </c>
      <c r="I3775" s="100">
        <v>6.7391919697301583</v>
      </c>
      <c r="J3775" s="52">
        <v>3834.68</v>
      </c>
      <c r="K3775" s="67">
        <f t="shared" si="236"/>
        <v>102311.03021877749</v>
      </c>
      <c r="L3775" s="95">
        <f>+VLOOKUP(E3775,MARGEN!A:B,2,FALSE)</f>
        <v>0.1</v>
      </c>
      <c r="M3775" s="112">
        <f t="shared" si="233"/>
        <v>10231.103021877751</v>
      </c>
      <c r="N3775" s="113">
        <f t="shared" si="234"/>
        <v>409.24412087510996</v>
      </c>
      <c r="O3775" s="113">
        <f t="shared" si="235"/>
        <v>91670.683076024638</v>
      </c>
    </row>
    <row r="3776" spans="1:15" x14ac:dyDescent="0.25">
      <c r="A3776" s="43">
        <v>44468</v>
      </c>
      <c r="B3776" s="51">
        <v>3791</v>
      </c>
      <c r="C3776" s="66" t="s">
        <v>144</v>
      </c>
      <c r="D3776" s="66" t="s">
        <v>343</v>
      </c>
      <c r="E3776" t="s">
        <v>17</v>
      </c>
      <c r="F3776" s="50" t="s">
        <v>573</v>
      </c>
      <c r="G3776" s="50" t="s">
        <v>574</v>
      </c>
      <c r="H3776" s="50">
        <v>2</v>
      </c>
      <c r="I3776" s="100">
        <v>6.7391919697301583</v>
      </c>
      <c r="J3776" s="52">
        <v>3834.68</v>
      </c>
      <c r="K3776" s="67">
        <f t="shared" si="236"/>
        <v>97969.465915480032</v>
      </c>
      <c r="L3776" s="95">
        <f>+VLOOKUP(E3776,MARGEN!A:B,2,FALSE)</f>
        <v>0.1</v>
      </c>
      <c r="M3776" s="112">
        <f t="shared" si="233"/>
        <v>9796.9465915480032</v>
      </c>
      <c r="N3776" s="113">
        <f t="shared" si="234"/>
        <v>391.87786366192012</v>
      </c>
      <c r="O3776" s="113">
        <f t="shared" si="235"/>
        <v>87780.641460270112</v>
      </c>
    </row>
    <row r="3777" spans="1:15" x14ac:dyDescent="0.25">
      <c r="A3777" s="43">
        <v>44468</v>
      </c>
      <c r="B3777" s="51">
        <v>3623</v>
      </c>
      <c r="C3777" s="66" t="s">
        <v>149</v>
      </c>
      <c r="D3777" s="66" t="s">
        <v>325</v>
      </c>
      <c r="E3777" t="s">
        <v>17</v>
      </c>
      <c r="F3777" s="50" t="s">
        <v>573</v>
      </c>
      <c r="G3777" s="50" t="s">
        <v>574</v>
      </c>
      <c r="H3777" s="50">
        <v>2</v>
      </c>
      <c r="I3777" s="100">
        <v>6.7391919697301583</v>
      </c>
      <c r="J3777" s="52">
        <v>3834.68</v>
      </c>
      <c r="K3777" s="67">
        <f t="shared" si="236"/>
        <v>93627.901612182584</v>
      </c>
      <c r="L3777" s="95">
        <f>+VLOOKUP(E3777,MARGEN!A:B,2,FALSE)</f>
        <v>0.1</v>
      </c>
      <c r="M3777" s="112">
        <f t="shared" si="233"/>
        <v>9362.7901612182595</v>
      </c>
      <c r="N3777" s="113">
        <f t="shared" si="234"/>
        <v>374.51160644873033</v>
      </c>
      <c r="O3777" s="113">
        <f t="shared" si="235"/>
        <v>83890.599844515586</v>
      </c>
    </row>
    <row r="3778" spans="1:15" x14ac:dyDescent="0.25">
      <c r="A3778" s="43">
        <v>44468</v>
      </c>
      <c r="B3778" s="51">
        <v>3599</v>
      </c>
      <c r="C3778" s="66" t="s">
        <v>192</v>
      </c>
      <c r="D3778" s="66" t="s">
        <v>347</v>
      </c>
      <c r="E3778" t="s">
        <v>17</v>
      </c>
      <c r="F3778" s="50" t="s">
        <v>573</v>
      </c>
      <c r="G3778" s="50" t="s">
        <v>574</v>
      </c>
      <c r="H3778" s="50">
        <v>2</v>
      </c>
      <c r="I3778" s="100">
        <v>6.7391919697301583</v>
      </c>
      <c r="J3778" s="52">
        <v>3834.68</v>
      </c>
      <c r="K3778" s="67">
        <f t="shared" si="236"/>
        <v>93007.678140282951</v>
      </c>
      <c r="L3778" s="95">
        <f>+VLOOKUP(E3778,MARGEN!A:B,2,FALSE)</f>
        <v>0.1</v>
      </c>
      <c r="M3778" s="112">
        <f t="shared" si="233"/>
        <v>9300.7678140282951</v>
      </c>
      <c r="N3778" s="113">
        <f t="shared" si="234"/>
        <v>372.03071256113179</v>
      </c>
      <c r="O3778" s="113">
        <f t="shared" si="235"/>
        <v>83334.879613693527</v>
      </c>
    </row>
    <row r="3779" spans="1:15" x14ac:dyDescent="0.25">
      <c r="A3779" s="43">
        <v>44468</v>
      </c>
      <c r="B3779" s="51">
        <v>3479</v>
      </c>
      <c r="C3779" s="66" t="s">
        <v>165</v>
      </c>
      <c r="D3779" s="66" t="s">
        <v>375</v>
      </c>
      <c r="E3779" t="s">
        <v>17</v>
      </c>
      <c r="F3779" s="50" t="s">
        <v>573</v>
      </c>
      <c r="G3779" s="50" t="s">
        <v>574</v>
      </c>
      <c r="H3779" s="50">
        <v>2</v>
      </c>
      <c r="I3779" s="100">
        <v>6.7391919697301583</v>
      </c>
      <c r="J3779" s="52">
        <v>3834.68</v>
      </c>
      <c r="K3779" s="67">
        <f t="shared" si="236"/>
        <v>89906.56078078477</v>
      </c>
      <c r="L3779" s="95">
        <f>+VLOOKUP(E3779,MARGEN!A:B,2,FALSE)</f>
        <v>0.1</v>
      </c>
      <c r="M3779" s="112">
        <f t="shared" ref="M3779:M3842" si="237">+K3779*L3779</f>
        <v>8990.6560780784766</v>
      </c>
      <c r="N3779" s="113">
        <f t="shared" ref="N3779:N3842" si="238">+K3779*4/1000</f>
        <v>359.62624312313909</v>
      </c>
      <c r="O3779" s="113">
        <f t="shared" ref="O3779:O3842" si="239">+K3779-M3779-N3779</f>
        <v>80556.278459583147</v>
      </c>
    </row>
    <row r="3780" spans="1:15" x14ac:dyDescent="0.25">
      <c r="A3780" s="43">
        <v>44468</v>
      </c>
      <c r="B3780" s="51">
        <v>3383</v>
      </c>
      <c r="C3780" s="66" t="s">
        <v>135</v>
      </c>
      <c r="D3780" s="66" t="s">
        <v>533</v>
      </c>
      <c r="E3780" t="s">
        <v>17</v>
      </c>
      <c r="F3780" s="50" t="s">
        <v>573</v>
      </c>
      <c r="G3780" s="50" t="s">
        <v>574</v>
      </c>
      <c r="H3780" s="50">
        <v>2</v>
      </c>
      <c r="I3780" s="100">
        <v>6.7391919697301583</v>
      </c>
      <c r="J3780" s="52">
        <v>3834.68</v>
      </c>
      <c r="K3780" s="67">
        <f t="shared" si="236"/>
        <v>87425.666893186222</v>
      </c>
      <c r="L3780" s="95">
        <f>+VLOOKUP(E3780,MARGEN!A:B,2,FALSE)</f>
        <v>0.1</v>
      </c>
      <c r="M3780" s="112">
        <f t="shared" si="237"/>
        <v>8742.5666893186226</v>
      </c>
      <c r="N3780" s="113">
        <f t="shared" si="238"/>
        <v>349.70266757274487</v>
      </c>
      <c r="O3780" s="113">
        <f t="shared" si="239"/>
        <v>78333.397536294855</v>
      </c>
    </row>
    <row r="3781" spans="1:15" x14ac:dyDescent="0.25">
      <c r="A3781" s="43">
        <v>44468</v>
      </c>
      <c r="B3781" s="51">
        <v>3359</v>
      </c>
      <c r="C3781" s="66" t="s">
        <v>309</v>
      </c>
      <c r="D3781" s="66" t="s">
        <v>544</v>
      </c>
      <c r="E3781" t="s">
        <v>17</v>
      </c>
      <c r="F3781" s="50" t="s">
        <v>573</v>
      </c>
      <c r="G3781" s="50" t="s">
        <v>574</v>
      </c>
      <c r="H3781" s="50">
        <v>2</v>
      </c>
      <c r="I3781" s="100">
        <v>6.7391919697301583</v>
      </c>
      <c r="J3781" s="52">
        <v>3834.68</v>
      </c>
      <c r="K3781" s="67">
        <f t="shared" si="236"/>
        <v>86805.443421286589</v>
      </c>
      <c r="L3781" s="95">
        <f>+VLOOKUP(E3781,MARGEN!A:B,2,FALSE)</f>
        <v>0.1</v>
      </c>
      <c r="M3781" s="112">
        <f t="shared" si="237"/>
        <v>8680.54434212866</v>
      </c>
      <c r="N3781" s="113">
        <f t="shared" si="238"/>
        <v>347.22177368514633</v>
      </c>
      <c r="O3781" s="113">
        <f t="shared" si="239"/>
        <v>77777.677305472782</v>
      </c>
    </row>
    <row r="3782" spans="1:15" x14ac:dyDescent="0.25">
      <c r="A3782" s="43">
        <v>44468</v>
      </c>
      <c r="B3782" s="51">
        <v>2903</v>
      </c>
      <c r="C3782" s="66" t="s">
        <v>134</v>
      </c>
      <c r="D3782" s="66" t="s">
        <v>362</v>
      </c>
      <c r="E3782" t="s">
        <v>17</v>
      </c>
      <c r="F3782" s="50" t="s">
        <v>573</v>
      </c>
      <c r="G3782" s="50" t="s">
        <v>574</v>
      </c>
      <c r="H3782" s="50">
        <v>2</v>
      </c>
      <c r="I3782" s="100">
        <v>6.7391919697301583</v>
      </c>
      <c r="J3782" s="52">
        <v>3834.68</v>
      </c>
      <c r="K3782" s="67">
        <f t="shared" si="236"/>
        <v>75021.197455193484</v>
      </c>
      <c r="L3782" s="95">
        <f>+VLOOKUP(E3782,MARGEN!A:B,2,FALSE)</f>
        <v>0.1</v>
      </c>
      <c r="M3782" s="112">
        <f t="shared" si="237"/>
        <v>7502.1197455193487</v>
      </c>
      <c r="N3782" s="113">
        <f t="shared" si="238"/>
        <v>300.08478982077395</v>
      </c>
      <c r="O3782" s="113">
        <f t="shared" si="239"/>
        <v>67218.992919853365</v>
      </c>
    </row>
    <row r="3783" spans="1:15" x14ac:dyDescent="0.25">
      <c r="A3783" s="43">
        <v>44468</v>
      </c>
      <c r="B3783" s="51">
        <v>2783</v>
      </c>
      <c r="C3783" s="66" t="s">
        <v>131</v>
      </c>
      <c r="D3783" s="66" t="s">
        <v>344</v>
      </c>
      <c r="E3783" t="s">
        <v>17</v>
      </c>
      <c r="F3783" s="50" t="s">
        <v>573</v>
      </c>
      <c r="G3783" s="50" t="s">
        <v>574</v>
      </c>
      <c r="H3783" s="50">
        <v>2</v>
      </c>
      <c r="I3783" s="100">
        <v>6.7391919697301583</v>
      </c>
      <c r="J3783" s="52">
        <v>3834.68</v>
      </c>
      <c r="K3783" s="67">
        <f t="shared" si="236"/>
        <v>71920.080095695317</v>
      </c>
      <c r="L3783" s="95">
        <f>+VLOOKUP(E3783,MARGEN!A:B,2,FALSE)</f>
        <v>0.1</v>
      </c>
      <c r="M3783" s="112">
        <f t="shared" si="237"/>
        <v>7192.0080095695321</v>
      </c>
      <c r="N3783" s="113">
        <f t="shared" si="238"/>
        <v>287.68032038278125</v>
      </c>
      <c r="O3783" s="113">
        <f t="shared" si="239"/>
        <v>64440.391765743007</v>
      </c>
    </row>
    <row r="3784" spans="1:15" x14ac:dyDescent="0.25">
      <c r="A3784" s="43">
        <v>44468</v>
      </c>
      <c r="B3784" s="51">
        <v>2711</v>
      </c>
      <c r="C3784" s="66" t="s">
        <v>132</v>
      </c>
      <c r="D3784" s="66" t="s">
        <v>376</v>
      </c>
      <c r="E3784" t="s">
        <v>17</v>
      </c>
      <c r="F3784" s="50" t="s">
        <v>573</v>
      </c>
      <c r="G3784" s="50" t="s">
        <v>574</v>
      </c>
      <c r="H3784" s="50">
        <v>2</v>
      </c>
      <c r="I3784" s="100">
        <v>6.7391919697301583</v>
      </c>
      <c r="J3784" s="52">
        <v>3834.68</v>
      </c>
      <c r="K3784" s="67">
        <f t="shared" si="236"/>
        <v>70059.409679996417</v>
      </c>
      <c r="L3784" s="95">
        <f>+VLOOKUP(E3784,MARGEN!A:B,2,FALSE)</f>
        <v>0.1</v>
      </c>
      <c r="M3784" s="112">
        <f t="shared" si="237"/>
        <v>7005.9409679996425</v>
      </c>
      <c r="N3784" s="113">
        <f t="shared" si="238"/>
        <v>280.23763871998568</v>
      </c>
      <c r="O3784" s="113">
        <f t="shared" si="239"/>
        <v>62773.231073276787</v>
      </c>
    </row>
    <row r="3785" spans="1:15" x14ac:dyDescent="0.25">
      <c r="A3785" s="43">
        <v>44468</v>
      </c>
      <c r="B3785" s="51">
        <v>2663</v>
      </c>
      <c r="C3785" s="66" t="s">
        <v>186</v>
      </c>
      <c r="D3785" s="66" t="s">
        <v>440</v>
      </c>
      <c r="E3785" t="s">
        <v>17</v>
      </c>
      <c r="F3785" s="50" t="s">
        <v>573</v>
      </c>
      <c r="G3785" s="50" t="s">
        <v>574</v>
      </c>
      <c r="H3785" s="50">
        <v>2</v>
      </c>
      <c r="I3785" s="100">
        <v>6.7391919697301583</v>
      </c>
      <c r="J3785" s="52">
        <v>3834.68</v>
      </c>
      <c r="K3785" s="67">
        <f t="shared" ref="K3785:K3848" si="240">+B3785*I3785*J3785/1000</f>
        <v>68818.962736197136</v>
      </c>
      <c r="L3785" s="95">
        <f>+VLOOKUP(E3785,MARGEN!A:B,2,FALSE)</f>
        <v>0.1</v>
      </c>
      <c r="M3785" s="112">
        <f t="shared" si="237"/>
        <v>6881.8962736197136</v>
      </c>
      <c r="N3785" s="113">
        <f t="shared" si="238"/>
        <v>275.27585094478854</v>
      </c>
      <c r="O3785" s="113">
        <f t="shared" si="239"/>
        <v>61661.790611632634</v>
      </c>
    </row>
    <row r="3786" spans="1:15" x14ac:dyDescent="0.25">
      <c r="A3786" s="43">
        <v>44468</v>
      </c>
      <c r="B3786" s="51">
        <v>2567</v>
      </c>
      <c r="C3786" s="66" t="s">
        <v>310</v>
      </c>
      <c r="D3786" s="66" t="s">
        <v>540</v>
      </c>
      <c r="E3786" t="s">
        <v>17</v>
      </c>
      <c r="F3786" s="50" t="s">
        <v>573</v>
      </c>
      <c r="G3786" s="50" t="s">
        <v>574</v>
      </c>
      <c r="H3786" s="50">
        <v>2</v>
      </c>
      <c r="I3786" s="100">
        <v>6.7391919697301583</v>
      </c>
      <c r="J3786" s="52">
        <v>3834.68</v>
      </c>
      <c r="K3786" s="67">
        <f t="shared" si="240"/>
        <v>66338.068848598588</v>
      </c>
      <c r="L3786" s="95">
        <f>+VLOOKUP(E3786,MARGEN!A:B,2,FALSE)</f>
        <v>0.1</v>
      </c>
      <c r="M3786" s="112">
        <f t="shared" si="237"/>
        <v>6633.8068848598596</v>
      </c>
      <c r="N3786" s="113">
        <f t="shared" si="238"/>
        <v>265.35227539439433</v>
      </c>
      <c r="O3786" s="113">
        <f t="shared" si="239"/>
        <v>59438.909688344334</v>
      </c>
    </row>
    <row r="3787" spans="1:15" x14ac:dyDescent="0.25">
      <c r="A3787" s="43">
        <v>44468</v>
      </c>
      <c r="B3787" s="51">
        <v>2519</v>
      </c>
      <c r="C3787" s="66" t="s">
        <v>127</v>
      </c>
      <c r="D3787" s="66" t="s">
        <v>411</v>
      </c>
      <c r="E3787" t="s">
        <v>17</v>
      </c>
      <c r="F3787" s="50" t="s">
        <v>573</v>
      </c>
      <c r="G3787" s="50" t="s">
        <v>574</v>
      </c>
      <c r="H3787" s="50">
        <v>2</v>
      </c>
      <c r="I3787" s="100">
        <v>6.7391919697301583</v>
      </c>
      <c r="J3787" s="52">
        <v>3834.68</v>
      </c>
      <c r="K3787" s="67">
        <f t="shared" si="240"/>
        <v>65097.621904799322</v>
      </c>
      <c r="L3787" s="95">
        <f>+VLOOKUP(E3787,MARGEN!A:B,2,FALSE)</f>
        <v>0.1</v>
      </c>
      <c r="M3787" s="112">
        <f t="shared" si="237"/>
        <v>6509.7621904799325</v>
      </c>
      <c r="N3787" s="113">
        <f t="shared" si="238"/>
        <v>260.3904876191973</v>
      </c>
      <c r="O3787" s="113">
        <f t="shared" si="239"/>
        <v>58327.469226700196</v>
      </c>
    </row>
    <row r="3788" spans="1:15" x14ac:dyDescent="0.25">
      <c r="A3788" s="43">
        <v>44468</v>
      </c>
      <c r="B3788" s="51">
        <v>2519</v>
      </c>
      <c r="C3788" s="66" t="s">
        <v>146</v>
      </c>
      <c r="D3788" s="66" t="s">
        <v>348</v>
      </c>
      <c r="E3788" t="s">
        <v>17</v>
      </c>
      <c r="F3788" s="50" t="s">
        <v>573</v>
      </c>
      <c r="G3788" s="50" t="s">
        <v>574</v>
      </c>
      <c r="H3788" s="50">
        <v>2</v>
      </c>
      <c r="I3788" s="100">
        <v>6.7391919697301583</v>
      </c>
      <c r="J3788" s="52">
        <v>3834.68</v>
      </c>
      <c r="K3788" s="67">
        <f t="shared" si="240"/>
        <v>65097.621904799322</v>
      </c>
      <c r="L3788" s="95">
        <f>+VLOOKUP(E3788,MARGEN!A:B,2,FALSE)</f>
        <v>0.1</v>
      </c>
      <c r="M3788" s="112">
        <f t="shared" si="237"/>
        <v>6509.7621904799325</v>
      </c>
      <c r="N3788" s="113">
        <f t="shared" si="238"/>
        <v>260.3904876191973</v>
      </c>
      <c r="O3788" s="113">
        <f t="shared" si="239"/>
        <v>58327.469226700196</v>
      </c>
    </row>
    <row r="3789" spans="1:15" x14ac:dyDescent="0.25">
      <c r="A3789" s="43">
        <v>44468</v>
      </c>
      <c r="B3789" s="51">
        <v>2447</v>
      </c>
      <c r="C3789" s="66" t="s">
        <v>162</v>
      </c>
      <c r="D3789" s="66" t="s">
        <v>391</v>
      </c>
      <c r="E3789" t="s">
        <v>17</v>
      </c>
      <c r="F3789" s="50" t="s">
        <v>558</v>
      </c>
      <c r="G3789" s="50" t="s">
        <v>574</v>
      </c>
      <c r="H3789" s="50">
        <v>2</v>
      </c>
      <c r="I3789" s="100">
        <v>6.7391919697301583</v>
      </c>
      <c r="J3789" s="52">
        <v>3834.68</v>
      </c>
      <c r="K3789" s="67">
        <f t="shared" si="240"/>
        <v>63236.951489100415</v>
      </c>
      <c r="L3789" s="95">
        <f>+VLOOKUP(E3789,MARGEN!A:B,2,FALSE)</f>
        <v>0.1</v>
      </c>
      <c r="M3789" s="112">
        <f t="shared" si="237"/>
        <v>6323.695148910042</v>
      </c>
      <c r="N3789" s="113">
        <f t="shared" si="238"/>
        <v>252.94780595640165</v>
      </c>
      <c r="O3789" s="113">
        <f t="shared" si="239"/>
        <v>56660.308534233976</v>
      </c>
    </row>
    <row r="3790" spans="1:15" x14ac:dyDescent="0.25">
      <c r="A3790" s="43">
        <v>44468</v>
      </c>
      <c r="B3790" s="51">
        <v>2423</v>
      </c>
      <c r="C3790" s="66" t="s">
        <v>281</v>
      </c>
      <c r="D3790" s="66" t="s">
        <v>495</v>
      </c>
      <c r="E3790" t="s">
        <v>17</v>
      </c>
      <c r="F3790" s="50" t="s">
        <v>573</v>
      </c>
      <c r="G3790" s="50" t="s">
        <v>574</v>
      </c>
      <c r="H3790" s="50">
        <v>2</v>
      </c>
      <c r="I3790" s="100">
        <v>6.7391919697301583</v>
      </c>
      <c r="J3790" s="52">
        <v>3834.68</v>
      </c>
      <c r="K3790" s="67">
        <f t="shared" si="240"/>
        <v>62616.728017200774</v>
      </c>
      <c r="L3790" s="95">
        <f>+VLOOKUP(E3790,MARGEN!A:B,2,FALSE)</f>
        <v>0.1</v>
      </c>
      <c r="M3790" s="112">
        <f t="shared" si="237"/>
        <v>6261.6728017200776</v>
      </c>
      <c r="N3790" s="113">
        <f t="shared" si="238"/>
        <v>250.46691206880308</v>
      </c>
      <c r="O3790" s="113">
        <f t="shared" si="239"/>
        <v>56104.588303411889</v>
      </c>
    </row>
    <row r="3791" spans="1:15" x14ac:dyDescent="0.25">
      <c r="A3791" s="43">
        <v>44468</v>
      </c>
      <c r="B3791" s="51">
        <v>2399</v>
      </c>
      <c r="C3791" s="66" t="s">
        <v>163</v>
      </c>
      <c r="D3791" s="66" t="s">
        <v>398</v>
      </c>
      <c r="E3791" t="s">
        <v>17</v>
      </c>
      <c r="F3791" s="50" t="s">
        <v>573</v>
      </c>
      <c r="G3791" s="50" t="s">
        <v>574</v>
      </c>
      <c r="H3791" s="50">
        <v>2</v>
      </c>
      <c r="I3791" s="100">
        <v>6.7391919697301583</v>
      </c>
      <c r="J3791" s="52">
        <v>3834.68</v>
      </c>
      <c r="K3791" s="67">
        <f t="shared" si="240"/>
        <v>61996.504545301133</v>
      </c>
      <c r="L3791" s="95">
        <f>+VLOOKUP(E3791,MARGEN!A:B,2,FALSE)</f>
        <v>0.1</v>
      </c>
      <c r="M3791" s="112">
        <f t="shared" si="237"/>
        <v>6199.6504545301141</v>
      </c>
      <c r="N3791" s="113">
        <f t="shared" si="238"/>
        <v>247.98601818120454</v>
      </c>
      <c r="O3791" s="113">
        <f t="shared" si="239"/>
        <v>55548.868072589816</v>
      </c>
    </row>
    <row r="3792" spans="1:15" x14ac:dyDescent="0.25">
      <c r="A3792" s="43">
        <v>44468</v>
      </c>
      <c r="B3792" s="51">
        <v>2327</v>
      </c>
      <c r="C3792" s="66" t="s">
        <v>283</v>
      </c>
      <c r="D3792" s="66" t="s">
        <v>543</v>
      </c>
      <c r="E3792" t="s">
        <v>17</v>
      </c>
      <c r="F3792" s="50" t="s">
        <v>573</v>
      </c>
      <c r="G3792" s="50" t="s">
        <v>574</v>
      </c>
      <c r="H3792" s="50">
        <v>2</v>
      </c>
      <c r="I3792" s="100">
        <v>6.7391919697301583</v>
      </c>
      <c r="J3792" s="52">
        <v>3834.68</v>
      </c>
      <c r="K3792" s="67">
        <f t="shared" si="240"/>
        <v>60135.834129602234</v>
      </c>
      <c r="L3792" s="95">
        <f>+VLOOKUP(E3792,MARGEN!A:B,2,FALSE)</f>
        <v>0.1</v>
      </c>
      <c r="M3792" s="112">
        <f t="shared" si="237"/>
        <v>6013.5834129602235</v>
      </c>
      <c r="N3792" s="113">
        <f t="shared" si="238"/>
        <v>240.54333651840892</v>
      </c>
      <c r="O3792" s="113">
        <f t="shared" si="239"/>
        <v>53881.707380123604</v>
      </c>
    </row>
    <row r="3793" spans="1:15" x14ac:dyDescent="0.25">
      <c r="A3793" s="43">
        <v>44468</v>
      </c>
      <c r="B3793" s="51">
        <v>2327</v>
      </c>
      <c r="C3793" s="66" t="s">
        <v>156</v>
      </c>
      <c r="D3793" s="66" t="s">
        <v>429</v>
      </c>
      <c r="E3793" t="s">
        <v>17</v>
      </c>
      <c r="F3793" s="50" t="s">
        <v>573</v>
      </c>
      <c r="G3793" s="50" t="s">
        <v>574</v>
      </c>
      <c r="H3793" s="50">
        <v>2</v>
      </c>
      <c r="I3793" s="100">
        <v>6.7391919697301583</v>
      </c>
      <c r="J3793" s="52">
        <v>3834.68</v>
      </c>
      <c r="K3793" s="67">
        <f t="shared" si="240"/>
        <v>60135.834129602234</v>
      </c>
      <c r="L3793" s="95">
        <f>+VLOOKUP(E3793,MARGEN!A:B,2,FALSE)</f>
        <v>0.1</v>
      </c>
      <c r="M3793" s="112">
        <f t="shared" si="237"/>
        <v>6013.5834129602235</v>
      </c>
      <c r="N3793" s="113">
        <f t="shared" si="238"/>
        <v>240.54333651840892</v>
      </c>
      <c r="O3793" s="113">
        <f t="shared" si="239"/>
        <v>53881.707380123604</v>
      </c>
    </row>
    <row r="3794" spans="1:15" x14ac:dyDescent="0.25">
      <c r="A3794" s="43">
        <v>44468</v>
      </c>
      <c r="B3794" s="51">
        <v>2303</v>
      </c>
      <c r="C3794" s="66" t="s">
        <v>130</v>
      </c>
      <c r="D3794" s="66" t="s">
        <v>367</v>
      </c>
      <c r="E3794" t="s">
        <v>17</v>
      </c>
      <c r="F3794" s="50" t="s">
        <v>573</v>
      </c>
      <c r="G3794" s="50" t="s">
        <v>574</v>
      </c>
      <c r="H3794" s="50">
        <v>2</v>
      </c>
      <c r="I3794" s="100">
        <v>6.7391919697301583</v>
      </c>
      <c r="J3794" s="52">
        <v>3834.68</v>
      </c>
      <c r="K3794" s="67">
        <f t="shared" si="240"/>
        <v>59515.610657702593</v>
      </c>
      <c r="L3794" s="95">
        <f>+VLOOKUP(E3794,MARGEN!A:B,2,FALSE)</f>
        <v>0.1</v>
      </c>
      <c r="M3794" s="112">
        <f t="shared" si="237"/>
        <v>5951.56106577026</v>
      </c>
      <c r="N3794" s="113">
        <f t="shared" si="238"/>
        <v>238.06244263081038</v>
      </c>
      <c r="O3794" s="113">
        <f t="shared" si="239"/>
        <v>53325.987149301516</v>
      </c>
    </row>
    <row r="3795" spans="1:15" x14ac:dyDescent="0.25">
      <c r="A3795" s="43">
        <v>44468</v>
      </c>
      <c r="B3795" s="51">
        <v>2303</v>
      </c>
      <c r="C3795" s="66" t="s">
        <v>128</v>
      </c>
      <c r="D3795" s="66" t="s">
        <v>416</v>
      </c>
      <c r="E3795" t="s">
        <v>17</v>
      </c>
      <c r="F3795" s="50" t="s">
        <v>573</v>
      </c>
      <c r="G3795" s="50" t="s">
        <v>574</v>
      </c>
      <c r="H3795" s="50">
        <v>2</v>
      </c>
      <c r="I3795" s="100">
        <v>6.7391919697301583</v>
      </c>
      <c r="J3795" s="52">
        <v>3834.68</v>
      </c>
      <c r="K3795" s="67">
        <f t="shared" si="240"/>
        <v>59515.610657702593</v>
      </c>
      <c r="L3795" s="95">
        <f>+VLOOKUP(E3795,MARGEN!A:B,2,FALSE)</f>
        <v>0.1</v>
      </c>
      <c r="M3795" s="112">
        <f t="shared" si="237"/>
        <v>5951.56106577026</v>
      </c>
      <c r="N3795" s="113">
        <f t="shared" si="238"/>
        <v>238.06244263081038</v>
      </c>
      <c r="O3795" s="113">
        <f t="shared" si="239"/>
        <v>53325.987149301516</v>
      </c>
    </row>
    <row r="3796" spans="1:15" x14ac:dyDescent="0.25">
      <c r="A3796" s="43">
        <v>44468</v>
      </c>
      <c r="B3796" s="51">
        <v>2279</v>
      </c>
      <c r="C3796" s="66" t="s">
        <v>122</v>
      </c>
      <c r="D3796" s="66" t="s">
        <v>446</v>
      </c>
      <c r="E3796" t="s">
        <v>17</v>
      </c>
      <c r="F3796" s="50" t="s">
        <v>573</v>
      </c>
      <c r="G3796" s="50" t="s">
        <v>574</v>
      </c>
      <c r="H3796" s="50">
        <v>2</v>
      </c>
      <c r="I3796" s="100">
        <v>6.7391919697301583</v>
      </c>
      <c r="J3796" s="52">
        <v>3834.68</v>
      </c>
      <c r="K3796" s="67">
        <f t="shared" si="240"/>
        <v>58895.387185802952</v>
      </c>
      <c r="L3796" s="95">
        <f>+VLOOKUP(E3796,MARGEN!A:B,2,FALSE)</f>
        <v>0.1</v>
      </c>
      <c r="M3796" s="112">
        <f t="shared" si="237"/>
        <v>5889.5387185802956</v>
      </c>
      <c r="N3796" s="113">
        <f t="shared" si="238"/>
        <v>235.58154874321181</v>
      </c>
      <c r="O3796" s="113">
        <f t="shared" si="239"/>
        <v>52770.266918479443</v>
      </c>
    </row>
    <row r="3797" spans="1:15" x14ac:dyDescent="0.25">
      <c r="A3797" s="43">
        <v>44468</v>
      </c>
      <c r="B3797" s="51">
        <v>2255</v>
      </c>
      <c r="C3797" s="66" t="s">
        <v>305</v>
      </c>
      <c r="D3797" s="66" t="s">
        <v>523</v>
      </c>
      <c r="E3797" t="s">
        <v>17</v>
      </c>
      <c r="F3797" s="50" t="s">
        <v>558</v>
      </c>
      <c r="G3797" s="50" t="s">
        <v>574</v>
      </c>
      <c r="H3797" s="50">
        <v>2</v>
      </c>
      <c r="I3797" s="100">
        <v>6.7391919697301583</v>
      </c>
      <c r="J3797" s="52">
        <v>3834.68</v>
      </c>
      <c r="K3797" s="67">
        <f t="shared" si="240"/>
        <v>58275.163713903326</v>
      </c>
      <c r="L3797" s="95">
        <f>+VLOOKUP(E3797,MARGEN!A:B,2,FALSE)</f>
        <v>0.1</v>
      </c>
      <c r="M3797" s="112">
        <f t="shared" si="237"/>
        <v>5827.516371390333</v>
      </c>
      <c r="N3797" s="113">
        <f t="shared" si="238"/>
        <v>233.1006548556133</v>
      </c>
      <c r="O3797" s="113">
        <f t="shared" si="239"/>
        <v>52214.546687657385</v>
      </c>
    </row>
    <row r="3798" spans="1:15" x14ac:dyDescent="0.25">
      <c r="A3798" s="43">
        <v>44468</v>
      </c>
      <c r="B3798" s="51">
        <v>2231</v>
      </c>
      <c r="C3798" s="66" t="s">
        <v>157</v>
      </c>
      <c r="D3798" s="66" t="s">
        <v>435</v>
      </c>
      <c r="E3798" t="s">
        <v>17</v>
      </c>
      <c r="F3798" s="50" t="s">
        <v>573</v>
      </c>
      <c r="G3798" s="50" t="s">
        <v>574</v>
      </c>
      <c r="H3798" s="50">
        <v>2</v>
      </c>
      <c r="I3798" s="100">
        <v>6.7391919697301583</v>
      </c>
      <c r="J3798" s="52">
        <v>3834.68</v>
      </c>
      <c r="K3798" s="67">
        <f t="shared" si="240"/>
        <v>57654.940242003679</v>
      </c>
      <c r="L3798" s="95">
        <f>+VLOOKUP(E3798,MARGEN!A:B,2,FALSE)</f>
        <v>0.1</v>
      </c>
      <c r="M3798" s="112">
        <f t="shared" si="237"/>
        <v>5765.4940242003686</v>
      </c>
      <c r="N3798" s="113">
        <f t="shared" si="238"/>
        <v>230.6197609680147</v>
      </c>
      <c r="O3798" s="113">
        <f t="shared" si="239"/>
        <v>51658.826456835297</v>
      </c>
    </row>
    <row r="3799" spans="1:15" x14ac:dyDescent="0.25">
      <c r="A3799" s="43">
        <v>44468</v>
      </c>
      <c r="B3799" s="51">
        <v>2231</v>
      </c>
      <c r="C3799" s="66" t="s">
        <v>126</v>
      </c>
      <c r="D3799" s="66" t="s">
        <v>438</v>
      </c>
      <c r="E3799" t="s">
        <v>17</v>
      </c>
      <c r="F3799" s="50" t="s">
        <v>573</v>
      </c>
      <c r="G3799" s="50" t="s">
        <v>574</v>
      </c>
      <c r="H3799" s="50">
        <v>2</v>
      </c>
      <c r="I3799" s="100">
        <v>6.7391919697301583</v>
      </c>
      <c r="J3799" s="52">
        <v>3834.68</v>
      </c>
      <c r="K3799" s="67">
        <f t="shared" si="240"/>
        <v>57654.940242003679</v>
      </c>
      <c r="L3799" s="95">
        <f>+VLOOKUP(E3799,MARGEN!A:B,2,FALSE)</f>
        <v>0.1</v>
      </c>
      <c r="M3799" s="112">
        <f t="shared" si="237"/>
        <v>5765.4940242003686</v>
      </c>
      <c r="N3799" s="113">
        <f t="shared" si="238"/>
        <v>230.6197609680147</v>
      </c>
      <c r="O3799" s="113">
        <f t="shared" si="239"/>
        <v>51658.826456835297</v>
      </c>
    </row>
    <row r="3800" spans="1:15" x14ac:dyDescent="0.25">
      <c r="A3800" s="43">
        <v>44468</v>
      </c>
      <c r="B3800" s="51">
        <v>2207</v>
      </c>
      <c r="C3800" s="66" t="s">
        <v>284</v>
      </c>
      <c r="D3800" s="66" t="s">
        <v>525</v>
      </c>
      <c r="E3800" t="s">
        <v>17</v>
      </c>
      <c r="F3800" s="50" t="s">
        <v>558</v>
      </c>
      <c r="G3800" s="50" t="s">
        <v>574</v>
      </c>
      <c r="H3800" s="50">
        <v>2</v>
      </c>
      <c r="I3800" s="100">
        <v>6.7391919697301583</v>
      </c>
      <c r="J3800" s="52">
        <v>3834.68</v>
      </c>
      <c r="K3800" s="67">
        <f t="shared" si="240"/>
        <v>57034.716770104053</v>
      </c>
      <c r="L3800" s="95">
        <f>+VLOOKUP(E3800,MARGEN!A:B,2,FALSE)</f>
        <v>0.1</v>
      </c>
      <c r="M3800" s="112">
        <f t="shared" si="237"/>
        <v>5703.471677010406</v>
      </c>
      <c r="N3800" s="113">
        <f t="shared" si="238"/>
        <v>228.13886708041622</v>
      </c>
      <c r="O3800" s="113">
        <f t="shared" si="239"/>
        <v>51103.106226013231</v>
      </c>
    </row>
    <row r="3801" spans="1:15" x14ac:dyDescent="0.25">
      <c r="A3801" s="43">
        <v>44468</v>
      </c>
      <c r="B3801" s="51">
        <v>2135</v>
      </c>
      <c r="C3801" s="66" t="s">
        <v>306</v>
      </c>
      <c r="D3801" s="66" t="s">
        <v>524</v>
      </c>
      <c r="E3801" t="s">
        <v>17</v>
      </c>
      <c r="F3801" s="50" t="s">
        <v>558</v>
      </c>
      <c r="G3801" s="50" t="s">
        <v>574</v>
      </c>
      <c r="H3801" s="50">
        <v>2</v>
      </c>
      <c r="I3801" s="100">
        <v>6.7391919697301583</v>
      </c>
      <c r="J3801" s="52">
        <v>3834.68</v>
      </c>
      <c r="K3801" s="67">
        <f t="shared" si="240"/>
        <v>55174.046354405145</v>
      </c>
      <c r="L3801" s="95">
        <f>+VLOOKUP(E3801,MARGEN!A:B,2,FALSE)</f>
        <v>0.1</v>
      </c>
      <c r="M3801" s="112">
        <f t="shared" si="237"/>
        <v>5517.4046354405145</v>
      </c>
      <c r="N3801" s="113">
        <f t="shared" si="238"/>
        <v>220.69618541762057</v>
      </c>
      <c r="O3801" s="113">
        <f t="shared" si="239"/>
        <v>49435.945533547012</v>
      </c>
    </row>
    <row r="3802" spans="1:15" x14ac:dyDescent="0.25">
      <c r="A3802" s="43">
        <v>44468</v>
      </c>
      <c r="B3802" s="51">
        <v>2135</v>
      </c>
      <c r="C3802" s="66" t="s">
        <v>282</v>
      </c>
      <c r="D3802" s="66" t="s">
        <v>494</v>
      </c>
      <c r="E3802" t="s">
        <v>17</v>
      </c>
      <c r="F3802" s="50" t="s">
        <v>573</v>
      </c>
      <c r="G3802" s="50" t="s">
        <v>574</v>
      </c>
      <c r="H3802" s="50">
        <v>2</v>
      </c>
      <c r="I3802" s="100">
        <v>6.7391919697301583</v>
      </c>
      <c r="J3802" s="52">
        <v>3834.68</v>
      </c>
      <c r="K3802" s="67">
        <f t="shared" si="240"/>
        <v>55174.046354405145</v>
      </c>
      <c r="L3802" s="95">
        <f>+VLOOKUP(E3802,MARGEN!A:B,2,FALSE)</f>
        <v>0.1</v>
      </c>
      <c r="M3802" s="112">
        <f t="shared" si="237"/>
        <v>5517.4046354405145</v>
      </c>
      <c r="N3802" s="113">
        <f t="shared" si="238"/>
        <v>220.69618541762057</v>
      </c>
      <c r="O3802" s="113">
        <f t="shared" si="239"/>
        <v>49435.945533547012</v>
      </c>
    </row>
    <row r="3803" spans="1:15" x14ac:dyDescent="0.25">
      <c r="A3803" s="43">
        <v>44468</v>
      </c>
      <c r="B3803" s="51">
        <v>2015</v>
      </c>
      <c r="C3803" s="66" t="s">
        <v>123</v>
      </c>
      <c r="D3803" s="66" t="s">
        <v>396</v>
      </c>
      <c r="E3803" t="s">
        <v>17</v>
      </c>
      <c r="F3803" s="50" t="s">
        <v>573</v>
      </c>
      <c r="G3803" s="50" t="s">
        <v>574</v>
      </c>
      <c r="H3803" s="50">
        <v>2</v>
      </c>
      <c r="I3803" s="100">
        <v>6.7391919697301583</v>
      </c>
      <c r="J3803" s="52">
        <v>3834.68</v>
      </c>
      <c r="K3803" s="67">
        <f t="shared" si="240"/>
        <v>52072.928994906957</v>
      </c>
      <c r="L3803" s="95">
        <f>+VLOOKUP(E3803,MARGEN!A:B,2,FALSE)</f>
        <v>0.1</v>
      </c>
      <c r="M3803" s="112">
        <f t="shared" si="237"/>
        <v>5207.2928994906961</v>
      </c>
      <c r="N3803" s="113">
        <f t="shared" si="238"/>
        <v>208.29171597962784</v>
      </c>
      <c r="O3803" s="113">
        <f t="shared" si="239"/>
        <v>46657.344379436632</v>
      </c>
    </row>
    <row r="3804" spans="1:15" x14ac:dyDescent="0.25">
      <c r="A3804" s="43">
        <v>44468</v>
      </c>
      <c r="B3804" s="51">
        <v>1991</v>
      </c>
      <c r="C3804" s="66" t="s">
        <v>295</v>
      </c>
      <c r="D3804" s="66" t="s">
        <v>532</v>
      </c>
      <c r="E3804" t="s">
        <v>17</v>
      </c>
      <c r="F3804" s="50" t="s">
        <v>573</v>
      </c>
      <c r="G3804" s="50" t="s">
        <v>574</v>
      </c>
      <c r="H3804" s="50">
        <v>2</v>
      </c>
      <c r="I3804" s="100">
        <v>6.7391919697301583</v>
      </c>
      <c r="J3804" s="52">
        <v>3834.68</v>
      </c>
      <c r="K3804" s="67">
        <f t="shared" si="240"/>
        <v>51452.705523007324</v>
      </c>
      <c r="L3804" s="95">
        <f>+VLOOKUP(E3804,MARGEN!A:B,2,FALSE)</f>
        <v>0.1</v>
      </c>
      <c r="M3804" s="112">
        <f t="shared" si="237"/>
        <v>5145.2705523007326</v>
      </c>
      <c r="N3804" s="113">
        <f t="shared" si="238"/>
        <v>205.8108220920293</v>
      </c>
      <c r="O3804" s="113">
        <f t="shared" si="239"/>
        <v>46101.624148614566</v>
      </c>
    </row>
    <row r="3805" spans="1:15" x14ac:dyDescent="0.25">
      <c r="A3805" s="43">
        <v>44468</v>
      </c>
      <c r="B3805" s="51">
        <v>1967</v>
      </c>
      <c r="C3805" s="66" t="s">
        <v>155</v>
      </c>
      <c r="D3805" s="66" t="s">
        <v>399</v>
      </c>
      <c r="E3805" t="s">
        <v>17</v>
      </c>
      <c r="F3805" s="50" t="s">
        <v>573</v>
      </c>
      <c r="G3805" s="50" t="s">
        <v>574</v>
      </c>
      <c r="H3805" s="50">
        <v>2</v>
      </c>
      <c r="I3805" s="100">
        <v>6.7391919697301583</v>
      </c>
      <c r="J3805" s="52">
        <v>3834.68</v>
      </c>
      <c r="K3805" s="67">
        <f t="shared" si="240"/>
        <v>50832.482051107683</v>
      </c>
      <c r="L3805" s="95">
        <f>+VLOOKUP(E3805,MARGEN!A:B,2,FALSE)</f>
        <v>0.1</v>
      </c>
      <c r="M3805" s="112">
        <f t="shared" si="237"/>
        <v>5083.248205110769</v>
      </c>
      <c r="N3805" s="113">
        <f t="shared" si="238"/>
        <v>203.32992820443073</v>
      </c>
      <c r="O3805" s="113">
        <f t="shared" si="239"/>
        <v>45545.903917792486</v>
      </c>
    </row>
    <row r="3806" spans="1:15" x14ac:dyDescent="0.25">
      <c r="A3806" s="43">
        <v>44468</v>
      </c>
      <c r="B3806" s="51">
        <v>1871</v>
      </c>
      <c r="C3806" s="66" t="s">
        <v>125</v>
      </c>
      <c r="D3806" s="66" t="s">
        <v>341</v>
      </c>
      <c r="E3806" t="s">
        <v>17</v>
      </c>
      <c r="F3806" s="50" t="s">
        <v>573</v>
      </c>
      <c r="G3806" s="50" t="s">
        <v>574</v>
      </c>
      <c r="H3806" s="50">
        <v>2</v>
      </c>
      <c r="I3806" s="100">
        <v>6.7391919697301583</v>
      </c>
      <c r="J3806" s="52">
        <v>3834.68</v>
      </c>
      <c r="K3806" s="67">
        <f t="shared" si="240"/>
        <v>48351.588163509143</v>
      </c>
      <c r="L3806" s="95">
        <f>+VLOOKUP(E3806,MARGEN!A:B,2,FALSE)</f>
        <v>0.1</v>
      </c>
      <c r="M3806" s="112">
        <f t="shared" si="237"/>
        <v>4835.1588163509141</v>
      </c>
      <c r="N3806" s="113">
        <f t="shared" si="238"/>
        <v>193.40635265403657</v>
      </c>
      <c r="O3806" s="113">
        <f t="shared" si="239"/>
        <v>43323.022994504194</v>
      </c>
    </row>
    <row r="3807" spans="1:15" x14ac:dyDescent="0.25">
      <c r="A3807" s="43">
        <v>44468</v>
      </c>
      <c r="B3807" s="51">
        <v>1871</v>
      </c>
      <c r="C3807" s="66" t="s">
        <v>304</v>
      </c>
      <c r="D3807" s="66" t="s">
        <v>522</v>
      </c>
      <c r="E3807" t="s">
        <v>17</v>
      </c>
      <c r="F3807" s="50" t="s">
        <v>573</v>
      </c>
      <c r="G3807" s="50" t="s">
        <v>574</v>
      </c>
      <c r="H3807" s="50">
        <v>2</v>
      </c>
      <c r="I3807" s="100">
        <v>6.7391919697301583</v>
      </c>
      <c r="J3807" s="52">
        <v>3834.68</v>
      </c>
      <c r="K3807" s="67">
        <f t="shared" si="240"/>
        <v>48351.588163509143</v>
      </c>
      <c r="L3807" s="95">
        <f>+VLOOKUP(E3807,MARGEN!A:B,2,FALSE)</f>
        <v>0.1</v>
      </c>
      <c r="M3807" s="112">
        <f t="shared" si="237"/>
        <v>4835.1588163509141</v>
      </c>
      <c r="N3807" s="113">
        <f t="shared" si="238"/>
        <v>193.40635265403657</v>
      </c>
      <c r="O3807" s="113">
        <f t="shared" si="239"/>
        <v>43323.022994504194</v>
      </c>
    </row>
    <row r="3808" spans="1:15" x14ac:dyDescent="0.25">
      <c r="A3808" s="43">
        <v>44468</v>
      </c>
      <c r="B3808" s="51">
        <v>1847</v>
      </c>
      <c r="C3808" s="66" t="s">
        <v>159</v>
      </c>
      <c r="D3808" s="66" t="s">
        <v>360</v>
      </c>
      <c r="E3808" t="s">
        <v>17</v>
      </c>
      <c r="F3808" s="50" t="s">
        <v>558</v>
      </c>
      <c r="G3808" s="50" t="s">
        <v>574</v>
      </c>
      <c r="H3808" s="50">
        <v>2</v>
      </c>
      <c r="I3808" s="100">
        <v>6.7391919697301583</v>
      </c>
      <c r="J3808" s="52">
        <v>3834.68</v>
      </c>
      <c r="K3808" s="67">
        <f t="shared" si="240"/>
        <v>47731.364691609502</v>
      </c>
      <c r="L3808" s="95">
        <f>+VLOOKUP(E3808,MARGEN!A:B,2,FALSE)</f>
        <v>0.1</v>
      </c>
      <c r="M3808" s="112">
        <f t="shared" si="237"/>
        <v>4773.1364691609506</v>
      </c>
      <c r="N3808" s="113">
        <f t="shared" si="238"/>
        <v>190.925458766438</v>
      </c>
      <c r="O3808" s="113">
        <f t="shared" si="239"/>
        <v>42767.302763682113</v>
      </c>
    </row>
    <row r="3809" spans="1:15" x14ac:dyDescent="0.25">
      <c r="A3809" s="43">
        <v>44468</v>
      </c>
      <c r="B3809" s="51">
        <v>1823</v>
      </c>
      <c r="C3809" s="66" t="s">
        <v>124</v>
      </c>
      <c r="D3809" s="66" t="s">
        <v>388</v>
      </c>
      <c r="E3809" t="s">
        <v>17</v>
      </c>
      <c r="F3809" s="50" t="s">
        <v>558</v>
      </c>
      <c r="G3809" s="50" t="s">
        <v>574</v>
      </c>
      <c r="H3809" s="50">
        <v>2</v>
      </c>
      <c r="I3809" s="100">
        <v>6.7391919697301583</v>
      </c>
      <c r="J3809" s="52">
        <v>3834.68</v>
      </c>
      <c r="K3809" s="67">
        <f t="shared" si="240"/>
        <v>47111.141219709876</v>
      </c>
      <c r="L3809" s="95">
        <f>+VLOOKUP(E3809,MARGEN!A:B,2,FALSE)</f>
        <v>0.1</v>
      </c>
      <c r="M3809" s="112">
        <f t="shared" si="237"/>
        <v>4711.114121970988</v>
      </c>
      <c r="N3809" s="113">
        <f t="shared" si="238"/>
        <v>188.44456487883951</v>
      </c>
      <c r="O3809" s="113">
        <f t="shared" si="239"/>
        <v>42211.582532860048</v>
      </c>
    </row>
    <row r="3810" spans="1:15" x14ac:dyDescent="0.25">
      <c r="A3810" s="43">
        <v>44468</v>
      </c>
      <c r="B3810" s="51">
        <v>1799</v>
      </c>
      <c r="C3810" s="66" t="s">
        <v>223</v>
      </c>
      <c r="D3810" s="66" t="s">
        <v>389</v>
      </c>
      <c r="E3810" t="s">
        <v>17</v>
      </c>
      <c r="F3810" s="50" t="s">
        <v>558</v>
      </c>
      <c r="G3810" s="50" t="s">
        <v>574</v>
      </c>
      <c r="H3810" s="50">
        <v>2</v>
      </c>
      <c r="I3810" s="100">
        <v>6.7391919697301583</v>
      </c>
      <c r="J3810" s="52">
        <v>3834.68</v>
      </c>
      <c r="K3810" s="67">
        <f t="shared" si="240"/>
        <v>46490.917747810228</v>
      </c>
      <c r="L3810" s="95">
        <f>+VLOOKUP(E3810,MARGEN!A:B,2,FALSE)</f>
        <v>0.1</v>
      </c>
      <c r="M3810" s="112">
        <f t="shared" si="237"/>
        <v>4649.0917747810227</v>
      </c>
      <c r="N3810" s="113">
        <f t="shared" si="238"/>
        <v>185.96367099124092</v>
      </c>
      <c r="O3810" s="113">
        <f t="shared" si="239"/>
        <v>41655.862302037967</v>
      </c>
    </row>
    <row r="3811" spans="1:15" x14ac:dyDescent="0.25">
      <c r="A3811" s="43">
        <v>44468</v>
      </c>
      <c r="B3811" s="51">
        <v>1799</v>
      </c>
      <c r="C3811" s="66" t="s">
        <v>172</v>
      </c>
      <c r="D3811" s="66" t="s">
        <v>371</v>
      </c>
      <c r="E3811" t="s">
        <v>17</v>
      </c>
      <c r="F3811" s="50" t="s">
        <v>573</v>
      </c>
      <c r="G3811" s="50" t="s">
        <v>574</v>
      </c>
      <c r="H3811" s="50">
        <v>2</v>
      </c>
      <c r="I3811" s="100">
        <v>6.7391919697301583</v>
      </c>
      <c r="J3811" s="52">
        <v>3834.68</v>
      </c>
      <c r="K3811" s="67">
        <f t="shared" si="240"/>
        <v>46490.917747810228</v>
      </c>
      <c r="L3811" s="95">
        <f>+VLOOKUP(E3811,MARGEN!A:B,2,FALSE)</f>
        <v>0.1</v>
      </c>
      <c r="M3811" s="112">
        <f t="shared" si="237"/>
        <v>4649.0917747810227</v>
      </c>
      <c r="N3811" s="113">
        <f t="shared" si="238"/>
        <v>185.96367099124092</v>
      </c>
      <c r="O3811" s="113">
        <f t="shared" si="239"/>
        <v>41655.862302037967</v>
      </c>
    </row>
    <row r="3812" spans="1:15" x14ac:dyDescent="0.25">
      <c r="A3812" s="43">
        <v>44468</v>
      </c>
      <c r="B3812" s="51">
        <v>1751</v>
      </c>
      <c r="C3812" s="66" t="s">
        <v>154</v>
      </c>
      <c r="D3812" s="66" t="s">
        <v>419</v>
      </c>
      <c r="E3812" t="s">
        <v>17</v>
      </c>
      <c r="F3812" s="50" t="s">
        <v>573</v>
      </c>
      <c r="G3812" s="50" t="s">
        <v>574</v>
      </c>
      <c r="H3812" s="50">
        <v>2</v>
      </c>
      <c r="I3812" s="100">
        <v>6.7391919697301583</v>
      </c>
      <c r="J3812" s="52">
        <v>3834.68</v>
      </c>
      <c r="K3812" s="67">
        <f t="shared" si="240"/>
        <v>45250.470804010954</v>
      </c>
      <c r="L3812" s="95">
        <f>+VLOOKUP(E3812,MARGEN!A:B,2,FALSE)</f>
        <v>0.1</v>
      </c>
      <c r="M3812" s="112">
        <f t="shared" si="237"/>
        <v>4525.0470804010956</v>
      </c>
      <c r="N3812" s="113">
        <f t="shared" si="238"/>
        <v>181.00188321604381</v>
      </c>
      <c r="O3812" s="113">
        <f t="shared" si="239"/>
        <v>40544.421840393814</v>
      </c>
    </row>
    <row r="3813" spans="1:15" x14ac:dyDescent="0.25">
      <c r="A3813" s="43">
        <v>44468</v>
      </c>
      <c r="B3813" s="51">
        <v>1727</v>
      </c>
      <c r="C3813" s="66" t="s">
        <v>158</v>
      </c>
      <c r="D3813" s="66" t="s">
        <v>442</v>
      </c>
      <c r="E3813" t="s">
        <v>17</v>
      </c>
      <c r="F3813" s="50" t="s">
        <v>558</v>
      </c>
      <c r="G3813" s="50" t="s">
        <v>574</v>
      </c>
      <c r="H3813" s="50">
        <v>2</v>
      </c>
      <c r="I3813" s="100">
        <v>6.7391919697301583</v>
      </c>
      <c r="J3813" s="52">
        <v>3834.68</v>
      </c>
      <c r="K3813" s="67">
        <f t="shared" si="240"/>
        <v>44630.247332111321</v>
      </c>
      <c r="L3813" s="95">
        <f>+VLOOKUP(E3813,MARGEN!A:B,2,FALSE)</f>
        <v>0.1</v>
      </c>
      <c r="M3813" s="112">
        <f t="shared" si="237"/>
        <v>4463.0247332111321</v>
      </c>
      <c r="N3813" s="113">
        <f t="shared" si="238"/>
        <v>178.5209893284453</v>
      </c>
      <c r="O3813" s="113">
        <f t="shared" si="239"/>
        <v>39988.701609571741</v>
      </c>
    </row>
    <row r="3814" spans="1:15" x14ac:dyDescent="0.25">
      <c r="A3814" s="43">
        <v>44468</v>
      </c>
      <c r="B3814" s="51">
        <v>1727</v>
      </c>
      <c r="C3814" s="66" t="s">
        <v>188</v>
      </c>
      <c r="D3814" s="66" t="s">
        <v>397</v>
      </c>
      <c r="E3814" t="s">
        <v>17</v>
      </c>
      <c r="F3814" s="50" t="s">
        <v>573</v>
      </c>
      <c r="G3814" s="50" t="s">
        <v>574</v>
      </c>
      <c r="H3814" s="50">
        <v>2</v>
      </c>
      <c r="I3814" s="100">
        <v>6.7391919697301583</v>
      </c>
      <c r="J3814" s="52">
        <v>3834.68</v>
      </c>
      <c r="K3814" s="67">
        <f t="shared" si="240"/>
        <v>44630.247332111321</v>
      </c>
      <c r="L3814" s="95">
        <f>+VLOOKUP(E3814,MARGEN!A:B,2,FALSE)</f>
        <v>0.1</v>
      </c>
      <c r="M3814" s="112">
        <f t="shared" si="237"/>
        <v>4463.0247332111321</v>
      </c>
      <c r="N3814" s="113">
        <f t="shared" si="238"/>
        <v>178.5209893284453</v>
      </c>
      <c r="O3814" s="113">
        <f t="shared" si="239"/>
        <v>39988.701609571741</v>
      </c>
    </row>
    <row r="3815" spans="1:15" x14ac:dyDescent="0.25">
      <c r="A3815" s="43">
        <v>44468</v>
      </c>
      <c r="B3815" s="51">
        <v>1727</v>
      </c>
      <c r="C3815" s="66" t="s">
        <v>170</v>
      </c>
      <c r="D3815" s="66" t="s">
        <v>437</v>
      </c>
      <c r="E3815" t="s">
        <v>17</v>
      </c>
      <c r="F3815" s="50" t="s">
        <v>573</v>
      </c>
      <c r="G3815" s="50" t="s">
        <v>574</v>
      </c>
      <c r="H3815" s="50">
        <v>2</v>
      </c>
      <c r="I3815" s="100">
        <v>6.7391919697301583</v>
      </c>
      <c r="J3815" s="52">
        <v>3834.68</v>
      </c>
      <c r="K3815" s="67">
        <f t="shared" si="240"/>
        <v>44630.247332111321</v>
      </c>
      <c r="L3815" s="95">
        <f>+VLOOKUP(E3815,MARGEN!A:B,2,FALSE)</f>
        <v>0.1</v>
      </c>
      <c r="M3815" s="112">
        <f t="shared" si="237"/>
        <v>4463.0247332111321</v>
      </c>
      <c r="N3815" s="113">
        <f t="shared" si="238"/>
        <v>178.5209893284453</v>
      </c>
      <c r="O3815" s="113">
        <f t="shared" si="239"/>
        <v>39988.701609571741</v>
      </c>
    </row>
    <row r="3816" spans="1:15" x14ac:dyDescent="0.25">
      <c r="A3816" s="43">
        <v>44468</v>
      </c>
      <c r="B3816" s="51">
        <v>1727</v>
      </c>
      <c r="C3816" s="66" t="s">
        <v>174</v>
      </c>
      <c r="D3816" s="66" t="s">
        <v>395</v>
      </c>
      <c r="E3816" t="s">
        <v>17</v>
      </c>
      <c r="F3816" s="50" t="s">
        <v>573</v>
      </c>
      <c r="G3816" s="50" t="s">
        <v>574</v>
      </c>
      <c r="H3816" s="50">
        <v>2</v>
      </c>
      <c r="I3816" s="100">
        <v>6.7391919697301583</v>
      </c>
      <c r="J3816" s="52">
        <v>3834.68</v>
      </c>
      <c r="K3816" s="67">
        <f t="shared" si="240"/>
        <v>44630.247332111321</v>
      </c>
      <c r="L3816" s="95">
        <f>+VLOOKUP(E3816,MARGEN!A:B,2,FALSE)</f>
        <v>0.1</v>
      </c>
      <c r="M3816" s="112">
        <f t="shared" si="237"/>
        <v>4463.0247332111321</v>
      </c>
      <c r="N3816" s="113">
        <f t="shared" si="238"/>
        <v>178.5209893284453</v>
      </c>
      <c r="O3816" s="113">
        <f t="shared" si="239"/>
        <v>39988.701609571741</v>
      </c>
    </row>
    <row r="3817" spans="1:15" x14ac:dyDescent="0.25">
      <c r="A3817" s="43">
        <v>44468</v>
      </c>
      <c r="B3817" s="51">
        <v>1703</v>
      </c>
      <c r="C3817" s="66" t="s">
        <v>286</v>
      </c>
      <c r="D3817" s="66" t="s">
        <v>531</v>
      </c>
      <c r="E3817" t="s">
        <v>17</v>
      </c>
      <c r="F3817" s="50" t="s">
        <v>558</v>
      </c>
      <c r="G3817" s="50" t="s">
        <v>574</v>
      </c>
      <c r="H3817" s="50">
        <v>2</v>
      </c>
      <c r="I3817" s="100">
        <v>6.7391919697301583</v>
      </c>
      <c r="J3817" s="52">
        <v>3834.68</v>
      </c>
      <c r="K3817" s="67">
        <f t="shared" si="240"/>
        <v>44010.023860211688</v>
      </c>
      <c r="L3817" s="95">
        <f>+VLOOKUP(E3817,MARGEN!A:B,2,FALSE)</f>
        <v>0.1</v>
      </c>
      <c r="M3817" s="112">
        <f t="shared" si="237"/>
        <v>4401.0023860211686</v>
      </c>
      <c r="N3817" s="113">
        <f t="shared" si="238"/>
        <v>176.04009544084676</v>
      </c>
      <c r="O3817" s="113">
        <f t="shared" si="239"/>
        <v>39432.981378749675</v>
      </c>
    </row>
    <row r="3818" spans="1:15" x14ac:dyDescent="0.25">
      <c r="A3818" s="43">
        <v>44468</v>
      </c>
      <c r="B3818" s="51">
        <v>1703</v>
      </c>
      <c r="C3818" s="66" t="s">
        <v>238</v>
      </c>
      <c r="D3818" s="66" t="s">
        <v>427</v>
      </c>
      <c r="E3818" t="s">
        <v>17</v>
      </c>
      <c r="F3818" s="50" t="s">
        <v>558</v>
      </c>
      <c r="G3818" s="50" t="s">
        <v>574</v>
      </c>
      <c r="H3818" s="50">
        <v>2</v>
      </c>
      <c r="I3818" s="100">
        <v>6.7391919697301583</v>
      </c>
      <c r="J3818" s="52">
        <v>3834.68</v>
      </c>
      <c r="K3818" s="67">
        <f t="shared" si="240"/>
        <v>44010.023860211688</v>
      </c>
      <c r="L3818" s="95">
        <f>+VLOOKUP(E3818,MARGEN!A:B,2,FALSE)</f>
        <v>0.1</v>
      </c>
      <c r="M3818" s="112">
        <f t="shared" si="237"/>
        <v>4401.0023860211686</v>
      </c>
      <c r="N3818" s="113">
        <f t="shared" si="238"/>
        <v>176.04009544084676</v>
      </c>
      <c r="O3818" s="113">
        <f t="shared" si="239"/>
        <v>39432.981378749675</v>
      </c>
    </row>
    <row r="3819" spans="1:15" x14ac:dyDescent="0.25">
      <c r="A3819" s="43">
        <v>44468</v>
      </c>
      <c r="B3819" s="51">
        <v>1703</v>
      </c>
      <c r="C3819" s="66" t="s">
        <v>296</v>
      </c>
      <c r="D3819" s="66" t="s">
        <v>498</v>
      </c>
      <c r="E3819" t="s">
        <v>17</v>
      </c>
      <c r="F3819" s="50" t="s">
        <v>573</v>
      </c>
      <c r="G3819" s="50" t="s">
        <v>574</v>
      </c>
      <c r="H3819" s="50">
        <v>2</v>
      </c>
      <c r="I3819" s="100">
        <v>6.7391919697301583</v>
      </c>
      <c r="J3819" s="52">
        <v>3834.68</v>
      </c>
      <c r="K3819" s="67">
        <f t="shared" si="240"/>
        <v>44010.023860211688</v>
      </c>
      <c r="L3819" s="95">
        <f>+VLOOKUP(E3819,MARGEN!A:B,2,FALSE)</f>
        <v>0.1</v>
      </c>
      <c r="M3819" s="112">
        <f t="shared" si="237"/>
        <v>4401.0023860211686</v>
      </c>
      <c r="N3819" s="113">
        <f t="shared" si="238"/>
        <v>176.04009544084676</v>
      </c>
      <c r="O3819" s="113">
        <f t="shared" si="239"/>
        <v>39432.981378749675</v>
      </c>
    </row>
    <row r="3820" spans="1:15" x14ac:dyDescent="0.25">
      <c r="A3820" s="43">
        <v>44468</v>
      </c>
      <c r="B3820" s="51">
        <v>1703</v>
      </c>
      <c r="C3820" s="66" t="s">
        <v>120</v>
      </c>
      <c r="D3820" s="66" t="s">
        <v>452</v>
      </c>
      <c r="E3820" t="s">
        <v>17</v>
      </c>
      <c r="F3820" s="50" t="s">
        <v>573</v>
      </c>
      <c r="G3820" s="50" t="s">
        <v>574</v>
      </c>
      <c r="H3820" s="50">
        <v>2</v>
      </c>
      <c r="I3820" s="100">
        <v>6.7391919697301583</v>
      </c>
      <c r="J3820" s="52">
        <v>3834.68</v>
      </c>
      <c r="K3820" s="67">
        <f t="shared" si="240"/>
        <v>44010.023860211688</v>
      </c>
      <c r="L3820" s="95">
        <f>+VLOOKUP(E3820,MARGEN!A:B,2,FALSE)</f>
        <v>0.1</v>
      </c>
      <c r="M3820" s="112">
        <f t="shared" si="237"/>
        <v>4401.0023860211686</v>
      </c>
      <c r="N3820" s="113">
        <f t="shared" si="238"/>
        <v>176.04009544084676</v>
      </c>
      <c r="O3820" s="113">
        <f t="shared" si="239"/>
        <v>39432.981378749675</v>
      </c>
    </row>
    <row r="3821" spans="1:15" x14ac:dyDescent="0.25">
      <c r="A3821" s="43">
        <v>44468</v>
      </c>
      <c r="B3821" s="51">
        <v>1679</v>
      </c>
      <c r="C3821" s="66" t="s">
        <v>121</v>
      </c>
      <c r="D3821" s="66" t="s">
        <v>381</v>
      </c>
      <c r="E3821" t="s">
        <v>17</v>
      </c>
      <c r="F3821" s="50" t="s">
        <v>573</v>
      </c>
      <c r="G3821" s="50" t="s">
        <v>574</v>
      </c>
      <c r="H3821" s="50">
        <v>2</v>
      </c>
      <c r="I3821" s="100">
        <v>6.7391919697301583</v>
      </c>
      <c r="J3821" s="52">
        <v>3834.68</v>
      </c>
      <c r="K3821" s="67">
        <f t="shared" si="240"/>
        <v>43389.800388312047</v>
      </c>
      <c r="L3821" s="95">
        <f>+VLOOKUP(E3821,MARGEN!A:B,2,FALSE)</f>
        <v>0.1</v>
      </c>
      <c r="M3821" s="112">
        <f t="shared" si="237"/>
        <v>4338.9800388312051</v>
      </c>
      <c r="N3821" s="113">
        <f t="shared" si="238"/>
        <v>173.55920155324819</v>
      </c>
      <c r="O3821" s="113">
        <f t="shared" si="239"/>
        <v>38877.261147927595</v>
      </c>
    </row>
    <row r="3822" spans="1:15" x14ac:dyDescent="0.25">
      <c r="A3822" s="43">
        <v>44468</v>
      </c>
      <c r="B3822" s="51">
        <v>1679</v>
      </c>
      <c r="C3822" s="66" t="s">
        <v>194</v>
      </c>
      <c r="D3822" s="66" t="s">
        <v>417</v>
      </c>
      <c r="E3822" t="s">
        <v>17</v>
      </c>
      <c r="F3822" s="50" t="s">
        <v>573</v>
      </c>
      <c r="G3822" s="50" t="s">
        <v>574</v>
      </c>
      <c r="H3822" s="50">
        <v>2</v>
      </c>
      <c r="I3822" s="100">
        <v>6.7391919697301583</v>
      </c>
      <c r="J3822" s="52">
        <v>3834.68</v>
      </c>
      <c r="K3822" s="67">
        <f t="shared" si="240"/>
        <v>43389.800388312047</v>
      </c>
      <c r="L3822" s="95">
        <f>+VLOOKUP(E3822,MARGEN!A:B,2,FALSE)</f>
        <v>0.1</v>
      </c>
      <c r="M3822" s="112">
        <f t="shared" si="237"/>
        <v>4338.9800388312051</v>
      </c>
      <c r="N3822" s="113">
        <f t="shared" si="238"/>
        <v>173.55920155324819</v>
      </c>
      <c r="O3822" s="113">
        <f t="shared" si="239"/>
        <v>38877.261147927595</v>
      </c>
    </row>
    <row r="3823" spans="1:15" x14ac:dyDescent="0.25">
      <c r="A3823" s="43">
        <v>44468</v>
      </c>
      <c r="B3823" s="51">
        <v>1655</v>
      </c>
      <c r="C3823" s="66" t="s">
        <v>288</v>
      </c>
      <c r="D3823" s="66" t="s">
        <v>530</v>
      </c>
      <c r="E3823" t="s">
        <v>17</v>
      </c>
      <c r="F3823" s="50" t="s">
        <v>573</v>
      </c>
      <c r="G3823" s="50" t="s">
        <v>574</v>
      </c>
      <c r="H3823" s="50">
        <v>2</v>
      </c>
      <c r="I3823" s="100">
        <v>6.7391919697301583</v>
      </c>
      <c r="J3823" s="52">
        <v>3834.68</v>
      </c>
      <c r="K3823" s="67">
        <f t="shared" si="240"/>
        <v>42769.576916412421</v>
      </c>
      <c r="L3823" s="95">
        <f>+VLOOKUP(E3823,MARGEN!A:B,2,FALSE)</f>
        <v>0.1</v>
      </c>
      <c r="M3823" s="112">
        <f t="shared" si="237"/>
        <v>4276.9576916412425</v>
      </c>
      <c r="N3823" s="113">
        <f t="shared" si="238"/>
        <v>171.07830766564967</v>
      </c>
      <c r="O3823" s="113">
        <f t="shared" si="239"/>
        <v>38321.540917105529</v>
      </c>
    </row>
    <row r="3824" spans="1:15" x14ac:dyDescent="0.25">
      <c r="A3824" s="43">
        <v>44468</v>
      </c>
      <c r="B3824" s="51">
        <v>1631</v>
      </c>
      <c r="C3824" s="66" t="s">
        <v>171</v>
      </c>
      <c r="D3824" s="66" t="s">
        <v>387</v>
      </c>
      <c r="E3824" t="s">
        <v>17</v>
      </c>
      <c r="F3824" s="50" t="s">
        <v>558</v>
      </c>
      <c r="G3824" s="50" t="s">
        <v>574</v>
      </c>
      <c r="H3824" s="50">
        <v>2</v>
      </c>
      <c r="I3824" s="100">
        <v>6.7391919697301583</v>
      </c>
      <c r="J3824" s="52">
        <v>3834.68</v>
      </c>
      <c r="K3824" s="67">
        <f t="shared" si="240"/>
        <v>42149.353444512773</v>
      </c>
      <c r="L3824" s="95">
        <f>+VLOOKUP(E3824,MARGEN!A:B,2,FALSE)</f>
        <v>0.1</v>
      </c>
      <c r="M3824" s="112">
        <f t="shared" si="237"/>
        <v>4214.9353444512772</v>
      </c>
      <c r="N3824" s="113">
        <f t="shared" si="238"/>
        <v>168.59741377805111</v>
      </c>
      <c r="O3824" s="113">
        <f t="shared" si="239"/>
        <v>37765.820686283449</v>
      </c>
    </row>
    <row r="3825" spans="1:15" x14ac:dyDescent="0.25">
      <c r="A3825" s="43">
        <v>44468</v>
      </c>
      <c r="B3825" s="51">
        <v>1631</v>
      </c>
      <c r="C3825" s="66" t="s">
        <v>285</v>
      </c>
      <c r="D3825" s="66" t="s">
        <v>534</v>
      </c>
      <c r="E3825" t="s">
        <v>17</v>
      </c>
      <c r="F3825" s="50" t="s">
        <v>558</v>
      </c>
      <c r="G3825" s="50" t="s">
        <v>574</v>
      </c>
      <c r="H3825" s="50">
        <v>2</v>
      </c>
      <c r="I3825" s="100">
        <v>6.7391919697301583</v>
      </c>
      <c r="J3825" s="52">
        <v>3834.68</v>
      </c>
      <c r="K3825" s="67">
        <f t="shared" si="240"/>
        <v>42149.353444512773</v>
      </c>
      <c r="L3825" s="95">
        <f>+VLOOKUP(E3825,MARGEN!A:B,2,FALSE)</f>
        <v>0.1</v>
      </c>
      <c r="M3825" s="112">
        <f t="shared" si="237"/>
        <v>4214.9353444512772</v>
      </c>
      <c r="N3825" s="113">
        <f t="shared" si="238"/>
        <v>168.59741377805111</v>
      </c>
      <c r="O3825" s="113">
        <f t="shared" si="239"/>
        <v>37765.820686283449</v>
      </c>
    </row>
    <row r="3826" spans="1:15" x14ac:dyDescent="0.25">
      <c r="A3826" s="43">
        <v>44468</v>
      </c>
      <c r="B3826" s="51">
        <v>1631</v>
      </c>
      <c r="C3826" s="66" t="s">
        <v>196</v>
      </c>
      <c r="D3826" s="66" t="s">
        <v>413</v>
      </c>
      <c r="E3826" t="s">
        <v>17</v>
      </c>
      <c r="F3826" s="50" t="s">
        <v>573</v>
      </c>
      <c r="G3826" s="50" t="s">
        <v>574</v>
      </c>
      <c r="H3826" s="50">
        <v>2</v>
      </c>
      <c r="I3826" s="100">
        <v>6.7391919697301583</v>
      </c>
      <c r="J3826" s="52">
        <v>3834.68</v>
      </c>
      <c r="K3826" s="67">
        <f t="shared" si="240"/>
        <v>42149.353444512773</v>
      </c>
      <c r="L3826" s="95">
        <f>+VLOOKUP(E3826,MARGEN!A:B,2,FALSE)</f>
        <v>0.1</v>
      </c>
      <c r="M3826" s="112">
        <f t="shared" si="237"/>
        <v>4214.9353444512772</v>
      </c>
      <c r="N3826" s="113">
        <f t="shared" si="238"/>
        <v>168.59741377805111</v>
      </c>
      <c r="O3826" s="113">
        <f t="shared" si="239"/>
        <v>37765.820686283449</v>
      </c>
    </row>
    <row r="3827" spans="1:15" x14ac:dyDescent="0.25">
      <c r="A3827" s="43">
        <v>44468</v>
      </c>
      <c r="B3827" s="51">
        <v>1631</v>
      </c>
      <c r="C3827" s="66" t="s">
        <v>209</v>
      </c>
      <c r="D3827" s="66" t="s">
        <v>441</v>
      </c>
      <c r="E3827" t="s">
        <v>17</v>
      </c>
      <c r="F3827" s="50" t="s">
        <v>573</v>
      </c>
      <c r="G3827" s="50" t="s">
        <v>574</v>
      </c>
      <c r="H3827" s="50">
        <v>2</v>
      </c>
      <c r="I3827" s="100">
        <v>6.7391919697301583</v>
      </c>
      <c r="J3827" s="52">
        <v>3834.68</v>
      </c>
      <c r="K3827" s="67">
        <f t="shared" si="240"/>
        <v>42149.353444512773</v>
      </c>
      <c r="L3827" s="95">
        <f>+VLOOKUP(E3827,MARGEN!A:B,2,FALSE)</f>
        <v>0.1</v>
      </c>
      <c r="M3827" s="112">
        <f t="shared" si="237"/>
        <v>4214.9353444512772</v>
      </c>
      <c r="N3827" s="113">
        <f t="shared" si="238"/>
        <v>168.59741377805111</v>
      </c>
      <c r="O3827" s="113">
        <f t="shared" si="239"/>
        <v>37765.820686283449</v>
      </c>
    </row>
    <row r="3828" spans="1:15" x14ac:dyDescent="0.25">
      <c r="A3828" s="43">
        <v>44468</v>
      </c>
      <c r="B3828" s="51">
        <v>1607</v>
      </c>
      <c r="C3828" s="66" t="s">
        <v>180</v>
      </c>
      <c r="D3828" s="66" t="s">
        <v>447</v>
      </c>
      <c r="E3828" t="s">
        <v>17</v>
      </c>
      <c r="F3828" s="50" t="s">
        <v>573</v>
      </c>
      <c r="G3828" s="50" t="s">
        <v>574</v>
      </c>
      <c r="H3828" s="50">
        <v>2</v>
      </c>
      <c r="I3828" s="100">
        <v>6.7391919697301583</v>
      </c>
      <c r="J3828" s="52">
        <v>3834.68</v>
      </c>
      <c r="K3828" s="67">
        <f t="shared" si="240"/>
        <v>41529.12997261314</v>
      </c>
      <c r="L3828" s="95">
        <f>+VLOOKUP(E3828,MARGEN!A:B,2,FALSE)</f>
        <v>0.1</v>
      </c>
      <c r="M3828" s="112">
        <f t="shared" si="237"/>
        <v>4152.9129972613146</v>
      </c>
      <c r="N3828" s="113">
        <f t="shared" si="238"/>
        <v>166.11651989045257</v>
      </c>
      <c r="O3828" s="113">
        <f t="shared" si="239"/>
        <v>37210.100455461376</v>
      </c>
    </row>
    <row r="3829" spans="1:15" x14ac:dyDescent="0.25">
      <c r="A3829" s="43">
        <v>44468</v>
      </c>
      <c r="B3829" s="51">
        <v>1559</v>
      </c>
      <c r="C3829" s="66" t="s">
        <v>552</v>
      </c>
      <c r="D3829" s="66" t="s">
        <v>563</v>
      </c>
      <c r="E3829" t="s">
        <v>17</v>
      </c>
      <c r="F3829" s="50" t="s">
        <v>573</v>
      </c>
      <c r="G3829" s="50" t="s">
        <v>574</v>
      </c>
      <c r="H3829" s="50">
        <v>2</v>
      </c>
      <c r="I3829" s="100">
        <v>6.7391919697301583</v>
      </c>
      <c r="J3829" s="52">
        <v>3834.68</v>
      </c>
      <c r="K3829" s="67">
        <f t="shared" si="240"/>
        <v>40288.683028813866</v>
      </c>
      <c r="L3829" s="95">
        <f>+VLOOKUP(E3829,MARGEN!A:B,2,FALSE)</f>
        <v>0.1</v>
      </c>
      <c r="M3829" s="112">
        <f t="shared" si="237"/>
        <v>4028.8683028813866</v>
      </c>
      <c r="N3829" s="113">
        <f t="shared" si="238"/>
        <v>161.15473211525546</v>
      </c>
      <c r="O3829" s="113">
        <f t="shared" si="239"/>
        <v>36098.659993817222</v>
      </c>
    </row>
    <row r="3830" spans="1:15" x14ac:dyDescent="0.25">
      <c r="A3830" s="43">
        <v>44468</v>
      </c>
      <c r="B3830" s="51">
        <v>1559</v>
      </c>
      <c r="C3830" s="66" t="s">
        <v>176</v>
      </c>
      <c r="D3830" s="66" t="s">
        <v>430</v>
      </c>
      <c r="E3830" t="s">
        <v>17</v>
      </c>
      <c r="F3830" s="50" t="s">
        <v>573</v>
      </c>
      <c r="G3830" s="50" t="s">
        <v>574</v>
      </c>
      <c r="H3830" s="50">
        <v>2</v>
      </c>
      <c r="I3830" s="100">
        <v>6.7391919697301583</v>
      </c>
      <c r="J3830" s="52">
        <v>3834.68</v>
      </c>
      <c r="K3830" s="67">
        <f t="shared" si="240"/>
        <v>40288.683028813866</v>
      </c>
      <c r="L3830" s="95">
        <f>+VLOOKUP(E3830,MARGEN!A:B,2,FALSE)</f>
        <v>0.1</v>
      </c>
      <c r="M3830" s="112">
        <f t="shared" si="237"/>
        <v>4028.8683028813866</v>
      </c>
      <c r="N3830" s="113">
        <f t="shared" si="238"/>
        <v>161.15473211525546</v>
      </c>
      <c r="O3830" s="113">
        <f t="shared" si="239"/>
        <v>36098.659993817222</v>
      </c>
    </row>
    <row r="3831" spans="1:15" x14ac:dyDescent="0.25">
      <c r="A3831" s="43">
        <v>44468</v>
      </c>
      <c r="B3831" s="51">
        <v>1535</v>
      </c>
      <c r="C3831" s="66" t="s">
        <v>137</v>
      </c>
      <c r="D3831" s="66" t="s">
        <v>418</v>
      </c>
      <c r="E3831" t="s">
        <v>17</v>
      </c>
      <c r="F3831" s="50" t="s">
        <v>573</v>
      </c>
      <c r="G3831" s="50" t="s">
        <v>574</v>
      </c>
      <c r="H3831" s="50">
        <v>2</v>
      </c>
      <c r="I3831" s="100">
        <v>6.7391919697301583</v>
      </c>
      <c r="J3831" s="52">
        <v>3834.68</v>
      </c>
      <c r="K3831" s="67">
        <f t="shared" si="240"/>
        <v>39668.459556914233</v>
      </c>
      <c r="L3831" s="95">
        <f>+VLOOKUP(E3831,MARGEN!A:B,2,FALSE)</f>
        <v>0.1</v>
      </c>
      <c r="M3831" s="112">
        <f t="shared" si="237"/>
        <v>3966.8459556914236</v>
      </c>
      <c r="N3831" s="113">
        <f t="shared" si="238"/>
        <v>158.67383822765694</v>
      </c>
      <c r="O3831" s="113">
        <f t="shared" si="239"/>
        <v>35542.939762995149</v>
      </c>
    </row>
    <row r="3832" spans="1:15" x14ac:dyDescent="0.25">
      <c r="A3832" s="43">
        <v>44468</v>
      </c>
      <c r="B3832" s="51">
        <v>1535</v>
      </c>
      <c r="C3832" s="66" t="s">
        <v>152</v>
      </c>
      <c r="D3832" s="66" t="s">
        <v>425</v>
      </c>
      <c r="E3832" t="s">
        <v>17</v>
      </c>
      <c r="F3832" s="50" t="s">
        <v>573</v>
      </c>
      <c r="G3832" s="50" t="s">
        <v>574</v>
      </c>
      <c r="H3832" s="50">
        <v>2</v>
      </c>
      <c r="I3832" s="100">
        <v>6.7391919697301583</v>
      </c>
      <c r="J3832" s="52">
        <v>3834.68</v>
      </c>
      <c r="K3832" s="67">
        <f t="shared" si="240"/>
        <v>39668.459556914233</v>
      </c>
      <c r="L3832" s="95">
        <f>+VLOOKUP(E3832,MARGEN!A:B,2,FALSE)</f>
        <v>0.1</v>
      </c>
      <c r="M3832" s="112">
        <f t="shared" si="237"/>
        <v>3966.8459556914236</v>
      </c>
      <c r="N3832" s="113">
        <f t="shared" si="238"/>
        <v>158.67383822765694</v>
      </c>
      <c r="O3832" s="113">
        <f t="shared" si="239"/>
        <v>35542.939762995149</v>
      </c>
    </row>
    <row r="3833" spans="1:15" x14ac:dyDescent="0.25">
      <c r="A3833" s="43">
        <v>44468</v>
      </c>
      <c r="B3833" s="51">
        <v>1535</v>
      </c>
      <c r="C3833" s="66" t="s">
        <v>294</v>
      </c>
      <c r="D3833" s="66" t="s">
        <v>527</v>
      </c>
      <c r="E3833" t="s">
        <v>17</v>
      </c>
      <c r="F3833" s="50" t="s">
        <v>573</v>
      </c>
      <c r="G3833" s="50" t="s">
        <v>574</v>
      </c>
      <c r="H3833" s="50">
        <v>2</v>
      </c>
      <c r="I3833" s="100">
        <v>6.7391919697301583</v>
      </c>
      <c r="J3833" s="52">
        <v>3834.68</v>
      </c>
      <c r="K3833" s="67">
        <f t="shared" si="240"/>
        <v>39668.459556914233</v>
      </c>
      <c r="L3833" s="95">
        <f>+VLOOKUP(E3833,MARGEN!A:B,2,FALSE)</f>
        <v>0.1</v>
      </c>
      <c r="M3833" s="112">
        <f t="shared" si="237"/>
        <v>3966.8459556914236</v>
      </c>
      <c r="N3833" s="113">
        <f t="shared" si="238"/>
        <v>158.67383822765694</v>
      </c>
      <c r="O3833" s="113">
        <f t="shared" si="239"/>
        <v>35542.939762995149</v>
      </c>
    </row>
    <row r="3834" spans="1:15" x14ac:dyDescent="0.25">
      <c r="A3834" s="43">
        <v>44468</v>
      </c>
      <c r="B3834" s="51">
        <v>1511</v>
      </c>
      <c r="C3834" s="66" t="s">
        <v>202</v>
      </c>
      <c r="D3834" s="66" t="s">
        <v>436</v>
      </c>
      <c r="E3834" t="s">
        <v>17</v>
      </c>
      <c r="F3834" s="50" t="s">
        <v>558</v>
      </c>
      <c r="G3834" s="50" t="s">
        <v>574</v>
      </c>
      <c r="H3834" s="50">
        <v>2</v>
      </c>
      <c r="I3834" s="100">
        <v>6.7391919697301583</v>
      </c>
      <c r="J3834" s="52">
        <v>3834.68</v>
      </c>
      <c r="K3834" s="67">
        <f t="shared" si="240"/>
        <v>39048.2360850146</v>
      </c>
      <c r="L3834" s="95">
        <f>+VLOOKUP(E3834,MARGEN!A:B,2,FALSE)</f>
        <v>0.1</v>
      </c>
      <c r="M3834" s="112">
        <f t="shared" si="237"/>
        <v>3904.8236085014601</v>
      </c>
      <c r="N3834" s="113">
        <f t="shared" si="238"/>
        <v>156.1929443400584</v>
      </c>
      <c r="O3834" s="113">
        <f t="shared" si="239"/>
        <v>34987.219532173083</v>
      </c>
    </row>
    <row r="3835" spans="1:15" x14ac:dyDescent="0.25">
      <c r="A3835" s="43">
        <v>44468</v>
      </c>
      <c r="B3835" s="51">
        <v>1511</v>
      </c>
      <c r="C3835" s="66" t="s">
        <v>119</v>
      </c>
      <c r="D3835" s="66" t="s">
        <v>377</v>
      </c>
      <c r="E3835" t="s">
        <v>17</v>
      </c>
      <c r="F3835" s="50" t="s">
        <v>573</v>
      </c>
      <c r="G3835" s="50" t="s">
        <v>574</v>
      </c>
      <c r="H3835" s="50">
        <v>2</v>
      </c>
      <c r="I3835" s="100">
        <v>6.7391919697301583</v>
      </c>
      <c r="J3835" s="52">
        <v>3834.68</v>
      </c>
      <c r="K3835" s="67">
        <f t="shared" si="240"/>
        <v>39048.2360850146</v>
      </c>
      <c r="L3835" s="95">
        <f>+VLOOKUP(E3835,MARGEN!A:B,2,FALSE)</f>
        <v>0.1</v>
      </c>
      <c r="M3835" s="112">
        <f t="shared" si="237"/>
        <v>3904.8236085014601</v>
      </c>
      <c r="N3835" s="113">
        <f t="shared" si="238"/>
        <v>156.1929443400584</v>
      </c>
      <c r="O3835" s="113">
        <f t="shared" si="239"/>
        <v>34987.219532173083</v>
      </c>
    </row>
    <row r="3836" spans="1:15" x14ac:dyDescent="0.25">
      <c r="A3836" s="43">
        <v>44468</v>
      </c>
      <c r="B3836" s="51">
        <v>1487</v>
      </c>
      <c r="C3836" s="66" t="s">
        <v>169</v>
      </c>
      <c r="D3836" s="66" t="s">
        <v>351</v>
      </c>
      <c r="E3836" t="s">
        <v>17</v>
      </c>
      <c r="F3836" s="50" t="s">
        <v>573</v>
      </c>
      <c r="G3836" s="50" t="s">
        <v>574</v>
      </c>
      <c r="H3836" s="50">
        <v>2</v>
      </c>
      <c r="I3836" s="100">
        <v>6.7391919697301583</v>
      </c>
      <c r="J3836" s="52">
        <v>3834.68</v>
      </c>
      <c r="K3836" s="67">
        <f t="shared" si="240"/>
        <v>38428.012613114959</v>
      </c>
      <c r="L3836" s="95">
        <f>+VLOOKUP(E3836,MARGEN!A:B,2,FALSE)</f>
        <v>0.1</v>
      </c>
      <c r="M3836" s="112">
        <f t="shared" si="237"/>
        <v>3842.8012613114961</v>
      </c>
      <c r="N3836" s="113">
        <f t="shared" si="238"/>
        <v>153.71205045245983</v>
      </c>
      <c r="O3836" s="113">
        <f t="shared" si="239"/>
        <v>34431.499301351003</v>
      </c>
    </row>
    <row r="3837" spans="1:15" x14ac:dyDescent="0.25">
      <c r="A3837" s="43">
        <v>44468</v>
      </c>
      <c r="B3837" s="51">
        <v>1463</v>
      </c>
      <c r="C3837" s="66" t="s">
        <v>297</v>
      </c>
      <c r="D3837" s="66" t="s">
        <v>526</v>
      </c>
      <c r="E3837" t="s">
        <v>17</v>
      </c>
      <c r="F3837" s="50" t="s">
        <v>573</v>
      </c>
      <c r="G3837" s="50" t="s">
        <v>574</v>
      </c>
      <c r="H3837" s="50">
        <v>2</v>
      </c>
      <c r="I3837" s="100">
        <v>6.7391919697301583</v>
      </c>
      <c r="J3837" s="52">
        <v>3834.68</v>
      </c>
      <c r="K3837" s="67">
        <f t="shared" si="240"/>
        <v>37807.789141215326</v>
      </c>
      <c r="L3837" s="95">
        <f>+VLOOKUP(E3837,MARGEN!A:B,2,FALSE)</f>
        <v>0.1</v>
      </c>
      <c r="M3837" s="112">
        <f t="shared" si="237"/>
        <v>3780.7789141215326</v>
      </c>
      <c r="N3837" s="113">
        <f t="shared" si="238"/>
        <v>151.23115656486129</v>
      </c>
      <c r="O3837" s="113">
        <f t="shared" si="239"/>
        <v>33875.77907052893</v>
      </c>
    </row>
    <row r="3838" spans="1:15" x14ac:dyDescent="0.25">
      <c r="A3838" s="43">
        <v>44468</v>
      </c>
      <c r="B3838" s="51">
        <v>1439</v>
      </c>
      <c r="C3838" s="66" t="s">
        <v>210</v>
      </c>
      <c r="D3838" s="66" t="s">
        <v>402</v>
      </c>
      <c r="E3838" t="s">
        <v>17</v>
      </c>
      <c r="F3838" s="50" t="s">
        <v>573</v>
      </c>
      <c r="G3838" s="50" t="s">
        <v>574</v>
      </c>
      <c r="H3838" s="50">
        <v>2</v>
      </c>
      <c r="I3838" s="100">
        <v>6.7391919697301583</v>
      </c>
      <c r="J3838" s="52">
        <v>3834.68</v>
      </c>
      <c r="K3838" s="67">
        <f t="shared" si="240"/>
        <v>37187.565669315685</v>
      </c>
      <c r="L3838" s="95">
        <f>+VLOOKUP(E3838,MARGEN!A:B,2,FALSE)</f>
        <v>0.1</v>
      </c>
      <c r="M3838" s="112">
        <f t="shared" si="237"/>
        <v>3718.7565669315686</v>
      </c>
      <c r="N3838" s="113">
        <f t="shared" si="238"/>
        <v>148.75026267726275</v>
      </c>
      <c r="O3838" s="113">
        <f t="shared" si="239"/>
        <v>33320.058839706857</v>
      </c>
    </row>
    <row r="3839" spans="1:15" x14ac:dyDescent="0.25">
      <c r="A3839" s="43">
        <v>44468</v>
      </c>
      <c r="B3839" s="51">
        <v>1439</v>
      </c>
      <c r="C3839" s="66" t="s">
        <v>200</v>
      </c>
      <c r="D3839" s="66" t="s">
        <v>428</v>
      </c>
      <c r="E3839" t="s">
        <v>17</v>
      </c>
      <c r="F3839" s="50" t="s">
        <v>573</v>
      </c>
      <c r="G3839" s="50" t="s">
        <v>574</v>
      </c>
      <c r="H3839" s="50">
        <v>2</v>
      </c>
      <c r="I3839" s="100">
        <v>6.7391919697301583</v>
      </c>
      <c r="J3839" s="52">
        <v>3834.68</v>
      </c>
      <c r="K3839" s="67">
        <f t="shared" si="240"/>
        <v>37187.565669315685</v>
      </c>
      <c r="L3839" s="95">
        <f>+VLOOKUP(E3839,MARGEN!A:B,2,FALSE)</f>
        <v>0.1</v>
      </c>
      <c r="M3839" s="112">
        <f t="shared" si="237"/>
        <v>3718.7565669315686</v>
      </c>
      <c r="N3839" s="113">
        <f t="shared" si="238"/>
        <v>148.75026267726275</v>
      </c>
      <c r="O3839" s="113">
        <f t="shared" si="239"/>
        <v>33320.058839706857</v>
      </c>
    </row>
    <row r="3840" spans="1:15" x14ac:dyDescent="0.25">
      <c r="A3840" s="43">
        <v>44468</v>
      </c>
      <c r="B3840" s="51">
        <v>1439</v>
      </c>
      <c r="C3840" s="66" t="s">
        <v>168</v>
      </c>
      <c r="D3840" s="66" t="s">
        <v>352</v>
      </c>
      <c r="E3840" t="s">
        <v>17</v>
      </c>
      <c r="F3840" s="50" t="s">
        <v>573</v>
      </c>
      <c r="G3840" s="50" t="s">
        <v>574</v>
      </c>
      <c r="H3840" s="50">
        <v>2</v>
      </c>
      <c r="I3840" s="100">
        <v>6.7391919697301583</v>
      </c>
      <c r="J3840" s="52">
        <v>3834.68</v>
      </c>
      <c r="K3840" s="67">
        <f t="shared" si="240"/>
        <v>37187.565669315685</v>
      </c>
      <c r="L3840" s="95">
        <f>+VLOOKUP(E3840,MARGEN!A:B,2,FALSE)</f>
        <v>0.1</v>
      </c>
      <c r="M3840" s="112">
        <f t="shared" si="237"/>
        <v>3718.7565669315686</v>
      </c>
      <c r="N3840" s="113">
        <f t="shared" si="238"/>
        <v>148.75026267726275</v>
      </c>
      <c r="O3840" s="113">
        <f t="shared" si="239"/>
        <v>33320.058839706857</v>
      </c>
    </row>
    <row r="3841" spans="1:15" x14ac:dyDescent="0.25">
      <c r="A3841" s="43">
        <v>44468</v>
      </c>
      <c r="B3841" s="51">
        <v>1367</v>
      </c>
      <c r="C3841" s="66" t="s">
        <v>289</v>
      </c>
      <c r="D3841" s="66" t="s">
        <v>528</v>
      </c>
      <c r="E3841" t="s">
        <v>17</v>
      </c>
      <c r="F3841" s="50" t="s">
        <v>558</v>
      </c>
      <c r="G3841" s="50" t="s">
        <v>574</v>
      </c>
      <c r="H3841" s="50">
        <v>2</v>
      </c>
      <c r="I3841" s="100">
        <v>6.7391919697301583</v>
      </c>
      <c r="J3841" s="52">
        <v>3834.68</v>
      </c>
      <c r="K3841" s="67">
        <f t="shared" si="240"/>
        <v>35326.895253616778</v>
      </c>
      <c r="L3841" s="95">
        <f>+VLOOKUP(E3841,MARGEN!A:B,2,FALSE)</f>
        <v>0.1</v>
      </c>
      <c r="M3841" s="112">
        <f t="shared" si="237"/>
        <v>3532.6895253616781</v>
      </c>
      <c r="N3841" s="113">
        <f t="shared" si="238"/>
        <v>141.3075810144671</v>
      </c>
      <c r="O3841" s="113">
        <f t="shared" si="239"/>
        <v>31652.898147240634</v>
      </c>
    </row>
    <row r="3842" spans="1:15" x14ac:dyDescent="0.25">
      <c r="A3842" s="43">
        <v>44468</v>
      </c>
      <c r="B3842" s="51">
        <v>1367</v>
      </c>
      <c r="C3842" s="66" t="s">
        <v>173</v>
      </c>
      <c r="D3842" s="66" t="s">
        <v>451</v>
      </c>
      <c r="E3842" t="s">
        <v>17</v>
      </c>
      <c r="F3842" s="50" t="s">
        <v>573</v>
      </c>
      <c r="G3842" s="50" t="s">
        <v>574</v>
      </c>
      <c r="H3842" s="50">
        <v>2</v>
      </c>
      <c r="I3842" s="100">
        <v>6.7391919697301583</v>
      </c>
      <c r="J3842" s="52">
        <v>3834.68</v>
      </c>
      <c r="K3842" s="67">
        <f t="shared" si="240"/>
        <v>35326.895253616778</v>
      </c>
      <c r="L3842" s="95">
        <f>+VLOOKUP(E3842,MARGEN!A:B,2,FALSE)</f>
        <v>0.1</v>
      </c>
      <c r="M3842" s="112">
        <f t="shared" si="237"/>
        <v>3532.6895253616781</v>
      </c>
      <c r="N3842" s="113">
        <f t="shared" si="238"/>
        <v>141.3075810144671</v>
      </c>
      <c r="O3842" s="113">
        <f t="shared" si="239"/>
        <v>31652.898147240634</v>
      </c>
    </row>
    <row r="3843" spans="1:15" x14ac:dyDescent="0.25">
      <c r="A3843" s="43">
        <v>44468</v>
      </c>
      <c r="B3843" s="51">
        <v>1343</v>
      </c>
      <c r="C3843" s="66" t="s">
        <v>292</v>
      </c>
      <c r="D3843" s="66" t="s">
        <v>535</v>
      </c>
      <c r="E3843" t="s">
        <v>17</v>
      </c>
      <c r="F3843" s="50" t="s">
        <v>573</v>
      </c>
      <c r="G3843" s="50" t="s">
        <v>574</v>
      </c>
      <c r="H3843" s="50">
        <v>2</v>
      </c>
      <c r="I3843" s="100">
        <v>6.7391919697301583</v>
      </c>
      <c r="J3843" s="52">
        <v>3834.68</v>
      </c>
      <c r="K3843" s="67">
        <f t="shared" si="240"/>
        <v>34706.671781717145</v>
      </c>
      <c r="L3843" s="95">
        <f>+VLOOKUP(E3843,MARGEN!A:B,2,FALSE)</f>
        <v>0.1</v>
      </c>
      <c r="M3843" s="112">
        <f t="shared" ref="M3843:M3906" si="241">+K3843*L3843</f>
        <v>3470.6671781717146</v>
      </c>
      <c r="N3843" s="113">
        <f t="shared" ref="N3843:N3906" si="242">+K3843*4/1000</f>
        <v>138.82668712686859</v>
      </c>
      <c r="O3843" s="113">
        <f t="shared" ref="O3843:O3906" si="243">+K3843-M3843-N3843</f>
        <v>31097.177916418561</v>
      </c>
    </row>
    <row r="3844" spans="1:15" x14ac:dyDescent="0.25">
      <c r="A3844" s="43">
        <v>44468</v>
      </c>
      <c r="B3844" s="51">
        <v>1319</v>
      </c>
      <c r="C3844" s="66" t="s">
        <v>166</v>
      </c>
      <c r="D3844" s="66" t="s">
        <v>426</v>
      </c>
      <c r="E3844" t="s">
        <v>17</v>
      </c>
      <c r="F3844" s="50" t="s">
        <v>558</v>
      </c>
      <c r="G3844" s="50" t="s">
        <v>574</v>
      </c>
      <c r="H3844" s="50">
        <v>2</v>
      </c>
      <c r="I3844" s="100">
        <v>6.7391919697301583</v>
      </c>
      <c r="J3844" s="52">
        <v>3834.68</v>
      </c>
      <c r="K3844" s="67">
        <f t="shared" si="240"/>
        <v>34086.448309817511</v>
      </c>
      <c r="L3844" s="95">
        <f>+VLOOKUP(E3844,MARGEN!A:B,2,FALSE)</f>
        <v>0.1</v>
      </c>
      <c r="M3844" s="112">
        <f t="shared" si="241"/>
        <v>3408.6448309817515</v>
      </c>
      <c r="N3844" s="113">
        <f t="shared" si="242"/>
        <v>136.34579323927005</v>
      </c>
      <c r="O3844" s="113">
        <f t="shared" si="243"/>
        <v>30541.457685596492</v>
      </c>
    </row>
    <row r="3845" spans="1:15" x14ac:dyDescent="0.25">
      <c r="A3845" s="43">
        <v>44468</v>
      </c>
      <c r="B3845" s="51">
        <v>1319</v>
      </c>
      <c r="C3845" s="66" t="s">
        <v>141</v>
      </c>
      <c r="D3845" s="66" t="s">
        <v>450</v>
      </c>
      <c r="E3845" t="s">
        <v>17</v>
      </c>
      <c r="F3845" s="50" t="s">
        <v>573</v>
      </c>
      <c r="G3845" s="50" t="s">
        <v>574</v>
      </c>
      <c r="H3845" s="50">
        <v>2</v>
      </c>
      <c r="I3845" s="100">
        <v>6.7391919697301583</v>
      </c>
      <c r="J3845" s="52">
        <v>3834.68</v>
      </c>
      <c r="K3845" s="67">
        <f t="shared" si="240"/>
        <v>34086.448309817511</v>
      </c>
      <c r="L3845" s="95">
        <f>+VLOOKUP(E3845,MARGEN!A:B,2,FALSE)</f>
        <v>0.1</v>
      </c>
      <c r="M3845" s="112">
        <f t="shared" si="241"/>
        <v>3408.6448309817515</v>
      </c>
      <c r="N3845" s="113">
        <f t="shared" si="242"/>
        <v>136.34579323927005</v>
      </c>
      <c r="O3845" s="113">
        <f t="shared" si="243"/>
        <v>30541.457685596492</v>
      </c>
    </row>
    <row r="3846" spans="1:15" x14ac:dyDescent="0.25">
      <c r="A3846" s="43">
        <v>44468</v>
      </c>
      <c r="B3846" s="51">
        <v>1295</v>
      </c>
      <c r="C3846" s="66" t="s">
        <v>211</v>
      </c>
      <c r="D3846" s="66" t="s">
        <v>382</v>
      </c>
      <c r="E3846" t="s">
        <v>17</v>
      </c>
      <c r="F3846" s="50" t="s">
        <v>558</v>
      </c>
      <c r="G3846" s="50" t="s">
        <v>574</v>
      </c>
      <c r="H3846" s="50">
        <v>2</v>
      </c>
      <c r="I3846" s="100">
        <v>6.7391919697301583</v>
      </c>
      <c r="J3846" s="52">
        <v>3834.68</v>
      </c>
      <c r="K3846" s="67">
        <f t="shared" si="240"/>
        <v>33466.224837917871</v>
      </c>
      <c r="L3846" s="95">
        <f>+VLOOKUP(E3846,MARGEN!A:B,2,FALSE)</f>
        <v>0.1</v>
      </c>
      <c r="M3846" s="112">
        <f t="shared" si="241"/>
        <v>3346.6224837917871</v>
      </c>
      <c r="N3846" s="113">
        <f t="shared" si="242"/>
        <v>133.86489935167148</v>
      </c>
      <c r="O3846" s="113">
        <f t="shared" si="243"/>
        <v>29985.737454774411</v>
      </c>
    </row>
    <row r="3847" spans="1:15" x14ac:dyDescent="0.25">
      <c r="A3847" s="43">
        <v>44468</v>
      </c>
      <c r="B3847" s="51">
        <v>1295</v>
      </c>
      <c r="C3847" s="66" t="s">
        <v>183</v>
      </c>
      <c r="D3847" s="66" t="s">
        <v>390</v>
      </c>
      <c r="E3847" t="s">
        <v>17</v>
      </c>
      <c r="F3847" s="50" t="s">
        <v>573</v>
      </c>
      <c r="G3847" s="50" t="s">
        <v>574</v>
      </c>
      <c r="H3847" s="50">
        <v>2</v>
      </c>
      <c r="I3847" s="100">
        <v>6.7391919697301583</v>
      </c>
      <c r="J3847" s="52">
        <v>3834.68</v>
      </c>
      <c r="K3847" s="67">
        <f t="shared" si="240"/>
        <v>33466.224837917871</v>
      </c>
      <c r="L3847" s="95">
        <f>+VLOOKUP(E3847,MARGEN!A:B,2,FALSE)</f>
        <v>0.1</v>
      </c>
      <c r="M3847" s="112">
        <f t="shared" si="241"/>
        <v>3346.6224837917871</v>
      </c>
      <c r="N3847" s="113">
        <f t="shared" si="242"/>
        <v>133.86489935167148</v>
      </c>
      <c r="O3847" s="113">
        <f t="shared" si="243"/>
        <v>29985.737454774411</v>
      </c>
    </row>
    <row r="3848" spans="1:15" x14ac:dyDescent="0.25">
      <c r="A3848" s="43">
        <v>44468</v>
      </c>
      <c r="B3848" s="51">
        <v>1295</v>
      </c>
      <c r="C3848" s="66" t="s">
        <v>303</v>
      </c>
      <c r="D3848" s="66" t="s">
        <v>539</v>
      </c>
      <c r="E3848" t="s">
        <v>17</v>
      </c>
      <c r="F3848" s="50" t="s">
        <v>573</v>
      </c>
      <c r="G3848" s="50" t="s">
        <v>574</v>
      </c>
      <c r="H3848" s="50">
        <v>2</v>
      </c>
      <c r="I3848" s="100">
        <v>6.7391919697301583</v>
      </c>
      <c r="J3848" s="52">
        <v>3834.68</v>
      </c>
      <c r="K3848" s="67">
        <f t="shared" si="240"/>
        <v>33466.224837917871</v>
      </c>
      <c r="L3848" s="95">
        <f>+VLOOKUP(E3848,MARGEN!A:B,2,FALSE)</f>
        <v>0.1</v>
      </c>
      <c r="M3848" s="112">
        <f t="shared" si="241"/>
        <v>3346.6224837917871</v>
      </c>
      <c r="N3848" s="113">
        <f t="shared" si="242"/>
        <v>133.86489935167148</v>
      </c>
      <c r="O3848" s="113">
        <f t="shared" si="243"/>
        <v>29985.737454774411</v>
      </c>
    </row>
    <row r="3849" spans="1:15" x14ac:dyDescent="0.25">
      <c r="A3849" s="43">
        <v>44468</v>
      </c>
      <c r="B3849" s="51">
        <v>1295</v>
      </c>
      <c r="C3849" s="66" t="s">
        <v>151</v>
      </c>
      <c r="D3849" s="66" t="s">
        <v>394</v>
      </c>
      <c r="E3849" t="s">
        <v>17</v>
      </c>
      <c r="F3849" s="50" t="s">
        <v>573</v>
      </c>
      <c r="G3849" s="50" t="s">
        <v>574</v>
      </c>
      <c r="H3849" s="50">
        <v>2</v>
      </c>
      <c r="I3849" s="100">
        <v>6.7391919697301583</v>
      </c>
      <c r="J3849" s="52">
        <v>3834.68</v>
      </c>
      <c r="K3849" s="67">
        <f t="shared" ref="K3849:K3912" si="244">+B3849*I3849*J3849/1000</f>
        <v>33466.224837917871</v>
      </c>
      <c r="L3849" s="95">
        <f>+VLOOKUP(E3849,MARGEN!A:B,2,FALSE)</f>
        <v>0.1</v>
      </c>
      <c r="M3849" s="112">
        <f t="shared" si="241"/>
        <v>3346.6224837917871</v>
      </c>
      <c r="N3849" s="113">
        <f t="shared" si="242"/>
        <v>133.86489935167148</v>
      </c>
      <c r="O3849" s="113">
        <f t="shared" si="243"/>
        <v>29985.737454774411</v>
      </c>
    </row>
    <row r="3850" spans="1:15" x14ac:dyDescent="0.25">
      <c r="A3850" s="43">
        <v>44468</v>
      </c>
      <c r="B3850" s="51">
        <v>1295</v>
      </c>
      <c r="C3850" s="66" t="s">
        <v>302</v>
      </c>
      <c r="D3850" s="66" t="s">
        <v>538</v>
      </c>
      <c r="E3850" t="s">
        <v>17</v>
      </c>
      <c r="F3850" s="50" t="s">
        <v>573</v>
      </c>
      <c r="G3850" s="50" t="s">
        <v>574</v>
      </c>
      <c r="H3850" s="50">
        <v>2</v>
      </c>
      <c r="I3850" s="100">
        <v>6.7391919697301583</v>
      </c>
      <c r="J3850" s="52">
        <v>3834.68</v>
      </c>
      <c r="K3850" s="67">
        <f t="shared" si="244"/>
        <v>33466.224837917871</v>
      </c>
      <c r="L3850" s="95">
        <f>+VLOOKUP(E3850,MARGEN!A:B,2,FALSE)</f>
        <v>0.1</v>
      </c>
      <c r="M3850" s="112">
        <f t="shared" si="241"/>
        <v>3346.6224837917871</v>
      </c>
      <c r="N3850" s="113">
        <f t="shared" si="242"/>
        <v>133.86489935167148</v>
      </c>
      <c r="O3850" s="113">
        <f t="shared" si="243"/>
        <v>29985.737454774411</v>
      </c>
    </row>
    <row r="3851" spans="1:15" x14ac:dyDescent="0.25">
      <c r="A3851" s="43">
        <v>44468</v>
      </c>
      <c r="B3851" s="51">
        <v>1295</v>
      </c>
      <c r="C3851" s="66" t="s">
        <v>298</v>
      </c>
      <c r="D3851" s="66" t="s">
        <v>536</v>
      </c>
      <c r="E3851" t="s">
        <v>17</v>
      </c>
      <c r="F3851" s="50" t="s">
        <v>573</v>
      </c>
      <c r="G3851" s="50" t="s">
        <v>574</v>
      </c>
      <c r="H3851" s="50">
        <v>2</v>
      </c>
      <c r="I3851" s="100">
        <v>6.7391919697301583</v>
      </c>
      <c r="J3851" s="52">
        <v>3834.68</v>
      </c>
      <c r="K3851" s="67">
        <f t="shared" si="244"/>
        <v>33466.224837917871</v>
      </c>
      <c r="L3851" s="95">
        <f>+VLOOKUP(E3851,MARGEN!A:B,2,FALSE)</f>
        <v>0.1</v>
      </c>
      <c r="M3851" s="112">
        <f t="shared" si="241"/>
        <v>3346.6224837917871</v>
      </c>
      <c r="N3851" s="113">
        <f t="shared" si="242"/>
        <v>133.86489935167148</v>
      </c>
      <c r="O3851" s="113">
        <f t="shared" si="243"/>
        <v>29985.737454774411</v>
      </c>
    </row>
    <row r="3852" spans="1:15" x14ac:dyDescent="0.25">
      <c r="A3852" s="43">
        <v>44468</v>
      </c>
      <c r="B3852" s="51">
        <v>1247</v>
      </c>
      <c r="C3852" s="66" t="s">
        <v>300</v>
      </c>
      <c r="D3852" s="66" t="s">
        <v>529</v>
      </c>
      <c r="E3852" t="s">
        <v>17</v>
      </c>
      <c r="F3852" s="50" t="s">
        <v>558</v>
      </c>
      <c r="G3852" s="50" t="s">
        <v>574</v>
      </c>
      <c r="H3852" s="50">
        <v>2</v>
      </c>
      <c r="I3852" s="100">
        <v>6.7391919697301583</v>
      </c>
      <c r="J3852" s="52">
        <v>3834.68</v>
      </c>
      <c r="K3852" s="67">
        <f t="shared" si="244"/>
        <v>32225.777894118601</v>
      </c>
      <c r="L3852" s="95">
        <f>+VLOOKUP(E3852,MARGEN!A:B,2,FALSE)</f>
        <v>0.1</v>
      </c>
      <c r="M3852" s="112">
        <f t="shared" si="241"/>
        <v>3222.5777894118601</v>
      </c>
      <c r="N3852" s="113">
        <f t="shared" si="242"/>
        <v>128.9031115764744</v>
      </c>
      <c r="O3852" s="113">
        <f t="shared" si="243"/>
        <v>28874.296993130265</v>
      </c>
    </row>
    <row r="3853" spans="1:15" x14ac:dyDescent="0.25">
      <c r="A3853" s="43">
        <v>44468</v>
      </c>
      <c r="B3853" s="51">
        <v>1223</v>
      </c>
      <c r="C3853" s="66" t="s">
        <v>199</v>
      </c>
      <c r="D3853" s="66" t="s">
        <v>414</v>
      </c>
      <c r="E3853" t="s">
        <v>17</v>
      </c>
      <c r="F3853" s="50" t="s">
        <v>573</v>
      </c>
      <c r="G3853" s="50" t="s">
        <v>574</v>
      </c>
      <c r="H3853" s="50">
        <v>2</v>
      </c>
      <c r="I3853" s="100">
        <v>6.7391919697301583</v>
      </c>
      <c r="J3853" s="52">
        <v>3834.68</v>
      </c>
      <c r="K3853" s="67">
        <f t="shared" si="244"/>
        <v>31605.55442221896</v>
      </c>
      <c r="L3853" s="95">
        <f>+VLOOKUP(E3853,MARGEN!A:B,2,FALSE)</f>
        <v>0.1</v>
      </c>
      <c r="M3853" s="112">
        <f t="shared" si="241"/>
        <v>3160.5554422218961</v>
      </c>
      <c r="N3853" s="113">
        <f t="shared" si="242"/>
        <v>126.42221768887585</v>
      </c>
      <c r="O3853" s="113">
        <f t="shared" si="243"/>
        <v>28318.576762308188</v>
      </c>
    </row>
    <row r="3854" spans="1:15" x14ac:dyDescent="0.25">
      <c r="A3854" s="43">
        <v>44468</v>
      </c>
      <c r="B3854" s="51">
        <v>1199</v>
      </c>
      <c r="C3854" s="66" t="s">
        <v>299</v>
      </c>
      <c r="D3854" s="66" t="s">
        <v>537</v>
      </c>
      <c r="E3854" t="s">
        <v>17</v>
      </c>
      <c r="F3854" s="50" t="s">
        <v>558</v>
      </c>
      <c r="G3854" s="50" t="s">
        <v>574</v>
      </c>
      <c r="H3854" s="50">
        <v>2</v>
      </c>
      <c r="I3854" s="100">
        <v>6.7391919697301583</v>
      </c>
      <c r="J3854" s="52">
        <v>3834.68</v>
      </c>
      <c r="K3854" s="67">
        <f t="shared" si="244"/>
        <v>30985.330950319327</v>
      </c>
      <c r="L3854" s="95">
        <f>+VLOOKUP(E3854,MARGEN!A:B,2,FALSE)</f>
        <v>0.1</v>
      </c>
      <c r="M3854" s="112">
        <f t="shared" si="241"/>
        <v>3098.533095031933</v>
      </c>
      <c r="N3854" s="113">
        <f t="shared" si="242"/>
        <v>123.94132380127731</v>
      </c>
      <c r="O3854" s="113">
        <f t="shared" si="243"/>
        <v>27762.856531486115</v>
      </c>
    </row>
    <row r="3855" spans="1:15" x14ac:dyDescent="0.25">
      <c r="A3855" s="43">
        <v>44468</v>
      </c>
      <c r="B3855" s="51">
        <v>1199</v>
      </c>
      <c r="C3855" s="66" t="s">
        <v>308</v>
      </c>
      <c r="D3855" s="66" t="s">
        <v>500</v>
      </c>
      <c r="E3855" t="s">
        <v>17</v>
      </c>
      <c r="F3855" s="50" t="s">
        <v>573</v>
      </c>
      <c r="G3855" s="50" t="s">
        <v>574</v>
      </c>
      <c r="H3855" s="50">
        <v>2</v>
      </c>
      <c r="I3855" s="100">
        <v>6.7391919697301583</v>
      </c>
      <c r="J3855" s="52">
        <v>3834.68</v>
      </c>
      <c r="K3855" s="67">
        <f t="shared" si="244"/>
        <v>30985.330950319327</v>
      </c>
      <c r="L3855" s="95">
        <f>+VLOOKUP(E3855,MARGEN!A:B,2,FALSE)</f>
        <v>0.1</v>
      </c>
      <c r="M3855" s="112">
        <f t="shared" si="241"/>
        <v>3098.533095031933</v>
      </c>
      <c r="N3855" s="113">
        <f t="shared" si="242"/>
        <v>123.94132380127731</v>
      </c>
      <c r="O3855" s="113">
        <f t="shared" si="243"/>
        <v>27762.856531486115</v>
      </c>
    </row>
    <row r="3856" spans="1:15" x14ac:dyDescent="0.25">
      <c r="A3856" s="43">
        <v>44468</v>
      </c>
      <c r="B3856" s="51">
        <v>1175</v>
      </c>
      <c r="C3856" s="66" t="s">
        <v>201</v>
      </c>
      <c r="D3856" s="66" t="s">
        <v>374</v>
      </c>
      <c r="E3856" t="s">
        <v>17</v>
      </c>
      <c r="F3856" s="50" t="s">
        <v>573</v>
      </c>
      <c r="G3856" s="50" t="s">
        <v>574</v>
      </c>
      <c r="H3856" s="50">
        <v>2</v>
      </c>
      <c r="I3856" s="100">
        <v>6.7391919697301583</v>
      </c>
      <c r="J3856" s="52">
        <v>3834.68</v>
      </c>
      <c r="K3856" s="67">
        <f t="shared" si="244"/>
        <v>30365.10747841969</v>
      </c>
      <c r="L3856" s="95">
        <f>+VLOOKUP(E3856,MARGEN!A:B,2,FALSE)</f>
        <v>0.1</v>
      </c>
      <c r="M3856" s="112">
        <f t="shared" si="241"/>
        <v>3036.5107478419691</v>
      </c>
      <c r="N3856" s="113">
        <f t="shared" si="242"/>
        <v>121.46042991367877</v>
      </c>
      <c r="O3856" s="113">
        <f t="shared" si="243"/>
        <v>27207.136300664042</v>
      </c>
    </row>
    <row r="3857" spans="1:15" x14ac:dyDescent="0.25">
      <c r="A3857" s="43">
        <v>44468</v>
      </c>
      <c r="B3857" s="51">
        <v>1151</v>
      </c>
      <c r="C3857" s="66" t="s">
        <v>184</v>
      </c>
      <c r="D3857" s="66" t="s">
        <v>443</v>
      </c>
      <c r="E3857" t="s">
        <v>17</v>
      </c>
      <c r="F3857" s="50" t="s">
        <v>573</v>
      </c>
      <c r="G3857" s="50" t="s">
        <v>574</v>
      </c>
      <c r="H3857" s="50">
        <v>2</v>
      </c>
      <c r="I3857" s="100">
        <v>6.7391919697301583</v>
      </c>
      <c r="J3857" s="52">
        <v>3834.68</v>
      </c>
      <c r="K3857" s="67">
        <f t="shared" si="244"/>
        <v>29744.884006520053</v>
      </c>
      <c r="L3857" s="95">
        <f>+VLOOKUP(E3857,MARGEN!A:B,2,FALSE)</f>
        <v>0.1</v>
      </c>
      <c r="M3857" s="112">
        <f t="shared" si="241"/>
        <v>2974.4884006520056</v>
      </c>
      <c r="N3857" s="113">
        <f t="shared" si="242"/>
        <v>118.97953602608021</v>
      </c>
      <c r="O3857" s="113">
        <f t="shared" si="243"/>
        <v>26651.416069841969</v>
      </c>
    </row>
    <row r="3858" spans="1:15" x14ac:dyDescent="0.25">
      <c r="A3858" s="43">
        <v>44468</v>
      </c>
      <c r="B3858" s="51">
        <v>1127</v>
      </c>
      <c r="C3858" s="66" t="s">
        <v>153</v>
      </c>
      <c r="D3858" s="66" t="s">
        <v>444</v>
      </c>
      <c r="E3858" t="s">
        <v>17</v>
      </c>
      <c r="F3858" s="50" t="s">
        <v>573</v>
      </c>
      <c r="G3858" s="50" t="s">
        <v>574</v>
      </c>
      <c r="H3858" s="50">
        <v>2</v>
      </c>
      <c r="I3858" s="100">
        <v>6.7391919697301583</v>
      </c>
      <c r="J3858" s="52">
        <v>3834.68</v>
      </c>
      <c r="K3858" s="67">
        <f t="shared" si="244"/>
        <v>29124.660534620416</v>
      </c>
      <c r="L3858" s="95">
        <f>+VLOOKUP(E3858,MARGEN!A:B,2,FALSE)</f>
        <v>0.1</v>
      </c>
      <c r="M3858" s="112">
        <f t="shared" si="241"/>
        <v>2912.4660534620416</v>
      </c>
      <c r="N3858" s="113">
        <f t="shared" si="242"/>
        <v>116.49864213848167</v>
      </c>
      <c r="O3858" s="113">
        <f t="shared" si="243"/>
        <v>26095.695839019892</v>
      </c>
    </row>
    <row r="3859" spans="1:15" x14ac:dyDescent="0.25">
      <c r="A3859" s="43">
        <v>44468</v>
      </c>
      <c r="B3859" s="51">
        <v>1055</v>
      </c>
      <c r="C3859" s="66" t="s">
        <v>195</v>
      </c>
      <c r="D3859" s="66" t="s">
        <v>392</v>
      </c>
      <c r="E3859" t="s">
        <v>17</v>
      </c>
      <c r="F3859" s="50" t="s">
        <v>558</v>
      </c>
      <c r="G3859" s="50" t="s">
        <v>574</v>
      </c>
      <c r="H3859" s="50">
        <v>2</v>
      </c>
      <c r="I3859" s="100">
        <v>6.7391919697301583</v>
      </c>
      <c r="J3859" s="52">
        <v>3834.68</v>
      </c>
      <c r="K3859" s="67">
        <f t="shared" si="244"/>
        <v>27263.990118921512</v>
      </c>
      <c r="L3859" s="95">
        <f>+VLOOKUP(E3859,MARGEN!A:B,2,FALSE)</f>
        <v>0.1</v>
      </c>
      <c r="M3859" s="112">
        <f t="shared" si="241"/>
        <v>2726.3990118921515</v>
      </c>
      <c r="N3859" s="113">
        <f t="shared" si="242"/>
        <v>109.05596047568605</v>
      </c>
      <c r="O3859" s="113">
        <f t="shared" si="243"/>
        <v>24428.535146553677</v>
      </c>
    </row>
    <row r="3860" spans="1:15" x14ac:dyDescent="0.25">
      <c r="A3860" s="43">
        <v>44468</v>
      </c>
      <c r="B3860" s="51">
        <v>791</v>
      </c>
      <c r="C3860" s="66" t="s">
        <v>307</v>
      </c>
      <c r="D3860" s="66" t="s">
        <v>497</v>
      </c>
      <c r="E3860" t="s">
        <v>17</v>
      </c>
      <c r="F3860" s="50" t="s">
        <v>573</v>
      </c>
      <c r="G3860" s="50" t="s">
        <v>574</v>
      </c>
      <c r="H3860" s="50">
        <v>2</v>
      </c>
      <c r="I3860" s="100">
        <v>6.7391919697301583</v>
      </c>
      <c r="J3860" s="52">
        <v>3834.68</v>
      </c>
      <c r="K3860" s="67">
        <f t="shared" si="244"/>
        <v>20441.53192802551</v>
      </c>
      <c r="L3860" s="95">
        <f>+VLOOKUP(E3860,MARGEN!A:B,2,FALSE)</f>
        <v>0.1</v>
      </c>
      <c r="M3860" s="112">
        <f t="shared" si="241"/>
        <v>2044.1531928025511</v>
      </c>
      <c r="N3860" s="113">
        <f t="shared" si="242"/>
        <v>81.766127712102033</v>
      </c>
      <c r="O3860" s="113">
        <f t="shared" si="243"/>
        <v>18315.612607510859</v>
      </c>
    </row>
    <row r="3861" spans="1:15" x14ac:dyDescent="0.25">
      <c r="A3861" s="43">
        <v>44468</v>
      </c>
      <c r="B3861" s="51">
        <v>767</v>
      </c>
      <c r="C3861" s="66" t="s">
        <v>181</v>
      </c>
      <c r="D3861" s="66" t="s">
        <v>415</v>
      </c>
      <c r="E3861" t="s">
        <v>17</v>
      </c>
      <c r="F3861" s="50" t="s">
        <v>573</v>
      </c>
      <c r="G3861" s="50" t="s">
        <v>574</v>
      </c>
      <c r="H3861" s="50">
        <v>2</v>
      </c>
      <c r="I3861" s="100">
        <v>6.7391919697301583</v>
      </c>
      <c r="J3861" s="52">
        <v>3834.68</v>
      </c>
      <c r="K3861" s="67">
        <f t="shared" si="244"/>
        <v>19821.308456125873</v>
      </c>
      <c r="L3861" s="95">
        <f>+VLOOKUP(E3861,MARGEN!A:B,2,FALSE)</f>
        <v>0.1</v>
      </c>
      <c r="M3861" s="112">
        <f t="shared" si="241"/>
        <v>1982.1308456125873</v>
      </c>
      <c r="N3861" s="113">
        <f t="shared" si="242"/>
        <v>79.285233824503493</v>
      </c>
      <c r="O3861" s="113">
        <f t="shared" si="243"/>
        <v>17759.892376688782</v>
      </c>
    </row>
    <row r="3862" spans="1:15" x14ac:dyDescent="0.25">
      <c r="A3862" s="43">
        <v>44469</v>
      </c>
      <c r="B3862" s="51">
        <v>8231</v>
      </c>
      <c r="C3862" s="66" t="s">
        <v>164</v>
      </c>
      <c r="D3862" s="66" t="s">
        <v>445</v>
      </c>
      <c r="E3862" t="s">
        <v>17</v>
      </c>
      <c r="F3862" s="50" t="s">
        <v>573</v>
      </c>
      <c r="G3862" s="50" t="s">
        <v>574</v>
      </c>
      <c r="H3862" s="50">
        <v>2</v>
      </c>
      <c r="I3862" s="100">
        <v>6.7391919697301583</v>
      </c>
      <c r="J3862" s="52">
        <v>3834.68</v>
      </c>
      <c r="K3862" s="67">
        <f t="shared" si="244"/>
        <v>212710.80821691276</v>
      </c>
      <c r="L3862" s="95">
        <f>+VLOOKUP(E3862,MARGEN!A:B,2,FALSE)</f>
        <v>0.1</v>
      </c>
      <c r="M3862" s="112">
        <f t="shared" si="241"/>
        <v>21271.080821691277</v>
      </c>
      <c r="N3862" s="113">
        <f t="shared" si="242"/>
        <v>850.84323286765107</v>
      </c>
      <c r="O3862" s="113">
        <f t="shared" si="243"/>
        <v>190588.88416235382</v>
      </c>
    </row>
    <row r="3863" spans="1:15" x14ac:dyDescent="0.25">
      <c r="A3863" s="43">
        <v>44469</v>
      </c>
      <c r="B3863" s="51">
        <v>6767</v>
      </c>
      <c r="C3863" s="66" t="s">
        <v>150</v>
      </c>
      <c r="D3863" s="66" t="s">
        <v>357</v>
      </c>
      <c r="E3863" t="s">
        <v>17</v>
      </c>
      <c r="F3863" s="50" t="s">
        <v>573</v>
      </c>
      <c r="G3863" s="50" t="s">
        <v>574</v>
      </c>
      <c r="H3863" s="50">
        <v>2</v>
      </c>
      <c r="I3863" s="100">
        <v>6.7391919697301583</v>
      </c>
      <c r="J3863" s="52">
        <v>3834.68</v>
      </c>
      <c r="K3863" s="67">
        <f t="shared" si="244"/>
        <v>174877.17643103495</v>
      </c>
      <c r="L3863" s="95">
        <f>+VLOOKUP(E3863,MARGEN!A:B,2,FALSE)</f>
        <v>0.1</v>
      </c>
      <c r="M3863" s="112">
        <f t="shared" si="241"/>
        <v>17487.717643103497</v>
      </c>
      <c r="N3863" s="113">
        <f t="shared" si="242"/>
        <v>699.50870572413976</v>
      </c>
      <c r="O3863" s="113">
        <f t="shared" si="243"/>
        <v>156689.9500822073</v>
      </c>
    </row>
    <row r="3864" spans="1:15" x14ac:dyDescent="0.25">
      <c r="A3864" s="43">
        <v>44469</v>
      </c>
      <c r="B3864" s="51">
        <v>5975</v>
      </c>
      <c r="C3864" s="66" t="s">
        <v>279</v>
      </c>
      <c r="D3864" s="66" t="s">
        <v>493</v>
      </c>
      <c r="E3864" t="s">
        <v>17</v>
      </c>
      <c r="F3864" s="50" t="s">
        <v>573</v>
      </c>
      <c r="G3864" s="50" t="s">
        <v>574</v>
      </c>
      <c r="H3864" s="50">
        <v>2</v>
      </c>
      <c r="I3864" s="100">
        <v>6.7391919697301583</v>
      </c>
      <c r="J3864" s="52">
        <v>3834.68</v>
      </c>
      <c r="K3864" s="67">
        <f t="shared" si="244"/>
        <v>154409.80185834694</v>
      </c>
      <c r="L3864" s="95">
        <f>+VLOOKUP(E3864,MARGEN!A:B,2,FALSE)</f>
        <v>0.1</v>
      </c>
      <c r="M3864" s="112">
        <f t="shared" si="241"/>
        <v>15440.980185834695</v>
      </c>
      <c r="N3864" s="113">
        <f t="shared" si="242"/>
        <v>617.63920743338781</v>
      </c>
      <c r="O3864" s="113">
        <f t="shared" si="243"/>
        <v>138351.18246507886</v>
      </c>
    </row>
    <row r="3865" spans="1:15" x14ac:dyDescent="0.25">
      <c r="A3865" s="43">
        <v>44469</v>
      </c>
      <c r="B3865" s="51">
        <v>5303</v>
      </c>
      <c r="C3865" s="66" t="s">
        <v>278</v>
      </c>
      <c r="D3865" s="66" t="s">
        <v>453</v>
      </c>
      <c r="E3865" t="s">
        <v>17</v>
      </c>
      <c r="F3865" s="50" t="s">
        <v>573</v>
      </c>
      <c r="G3865" s="50" t="s">
        <v>574</v>
      </c>
      <c r="H3865" s="50">
        <v>2</v>
      </c>
      <c r="I3865" s="100">
        <v>6.7391919697301583</v>
      </c>
      <c r="J3865" s="52">
        <v>3834.68</v>
      </c>
      <c r="K3865" s="67">
        <f t="shared" si="244"/>
        <v>137043.54464515712</v>
      </c>
      <c r="L3865" s="95">
        <f>+VLOOKUP(E3865,MARGEN!A:B,2,FALSE)</f>
        <v>0.1</v>
      </c>
      <c r="M3865" s="112">
        <f t="shared" si="241"/>
        <v>13704.354464515713</v>
      </c>
      <c r="N3865" s="113">
        <f t="shared" si="242"/>
        <v>548.17417858062845</v>
      </c>
      <c r="O3865" s="113">
        <f t="shared" si="243"/>
        <v>122791.01600206079</v>
      </c>
    </row>
    <row r="3866" spans="1:15" x14ac:dyDescent="0.25">
      <c r="A3866" s="43">
        <v>44469</v>
      </c>
      <c r="B3866" s="51">
        <v>4631</v>
      </c>
      <c r="C3866" s="66" t="s">
        <v>136</v>
      </c>
      <c r="D3866" s="66" t="s">
        <v>359</v>
      </c>
      <c r="E3866" t="s">
        <v>17</v>
      </c>
      <c r="F3866" s="50" t="s">
        <v>573</v>
      </c>
      <c r="G3866" s="50" t="s">
        <v>574</v>
      </c>
      <c r="H3866" s="50">
        <v>2</v>
      </c>
      <c r="I3866" s="100">
        <v>6.7391919697301583</v>
      </c>
      <c r="J3866" s="52">
        <v>3834.68</v>
      </c>
      <c r="K3866" s="67">
        <f t="shared" si="244"/>
        <v>119677.28743196731</v>
      </c>
      <c r="L3866" s="95">
        <f>+VLOOKUP(E3866,MARGEN!A:B,2,FALSE)</f>
        <v>0.1</v>
      </c>
      <c r="M3866" s="112">
        <f t="shared" si="241"/>
        <v>11967.728743196732</v>
      </c>
      <c r="N3866" s="113">
        <f t="shared" si="242"/>
        <v>478.70914972786926</v>
      </c>
      <c r="O3866" s="113">
        <f t="shared" si="243"/>
        <v>107230.84953904271</v>
      </c>
    </row>
    <row r="3867" spans="1:15" x14ac:dyDescent="0.25">
      <c r="A3867" s="43">
        <v>44469</v>
      </c>
      <c r="B3867" s="51">
        <v>4271</v>
      </c>
      <c r="C3867" s="66" t="s">
        <v>193</v>
      </c>
      <c r="D3867" s="66" t="s">
        <v>380</v>
      </c>
      <c r="E3867" t="s">
        <v>17</v>
      </c>
      <c r="F3867" s="50" t="s">
        <v>573</v>
      </c>
      <c r="G3867" s="50" t="s">
        <v>574</v>
      </c>
      <c r="H3867" s="50">
        <v>2</v>
      </c>
      <c r="I3867" s="100">
        <v>6.7391919697301583</v>
      </c>
      <c r="J3867" s="52">
        <v>3834.68</v>
      </c>
      <c r="K3867" s="67">
        <f t="shared" si="244"/>
        <v>110373.93535347277</v>
      </c>
      <c r="L3867" s="95">
        <f>+VLOOKUP(E3867,MARGEN!A:B,2,FALSE)</f>
        <v>0.1</v>
      </c>
      <c r="M3867" s="112">
        <f t="shared" si="241"/>
        <v>11037.393535347277</v>
      </c>
      <c r="N3867" s="113">
        <f t="shared" si="242"/>
        <v>441.4957414138911</v>
      </c>
      <c r="O3867" s="113">
        <f t="shared" si="243"/>
        <v>98895.046076711602</v>
      </c>
    </row>
    <row r="3868" spans="1:15" x14ac:dyDescent="0.25">
      <c r="A3868" s="43">
        <v>44469</v>
      </c>
      <c r="B3868" s="51">
        <v>3791</v>
      </c>
      <c r="C3868" s="66" t="s">
        <v>144</v>
      </c>
      <c r="D3868" s="66" t="s">
        <v>343</v>
      </c>
      <c r="E3868" t="s">
        <v>17</v>
      </c>
      <c r="F3868" s="50" t="s">
        <v>573</v>
      </c>
      <c r="G3868" s="50" t="s">
        <v>574</v>
      </c>
      <c r="H3868" s="50">
        <v>2</v>
      </c>
      <c r="I3868" s="100">
        <v>6.7391919697301583</v>
      </c>
      <c r="J3868" s="52">
        <v>3834.68</v>
      </c>
      <c r="K3868" s="67">
        <f t="shared" si="244"/>
        <v>97969.465915480032</v>
      </c>
      <c r="L3868" s="95">
        <f>+VLOOKUP(E3868,MARGEN!A:B,2,FALSE)</f>
        <v>0.1</v>
      </c>
      <c r="M3868" s="112">
        <f t="shared" si="241"/>
        <v>9796.9465915480032</v>
      </c>
      <c r="N3868" s="113">
        <f t="shared" si="242"/>
        <v>391.87786366192012</v>
      </c>
      <c r="O3868" s="113">
        <f t="shared" si="243"/>
        <v>87780.641460270112</v>
      </c>
    </row>
    <row r="3869" spans="1:15" x14ac:dyDescent="0.25">
      <c r="A3869" s="43">
        <v>44469</v>
      </c>
      <c r="B3869" s="51">
        <v>3623</v>
      </c>
      <c r="C3869" s="66" t="s">
        <v>149</v>
      </c>
      <c r="D3869" s="66" t="s">
        <v>325</v>
      </c>
      <c r="E3869" t="s">
        <v>17</v>
      </c>
      <c r="F3869" s="50" t="s">
        <v>573</v>
      </c>
      <c r="G3869" s="50" t="s">
        <v>574</v>
      </c>
      <c r="H3869" s="50">
        <v>2</v>
      </c>
      <c r="I3869" s="100">
        <v>6.7391919697301583</v>
      </c>
      <c r="J3869" s="52">
        <v>3834.68</v>
      </c>
      <c r="K3869" s="67">
        <f t="shared" si="244"/>
        <v>93627.901612182584</v>
      </c>
      <c r="L3869" s="95">
        <f>+VLOOKUP(E3869,MARGEN!A:B,2,FALSE)</f>
        <v>0.1</v>
      </c>
      <c r="M3869" s="112">
        <f t="shared" si="241"/>
        <v>9362.7901612182595</v>
      </c>
      <c r="N3869" s="113">
        <f t="shared" si="242"/>
        <v>374.51160644873033</v>
      </c>
      <c r="O3869" s="113">
        <f t="shared" si="243"/>
        <v>83890.599844515586</v>
      </c>
    </row>
    <row r="3870" spans="1:15" x14ac:dyDescent="0.25">
      <c r="A3870" s="43">
        <v>44469</v>
      </c>
      <c r="B3870" s="51">
        <v>3479</v>
      </c>
      <c r="C3870" s="66" t="s">
        <v>165</v>
      </c>
      <c r="D3870" s="66" t="s">
        <v>375</v>
      </c>
      <c r="E3870" t="s">
        <v>17</v>
      </c>
      <c r="F3870" s="50" t="s">
        <v>573</v>
      </c>
      <c r="G3870" s="50" t="s">
        <v>574</v>
      </c>
      <c r="H3870" s="50">
        <v>2</v>
      </c>
      <c r="I3870" s="100">
        <v>6.7391919697301583</v>
      </c>
      <c r="J3870" s="52">
        <v>3834.68</v>
      </c>
      <c r="K3870" s="67">
        <f t="shared" si="244"/>
        <v>89906.56078078477</v>
      </c>
      <c r="L3870" s="95">
        <f>+VLOOKUP(E3870,MARGEN!A:B,2,FALSE)</f>
        <v>0.1</v>
      </c>
      <c r="M3870" s="112">
        <f t="shared" si="241"/>
        <v>8990.6560780784766</v>
      </c>
      <c r="N3870" s="113">
        <f t="shared" si="242"/>
        <v>359.62624312313909</v>
      </c>
      <c r="O3870" s="113">
        <f t="shared" si="243"/>
        <v>80556.278459583147</v>
      </c>
    </row>
    <row r="3871" spans="1:15" x14ac:dyDescent="0.25">
      <c r="A3871" s="43">
        <v>44469</v>
      </c>
      <c r="B3871" s="51">
        <v>3383</v>
      </c>
      <c r="C3871" s="66" t="s">
        <v>135</v>
      </c>
      <c r="D3871" s="66" t="s">
        <v>533</v>
      </c>
      <c r="E3871" t="s">
        <v>17</v>
      </c>
      <c r="F3871" s="50" t="s">
        <v>573</v>
      </c>
      <c r="G3871" s="50" t="s">
        <v>574</v>
      </c>
      <c r="H3871" s="50">
        <v>2</v>
      </c>
      <c r="I3871" s="100">
        <v>6.7391919697301583</v>
      </c>
      <c r="J3871" s="52">
        <v>3834.68</v>
      </c>
      <c r="K3871" s="67">
        <f t="shared" si="244"/>
        <v>87425.666893186222</v>
      </c>
      <c r="L3871" s="95">
        <f>+VLOOKUP(E3871,MARGEN!A:B,2,FALSE)</f>
        <v>0.1</v>
      </c>
      <c r="M3871" s="112">
        <f t="shared" si="241"/>
        <v>8742.5666893186226</v>
      </c>
      <c r="N3871" s="113">
        <f t="shared" si="242"/>
        <v>349.70266757274487</v>
      </c>
      <c r="O3871" s="113">
        <f t="shared" si="243"/>
        <v>78333.397536294855</v>
      </c>
    </row>
    <row r="3872" spans="1:15" x14ac:dyDescent="0.25">
      <c r="A3872" s="43">
        <v>44469</v>
      </c>
      <c r="B3872" s="51">
        <v>3359</v>
      </c>
      <c r="C3872" s="66" t="s">
        <v>309</v>
      </c>
      <c r="D3872" s="66" t="s">
        <v>544</v>
      </c>
      <c r="E3872" t="s">
        <v>17</v>
      </c>
      <c r="F3872" s="50" t="s">
        <v>573</v>
      </c>
      <c r="G3872" s="50" t="s">
        <v>574</v>
      </c>
      <c r="H3872" s="50">
        <v>2</v>
      </c>
      <c r="I3872" s="100">
        <v>6.7391919697301583</v>
      </c>
      <c r="J3872" s="52">
        <v>3834.68</v>
      </c>
      <c r="K3872" s="67">
        <f t="shared" si="244"/>
        <v>86805.443421286589</v>
      </c>
      <c r="L3872" s="95">
        <f>+VLOOKUP(E3872,MARGEN!A:B,2,FALSE)</f>
        <v>0.1</v>
      </c>
      <c r="M3872" s="112">
        <f t="shared" si="241"/>
        <v>8680.54434212866</v>
      </c>
      <c r="N3872" s="113">
        <f t="shared" si="242"/>
        <v>347.22177368514633</v>
      </c>
      <c r="O3872" s="113">
        <f t="shared" si="243"/>
        <v>77777.677305472782</v>
      </c>
    </row>
    <row r="3873" spans="1:15" x14ac:dyDescent="0.25">
      <c r="A3873" s="43">
        <v>44469</v>
      </c>
      <c r="B3873" s="51">
        <v>2903</v>
      </c>
      <c r="C3873" s="66" t="s">
        <v>134</v>
      </c>
      <c r="D3873" s="66" t="s">
        <v>362</v>
      </c>
      <c r="E3873" t="s">
        <v>17</v>
      </c>
      <c r="F3873" s="50" t="s">
        <v>573</v>
      </c>
      <c r="G3873" s="50" t="s">
        <v>574</v>
      </c>
      <c r="H3873" s="50">
        <v>2</v>
      </c>
      <c r="I3873" s="100">
        <v>6.7391919697301583</v>
      </c>
      <c r="J3873" s="52">
        <v>3834.68</v>
      </c>
      <c r="K3873" s="67">
        <f t="shared" si="244"/>
        <v>75021.197455193484</v>
      </c>
      <c r="L3873" s="95">
        <f>+VLOOKUP(E3873,MARGEN!A:B,2,FALSE)</f>
        <v>0.1</v>
      </c>
      <c r="M3873" s="112">
        <f t="shared" si="241"/>
        <v>7502.1197455193487</v>
      </c>
      <c r="N3873" s="113">
        <f t="shared" si="242"/>
        <v>300.08478982077395</v>
      </c>
      <c r="O3873" s="113">
        <f t="shared" si="243"/>
        <v>67218.992919853365</v>
      </c>
    </row>
    <row r="3874" spans="1:15" x14ac:dyDescent="0.25">
      <c r="A3874" s="43">
        <v>44469</v>
      </c>
      <c r="B3874" s="51">
        <v>2783</v>
      </c>
      <c r="C3874" s="66" t="s">
        <v>131</v>
      </c>
      <c r="D3874" s="66" t="s">
        <v>344</v>
      </c>
      <c r="E3874" t="s">
        <v>17</v>
      </c>
      <c r="F3874" s="50" t="s">
        <v>573</v>
      </c>
      <c r="G3874" s="50" t="s">
        <v>574</v>
      </c>
      <c r="H3874" s="50">
        <v>2</v>
      </c>
      <c r="I3874" s="100">
        <v>6.7391919697301583</v>
      </c>
      <c r="J3874" s="52">
        <v>3834.68</v>
      </c>
      <c r="K3874" s="67">
        <f t="shared" si="244"/>
        <v>71920.080095695317</v>
      </c>
      <c r="L3874" s="95">
        <f>+VLOOKUP(E3874,MARGEN!A:B,2,FALSE)</f>
        <v>0.1</v>
      </c>
      <c r="M3874" s="112">
        <f t="shared" si="241"/>
        <v>7192.0080095695321</v>
      </c>
      <c r="N3874" s="113">
        <f t="shared" si="242"/>
        <v>287.68032038278125</v>
      </c>
      <c r="O3874" s="113">
        <f t="shared" si="243"/>
        <v>64440.391765743007</v>
      </c>
    </row>
    <row r="3875" spans="1:15" x14ac:dyDescent="0.25">
      <c r="A3875" s="43">
        <v>44469</v>
      </c>
      <c r="B3875" s="51">
        <v>2711</v>
      </c>
      <c r="C3875" s="66" t="s">
        <v>132</v>
      </c>
      <c r="D3875" s="66" t="s">
        <v>376</v>
      </c>
      <c r="E3875" t="s">
        <v>17</v>
      </c>
      <c r="F3875" s="50" t="s">
        <v>573</v>
      </c>
      <c r="G3875" s="50" t="s">
        <v>574</v>
      </c>
      <c r="H3875" s="50">
        <v>2</v>
      </c>
      <c r="I3875" s="100">
        <v>6.7391919697301583</v>
      </c>
      <c r="J3875" s="52">
        <v>3834.68</v>
      </c>
      <c r="K3875" s="67">
        <f t="shared" si="244"/>
        <v>70059.409679996417</v>
      </c>
      <c r="L3875" s="95">
        <f>+VLOOKUP(E3875,MARGEN!A:B,2,FALSE)</f>
        <v>0.1</v>
      </c>
      <c r="M3875" s="112">
        <f t="shared" si="241"/>
        <v>7005.9409679996425</v>
      </c>
      <c r="N3875" s="113">
        <f t="shared" si="242"/>
        <v>280.23763871998568</v>
      </c>
      <c r="O3875" s="113">
        <f t="shared" si="243"/>
        <v>62773.231073276787</v>
      </c>
    </row>
    <row r="3876" spans="1:15" x14ac:dyDescent="0.25">
      <c r="A3876" s="43">
        <v>44469</v>
      </c>
      <c r="B3876" s="51">
        <v>2663</v>
      </c>
      <c r="C3876" s="66" t="s">
        <v>186</v>
      </c>
      <c r="D3876" s="66" t="s">
        <v>440</v>
      </c>
      <c r="E3876" t="s">
        <v>17</v>
      </c>
      <c r="F3876" s="50" t="s">
        <v>573</v>
      </c>
      <c r="G3876" s="50" t="s">
        <v>574</v>
      </c>
      <c r="H3876" s="50">
        <v>2</v>
      </c>
      <c r="I3876" s="100">
        <v>6.7391919697301583</v>
      </c>
      <c r="J3876" s="52">
        <v>3834.68</v>
      </c>
      <c r="K3876" s="67">
        <f t="shared" si="244"/>
        <v>68818.962736197136</v>
      </c>
      <c r="L3876" s="95">
        <f>+VLOOKUP(E3876,MARGEN!A:B,2,FALSE)</f>
        <v>0.1</v>
      </c>
      <c r="M3876" s="112">
        <f t="shared" si="241"/>
        <v>6881.8962736197136</v>
      </c>
      <c r="N3876" s="113">
        <f t="shared" si="242"/>
        <v>275.27585094478854</v>
      </c>
      <c r="O3876" s="113">
        <f t="shared" si="243"/>
        <v>61661.790611632634</v>
      </c>
    </row>
    <row r="3877" spans="1:15" x14ac:dyDescent="0.25">
      <c r="A3877" s="43">
        <v>44469</v>
      </c>
      <c r="B3877" s="51">
        <v>2567</v>
      </c>
      <c r="C3877" s="66" t="s">
        <v>310</v>
      </c>
      <c r="D3877" s="66" t="s">
        <v>540</v>
      </c>
      <c r="E3877" t="s">
        <v>17</v>
      </c>
      <c r="F3877" s="50" t="s">
        <v>573</v>
      </c>
      <c r="G3877" s="50" t="s">
        <v>574</v>
      </c>
      <c r="H3877" s="50">
        <v>2</v>
      </c>
      <c r="I3877" s="100">
        <v>6.7391919697301583</v>
      </c>
      <c r="J3877" s="52">
        <v>3834.68</v>
      </c>
      <c r="K3877" s="67">
        <f t="shared" si="244"/>
        <v>66338.068848598588</v>
      </c>
      <c r="L3877" s="95">
        <f>+VLOOKUP(E3877,MARGEN!A:B,2,FALSE)</f>
        <v>0.1</v>
      </c>
      <c r="M3877" s="112">
        <f t="shared" si="241"/>
        <v>6633.8068848598596</v>
      </c>
      <c r="N3877" s="113">
        <f t="shared" si="242"/>
        <v>265.35227539439433</v>
      </c>
      <c r="O3877" s="113">
        <f t="shared" si="243"/>
        <v>59438.909688344334</v>
      </c>
    </row>
    <row r="3878" spans="1:15" x14ac:dyDescent="0.25">
      <c r="A3878" s="43">
        <v>44469</v>
      </c>
      <c r="B3878" s="51">
        <v>2567</v>
      </c>
      <c r="C3878" s="66" t="s">
        <v>146</v>
      </c>
      <c r="D3878" s="66" t="s">
        <v>348</v>
      </c>
      <c r="E3878" t="s">
        <v>17</v>
      </c>
      <c r="F3878" s="50" t="s">
        <v>573</v>
      </c>
      <c r="G3878" s="50" t="s">
        <v>574</v>
      </c>
      <c r="H3878" s="50">
        <v>2</v>
      </c>
      <c r="I3878" s="100">
        <v>6.7391919697301583</v>
      </c>
      <c r="J3878" s="52">
        <v>3834.68</v>
      </c>
      <c r="K3878" s="67">
        <f t="shared" si="244"/>
        <v>66338.068848598588</v>
      </c>
      <c r="L3878" s="95">
        <f>+VLOOKUP(E3878,MARGEN!A:B,2,FALSE)</f>
        <v>0.1</v>
      </c>
      <c r="M3878" s="112">
        <f t="shared" si="241"/>
        <v>6633.8068848598596</v>
      </c>
      <c r="N3878" s="113">
        <f t="shared" si="242"/>
        <v>265.35227539439433</v>
      </c>
      <c r="O3878" s="113">
        <f t="shared" si="243"/>
        <v>59438.909688344334</v>
      </c>
    </row>
    <row r="3879" spans="1:15" x14ac:dyDescent="0.25">
      <c r="A3879" s="43">
        <v>44469</v>
      </c>
      <c r="B3879" s="51">
        <v>2543</v>
      </c>
      <c r="C3879" s="66" t="s">
        <v>163</v>
      </c>
      <c r="D3879" s="66" t="s">
        <v>398</v>
      </c>
      <c r="E3879" t="s">
        <v>17</v>
      </c>
      <c r="F3879" s="50" t="s">
        <v>573</v>
      </c>
      <c r="G3879" s="50" t="s">
        <v>574</v>
      </c>
      <c r="H3879" s="50">
        <v>2</v>
      </c>
      <c r="I3879" s="100">
        <v>6.7391919697301583</v>
      </c>
      <c r="J3879" s="52">
        <v>3834.68</v>
      </c>
      <c r="K3879" s="67">
        <f t="shared" si="244"/>
        <v>65717.84537669897</v>
      </c>
      <c r="L3879" s="95">
        <f>+VLOOKUP(E3879,MARGEN!A:B,2,FALSE)</f>
        <v>0.1</v>
      </c>
      <c r="M3879" s="112">
        <f t="shared" si="241"/>
        <v>6571.784537669897</v>
      </c>
      <c r="N3879" s="113">
        <f t="shared" si="242"/>
        <v>262.8713815067959</v>
      </c>
      <c r="O3879" s="113">
        <f t="shared" si="243"/>
        <v>58883.189457522276</v>
      </c>
    </row>
    <row r="3880" spans="1:15" x14ac:dyDescent="0.25">
      <c r="A3880" s="43">
        <v>44469</v>
      </c>
      <c r="B3880" s="51">
        <v>2519</v>
      </c>
      <c r="C3880" s="66" t="s">
        <v>127</v>
      </c>
      <c r="D3880" s="66" t="s">
        <v>411</v>
      </c>
      <c r="E3880" t="s">
        <v>17</v>
      </c>
      <c r="F3880" s="50" t="s">
        <v>573</v>
      </c>
      <c r="G3880" s="50" t="s">
        <v>574</v>
      </c>
      <c r="H3880" s="50">
        <v>2</v>
      </c>
      <c r="I3880" s="100">
        <v>6.7391919697301583</v>
      </c>
      <c r="J3880" s="52">
        <v>3834.68</v>
      </c>
      <c r="K3880" s="67">
        <f t="shared" si="244"/>
        <v>65097.621904799322</v>
      </c>
      <c r="L3880" s="95">
        <f>+VLOOKUP(E3880,MARGEN!A:B,2,FALSE)</f>
        <v>0.1</v>
      </c>
      <c r="M3880" s="112">
        <f t="shared" si="241"/>
        <v>6509.7621904799325</v>
      </c>
      <c r="N3880" s="113">
        <f t="shared" si="242"/>
        <v>260.3904876191973</v>
      </c>
      <c r="O3880" s="113">
        <f t="shared" si="243"/>
        <v>58327.469226700196</v>
      </c>
    </row>
    <row r="3881" spans="1:15" x14ac:dyDescent="0.25">
      <c r="A3881" s="43">
        <v>44469</v>
      </c>
      <c r="B3881" s="51">
        <v>2423</v>
      </c>
      <c r="C3881" s="66" t="s">
        <v>281</v>
      </c>
      <c r="D3881" s="66" t="s">
        <v>495</v>
      </c>
      <c r="E3881" t="s">
        <v>17</v>
      </c>
      <c r="F3881" s="50" t="s">
        <v>573</v>
      </c>
      <c r="G3881" s="50" t="s">
        <v>574</v>
      </c>
      <c r="H3881" s="50">
        <v>2</v>
      </c>
      <c r="I3881" s="100">
        <v>6.7391919697301583</v>
      </c>
      <c r="J3881" s="52">
        <v>3834.68</v>
      </c>
      <c r="K3881" s="67">
        <f t="shared" si="244"/>
        <v>62616.728017200774</v>
      </c>
      <c r="L3881" s="95">
        <f>+VLOOKUP(E3881,MARGEN!A:B,2,FALSE)</f>
        <v>0.1</v>
      </c>
      <c r="M3881" s="112">
        <f t="shared" si="241"/>
        <v>6261.6728017200776</v>
      </c>
      <c r="N3881" s="113">
        <f t="shared" si="242"/>
        <v>250.46691206880308</v>
      </c>
      <c r="O3881" s="113">
        <f t="shared" si="243"/>
        <v>56104.588303411889</v>
      </c>
    </row>
    <row r="3882" spans="1:15" x14ac:dyDescent="0.25">
      <c r="A3882" s="43">
        <v>44469</v>
      </c>
      <c r="B3882" s="51">
        <v>2327</v>
      </c>
      <c r="C3882" s="66" t="s">
        <v>156</v>
      </c>
      <c r="D3882" s="66" t="s">
        <v>429</v>
      </c>
      <c r="E3882" t="s">
        <v>17</v>
      </c>
      <c r="F3882" s="50" t="s">
        <v>573</v>
      </c>
      <c r="G3882" s="50" t="s">
        <v>574</v>
      </c>
      <c r="H3882" s="50">
        <v>2</v>
      </c>
      <c r="I3882" s="100">
        <v>6.7391919697301583</v>
      </c>
      <c r="J3882" s="52">
        <v>3834.68</v>
      </c>
      <c r="K3882" s="67">
        <f t="shared" si="244"/>
        <v>60135.834129602234</v>
      </c>
      <c r="L3882" s="95">
        <f>+VLOOKUP(E3882,MARGEN!A:B,2,FALSE)</f>
        <v>0.1</v>
      </c>
      <c r="M3882" s="112">
        <f t="shared" si="241"/>
        <v>6013.5834129602235</v>
      </c>
      <c r="N3882" s="113">
        <f t="shared" si="242"/>
        <v>240.54333651840892</v>
      </c>
      <c r="O3882" s="113">
        <f t="shared" si="243"/>
        <v>53881.707380123604</v>
      </c>
    </row>
    <row r="3883" spans="1:15" x14ac:dyDescent="0.25">
      <c r="A3883" s="43">
        <v>44469</v>
      </c>
      <c r="B3883" s="51">
        <v>2303</v>
      </c>
      <c r="C3883" s="66" t="s">
        <v>130</v>
      </c>
      <c r="D3883" s="66" t="s">
        <v>367</v>
      </c>
      <c r="E3883" t="s">
        <v>17</v>
      </c>
      <c r="F3883" s="50" t="s">
        <v>573</v>
      </c>
      <c r="G3883" s="50" t="s">
        <v>574</v>
      </c>
      <c r="H3883" s="50">
        <v>2</v>
      </c>
      <c r="I3883" s="100">
        <v>6.7391919697301583</v>
      </c>
      <c r="J3883" s="52">
        <v>3834.68</v>
      </c>
      <c r="K3883" s="67">
        <f t="shared" si="244"/>
        <v>59515.610657702593</v>
      </c>
      <c r="L3883" s="95">
        <f>+VLOOKUP(E3883,MARGEN!A:B,2,FALSE)</f>
        <v>0.1</v>
      </c>
      <c r="M3883" s="112">
        <f t="shared" si="241"/>
        <v>5951.56106577026</v>
      </c>
      <c r="N3883" s="113">
        <f t="shared" si="242"/>
        <v>238.06244263081038</v>
      </c>
      <c r="O3883" s="113">
        <f t="shared" si="243"/>
        <v>53325.987149301516</v>
      </c>
    </row>
    <row r="3884" spans="1:15" x14ac:dyDescent="0.25">
      <c r="A3884" s="43">
        <v>44469</v>
      </c>
      <c r="B3884" s="51">
        <v>2303</v>
      </c>
      <c r="C3884" s="66" t="s">
        <v>128</v>
      </c>
      <c r="D3884" s="66" t="s">
        <v>416</v>
      </c>
      <c r="E3884" t="s">
        <v>17</v>
      </c>
      <c r="F3884" s="50" t="s">
        <v>573</v>
      </c>
      <c r="G3884" s="50" t="s">
        <v>574</v>
      </c>
      <c r="H3884" s="50">
        <v>2</v>
      </c>
      <c r="I3884" s="100">
        <v>6.7391919697301583</v>
      </c>
      <c r="J3884" s="52">
        <v>3834.68</v>
      </c>
      <c r="K3884" s="67">
        <f t="shared" si="244"/>
        <v>59515.610657702593</v>
      </c>
      <c r="L3884" s="95">
        <f>+VLOOKUP(E3884,MARGEN!A:B,2,FALSE)</f>
        <v>0.1</v>
      </c>
      <c r="M3884" s="112">
        <f t="shared" si="241"/>
        <v>5951.56106577026</v>
      </c>
      <c r="N3884" s="113">
        <f t="shared" si="242"/>
        <v>238.06244263081038</v>
      </c>
      <c r="O3884" s="113">
        <f t="shared" si="243"/>
        <v>53325.987149301516</v>
      </c>
    </row>
    <row r="3885" spans="1:15" x14ac:dyDescent="0.25">
      <c r="A3885" s="43">
        <v>44469</v>
      </c>
      <c r="B3885" s="51">
        <v>2255</v>
      </c>
      <c r="C3885" s="66" t="s">
        <v>122</v>
      </c>
      <c r="D3885" s="66" t="s">
        <v>446</v>
      </c>
      <c r="E3885" t="s">
        <v>17</v>
      </c>
      <c r="F3885" s="50" t="s">
        <v>573</v>
      </c>
      <c r="G3885" s="50" t="s">
        <v>574</v>
      </c>
      <c r="H3885" s="50">
        <v>2</v>
      </c>
      <c r="I3885" s="100">
        <v>6.7391919697301583</v>
      </c>
      <c r="J3885" s="52">
        <v>3834.68</v>
      </c>
      <c r="K3885" s="67">
        <f t="shared" si="244"/>
        <v>58275.163713903326</v>
      </c>
      <c r="L3885" s="95">
        <f>+VLOOKUP(E3885,MARGEN!A:B,2,FALSE)</f>
        <v>0.1</v>
      </c>
      <c r="M3885" s="112">
        <f t="shared" si="241"/>
        <v>5827.516371390333</v>
      </c>
      <c r="N3885" s="113">
        <f t="shared" si="242"/>
        <v>233.1006548556133</v>
      </c>
      <c r="O3885" s="113">
        <f t="shared" si="243"/>
        <v>52214.546687657385</v>
      </c>
    </row>
    <row r="3886" spans="1:15" x14ac:dyDescent="0.25">
      <c r="A3886" s="43">
        <v>44469</v>
      </c>
      <c r="B3886" s="51">
        <v>2255</v>
      </c>
      <c r="C3886" s="66" t="s">
        <v>283</v>
      </c>
      <c r="D3886" s="66" t="s">
        <v>543</v>
      </c>
      <c r="E3886" t="s">
        <v>17</v>
      </c>
      <c r="F3886" s="50" t="s">
        <v>573</v>
      </c>
      <c r="G3886" s="50" t="s">
        <v>574</v>
      </c>
      <c r="H3886" s="50">
        <v>2</v>
      </c>
      <c r="I3886" s="100">
        <v>6.7391919697301583</v>
      </c>
      <c r="J3886" s="52">
        <v>3834.68</v>
      </c>
      <c r="K3886" s="67">
        <f t="shared" si="244"/>
        <v>58275.163713903326</v>
      </c>
      <c r="L3886" s="95">
        <f>+VLOOKUP(E3886,MARGEN!A:B,2,FALSE)</f>
        <v>0.1</v>
      </c>
      <c r="M3886" s="112">
        <f t="shared" si="241"/>
        <v>5827.516371390333</v>
      </c>
      <c r="N3886" s="113">
        <f t="shared" si="242"/>
        <v>233.1006548556133</v>
      </c>
      <c r="O3886" s="113">
        <f t="shared" si="243"/>
        <v>52214.546687657385</v>
      </c>
    </row>
    <row r="3887" spans="1:15" x14ac:dyDescent="0.25">
      <c r="A3887" s="43">
        <v>44469</v>
      </c>
      <c r="B3887" s="51">
        <v>2231</v>
      </c>
      <c r="C3887" s="66" t="s">
        <v>126</v>
      </c>
      <c r="D3887" s="66" t="s">
        <v>438</v>
      </c>
      <c r="E3887" t="s">
        <v>17</v>
      </c>
      <c r="F3887" s="50" t="s">
        <v>573</v>
      </c>
      <c r="G3887" s="50" t="s">
        <v>574</v>
      </c>
      <c r="H3887" s="50">
        <v>2</v>
      </c>
      <c r="I3887" s="100">
        <v>6.7391919697301583</v>
      </c>
      <c r="J3887" s="52">
        <v>3834.68</v>
      </c>
      <c r="K3887" s="67">
        <f t="shared" si="244"/>
        <v>57654.940242003679</v>
      </c>
      <c r="L3887" s="95">
        <f>+VLOOKUP(E3887,MARGEN!A:B,2,FALSE)</f>
        <v>0.1</v>
      </c>
      <c r="M3887" s="112">
        <f t="shared" si="241"/>
        <v>5765.4940242003686</v>
      </c>
      <c r="N3887" s="113">
        <f t="shared" si="242"/>
        <v>230.6197609680147</v>
      </c>
      <c r="O3887" s="113">
        <f t="shared" si="243"/>
        <v>51658.826456835297</v>
      </c>
    </row>
    <row r="3888" spans="1:15" x14ac:dyDescent="0.25">
      <c r="A3888" s="43">
        <v>44469</v>
      </c>
      <c r="B3888" s="51">
        <v>2231</v>
      </c>
      <c r="C3888" s="66" t="s">
        <v>157</v>
      </c>
      <c r="D3888" s="66" t="s">
        <v>435</v>
      </c>
      <c r="E3888" t="s">
        <v>17</v>
      </c>
      <c r="F3888" s="50" t="s">
        <v>573</v>
      </c>
      <c r="G3888" s="50" t="s">
        <v>574</v>
      </c>
      <c r="H3888" s="50">
        <v>2</v>
      </c>
      <c r="I3888" s="100">
        <v>6.7391919697301583</v>
      </c>
      <c r="J3888" s="52">
        <v>3834.68</v>
      </c>
      <c r="K3888" s="67">
        <f t="shared" si="244"/>
        <v>57654.940242003679</v>
      </c>
      <c r="L3888" s="95">
        <f>+VLOOKUP(E3888,MARGEN!A:B,2,FALSE)</f>
        <v>0.1</v>
      </c>
      <c r="M3888" s="112">
        <f t="shared" si="241"/>
        <v>5765.4940242003686</v>
      </c>
      <c r="N3888" s="113">
        <f t="shared" si="242"/>
        <v>230.6197609680147</v>
      </c>
      <c r="O3888" s="113">
        <f t="shared" si="243"/>
        <v>51658.826456835297</v>
      </c>
    </row>
    <row r="3889" spans="1:15" x14ac:dyDescent="0.25">
      <c r="A3889" s="43">
        <v>44469</v>
      </c>
      <c r="B3889" s="51">
        <v>2159</v>
      </c>
      <c r="C3889" s="66" t="s">
        <v>282</v>
      </c>
      <c r="D3889" s="66" t="s">
        <v>494</v>
      </c>
      <c r="E3889" t="s">
        <v>17</v>
      </c>
      <c r="F3889" s="50" t="s">
        <v>573</v>
      </c>
      <c r="G3889" s="50" t="s">
        <v>574</v>
      </c>
      <c r="H3889" s="50">
        <v>2</v>
      </c>
      <c r="I3889" s="100">
        <v>6.7391919697301583</v>
      </c>
      <c r="J3889" s="52">
        <v>3834.68</v>
      </c>
      <c r="K3889" s="67">
        <f t="shared" si="244"/>
        <v>55794.269826304779</v>
      </c>
      <c r="L3889" s="95">
        <f>+VLOOKUP(E3889,MARGEN!A:B,2,FALSE)</f>
        <v>0.1</v>
      </c>
      <c r="M3889" s="112">
        <f t="shared" si="241"/>
        <v>5579.4269826304781</v>
      </c>
      <c r="N3889" s="113">
        <f t="shared" si="242"/>
        <v>223.17707930521911</v>
      </c>
      <c r="O3889" s="113">
        <f t="shared" si="243"/>
        <v>49991.665764369078</v>
      </c>
    </row>
    <row r="3890" spans="1:15" x14ac:dyDescent="0.25">
      <c r="A3890" s="43">
        <v>44469</v>
      </c>
      <c r="B3890" s="51">
        <v>2015</v>
      </c>
      <c r="C3890" s="66" t="s">
        <v>123</v>
      </c>
      <c r="D3890" s="66" t="s">
        <v>396</v>
      </c>
      <c r="E3890" t="s">
        <v>17</v>
      </c>
      <c r="F3890" s="50" t="s">
        <v>573</v>
      </c>
      <c r="G3890" s="50" t="s">
        <v>574</v>
      </c>
      <c r="H3890" s="50">
        <v>2</v>
      </c>
      <c r="I3890" s="100">
        <v>6.7391919697301583</v>
      </c>
      <c r="J3890" s="52">
        <v>3834.68</v>
      </c>
      <c r="K3890" s="67">
        <f t="shared" si="244"/>
        <v>52072.928994906957</v>
      </c>
      <c r="L3890" s="95">
        <f>+VLOOKUP(E3890,MARGEN!A:B,2,FALSE)</f>
        <v>0.1</v>
      </c>
      <c r="M3890" s="112">
        <f t="shared" si="241"/>
        <v>5207.2928994906961</v>
      </c>
      <c r="N3890" s="113">
        <f t="shared" si="242"/>
        <v>208.29171597962784</v>
      </c>
      <c r="O3890" s="113">
        <f t="shared" si="243"/>
        <v>46657.344379436632</v>
      </c>
    </row>
    <row r="3891" spans="1:15" x14ac:dyDescent="0.25">
      <c r="A3891" s="43">
        <v>44469</v>
      </c>
      <c r="B3891" s="51">
        <v>1991</v>
      </c>
      <c r="C3891" s="66" t="s">
        <v>295</v>
      </c>
      <c r="D3891" s="66" t="s">
        <v>532</v>
      </c>
      <c r="E3891" t="s">
        <v>17</v>
      </c>
      <c r="F3891" s="50" t="s">
        <v>573</v>
      </c>
      <c r="G3891" s="50" t="s">
        <v>574</v>
      </c>
      <c r="H3891" s="50">
        <v>2</v>
      </c>
      <c r="I3891" s="100">
        <v>6.7391919697301583</v>
      </c>
      <c r="J3891" s="52">
        <v>3834.68</v>
      </c>
      <c r="K3891" s="67">
        <f t="shared" si="244"/>
        <v>51452.705523007324</v>
      </c>
      <c r="L3891" s="95">
        <f>+VLOOKUP(E3891,MARGEN!A:B,2,FALSE)</f>
        <v>0.1</v>
      </c>
      <c r="M3891" s="112">
        <f t="shared" si="241"/>
        <v>5145.2705523007326</v>
      </c>
      <c r="N3891" s="113">
        <f t="shared" si="242"/>
        <v>205.8108220920293</v>
      </c>
      <c r="O3891" s="113">
        <f t="shared" si="243"/>
        <v>46101.624148614566</v>
      </c>
    </row>
    <row r="3892" spans="1:15" x14ac:dyDescent="0.25">
      <c r="A3892" s="43">
        <v>44469</v>
      </c>
      <c r="B3892" s="51">
        <v>1967</v>
      </c>
      <c r="C3892" s="66" t="s">
        <v>155</v>
      </c>
      <c r="D3892" s="66" t="s">
        <v>399</v>
      </c>
      <c r="E3892" t="s">
        <v>17</v>
      </c>
      <c r="F3892" s="50" t="s">
        <v>573</v>
      </c>
      <c r="G3892" s="50" t="s">
        <v>574</v>
      </c>
      <c r="H3892" s="50">
        <v>2</v>
      </c>
      <c r="I3892" s="100">
        <v>6.7391919697301583</v>
      </c>
      <c r="J3892" s="52">
        <v>3834.68</v>
      </c>
      <c r="K3892" s="67">
        <f t="shared" si="244"/>
        <v>50832.482051107683</v>
      </c>
      <c r="L3892" s="95">
        <f>+VLOOKUP(E3892,MARGEN!A:B,2,FALSE)</f>
        <v>0.1</v>
      </c>
      <c r="M3892" s="112">
        <f t="shared" si="241"/>
        <v>5083.248205110769</v>
      </c>
      <c r="N3892" s="113">
        <f t="shared" si="242"/>
        <v>203.32992820443073</v>
      </c>
      <c r="O3892" s="113">
        <f t="shared" si="243"/>
        <v>45545.903917792486</v>
      </c>
    </row>
    <row r="3893" spans="1:15" x14ac:dyDescent="0.25">
      <c r="A3893" s="43">
        <v>44469</v>
      </c>
      <c r="B3893" s="51">
        <v>1847</v>
      </c>
      <c r="C3893" s="66" t="s">
        <v>125</v>
      </c>
      <c r="D3893" s="66" t="s">
        <v>341</v>
      </c>
      <c r="E3893" t="s">
        <v>17</v>
      </c>
      <c r="F3893" s="50" t="s">
        <v>573</v>
      </c>
      <c r="G3893" s="50" t="s">
        <v>574</v>
      </c>
      <c r="H3893" s="50">
        <v>2</v>
      </c>
      <c r="I3893" s="100">
        <v>6.7391919697301583</v>
      </c>
      <c r="J3893" s="52">
        <v>3834.68</v>
      </c>
      <c r="K3893" s="67">
        <f t="shared" si="244"/>
        <v>47731.364691609502</v>
      </c>
      <c r="L3893" s="95">
        <f>+VLOOKUP(E3893,MARGEN!A:B,2,FALSE)</f>
        <v>0.1</v>
      </c>
      <c r="M3893" s="112">
        <f t="shared" si="241"/>
        <v>4773.1364691609506</v>
      </c>
      <c r="N3893" s="113">
        <f t="shared" si="242"/>
        <v>190.925458766438</v>
      </c>
      <c r="O3893" s="113">
        <f t="shared" si="243"/>
        <v>42767.302763682113</v>
      </c>
    </row>
    <row r="3894" spans="1:15" x14ac:dyDescent="0.25">
      <c r="A3894" s="43">
        <v>44469</v>
      </c>
      <c r="B3894" s="51">
        <v>1823</v>
      </c>
      <c r="C3894" s="66" t="s">
        <v>304</v>
      </c>
      <c r="D3894" s="66" t="s">
        <v>522</v>
      </c>
      <c r="E3894" t="s">
        <v>17</v>
      </c>
      <c r="F3894" s="50" t="s">
        <v>573</v>
      </c>
      <c r="G3894" s="50" t="s">
        <v>574</v>
      </c>
      <c r="H3894" s="50">
        <v>2</v>
      </c>
      <c r="I3894" s="100">
        <v>6.7391919697301583</v>
      </c>
      <c r="J3894" s="52">
        <v>3834.68</v>
      </c>
      <c r="K3894" s="67">
        <f t="shared" si="244"/>
        <v>47111.141219709876</v>
      </c>
      <c r="L3894" s="95">
        <f>+VLOOKUP(E3894,MARGEN!A:B,2,FALSE)</f>
        <v>0.1</v>
      </c>
      <c r="M3894" s="112">
        <f t="shared" si="241"/>
        <v>4711.114121970988</v>
      </c>
      <c r="N3894" s="113">
        <f t="shared" si="242"/>
        <v>188.44456487883951</v>
      </c>
      <c r="O3894" s="113">
        <f t="shared" si="243"/>
        <v>42211.582532860048</v>
      </c>
    </row>
    <row r="3895" spans="1:15" x14ac:dyDescent="0.25">
      <c r="A3895" s="43">
        <v>44469</v>
      </c>
      <c r="B3895" s="51">
        <v>1751</v>
      </c>
      <c r="C3895" s="66" t="s">
        <v>154</v>
      </c>
      <c r="D3895" s="66" t="s">
        <v>419</v>
      </c>
      <c r="E3895" t="s">
        <v>17</v>
      </c>
      <c r="F3895" s="50" t="s">
        <v>573</v>
      </c>
      <c r="G3895" s="50" t="s">
        <v>574</v>
      </c>
      <c r="H3895" s="50">
        <v>2</v>
      </c>
      <c r="I3895" s="100">
        <v>6.7391919697301583</v>
      </c>
      <c r="J3895" s="52">
        <v>3834.68</v>
      </c>
      <c r="K3895" s="67">
        <f t="shared" si="244"/>
        <v>45250.470804010954</v>
      </c>
      <c r="L3895" s="95">
        <f>+VLOOKUP(E3895,MARGEN!A:B,2,FALSE)</f>
        <v>0.1</v>
      </c>
      <c r="M3895" s="112">
        <f t="shared" si="241"/>
        <v>4525.0470804010956</v>
      </c>
      <c r="N3895" s="113">
        <f t="shared" si="242"/>
        <v>181.00188321604381</v>
      </c>
      <c r="O3895" s="113">
        <f t="shared" si="243"/>
        <v>40544.421840393814</v>
      </c>
    </row>
    <row r="3896" spans="1:15" x14ac:dyDescent="0.25">
      <c r="A3896" s="43">
        <v>44469</v>
      </c>
      <c r="B3896" s="51">
        <v>1727</v>
      </c>
      <c r="C3896" s="66" t="s">
        <v>170</v>
      </c>
      <c r="D3896" s="66" t="s">
        <v>437</v>
      </c>
      <c r="E3896" t="s">
        <v>17</v>
      </c>
      <c r="F3896" s="50" t="s">
        <v>573</v>
      </c>
      <c r="G3896" s="50" t="s">
        <v>574</v>
      </c>
      <c r="H3896" s="50">
        <v>2</v>
      </c>
      <c r="I3896" s="100">
        <v>6.7391919697301583</v>
      </c>
      <c r="J3896" s="52">
        <v>3834.68</v>
      </c>
      <c r="K3896" s="67">
        <f t="shared" si="244"/>
        <v>44630.247332111321</v>
      </c>
      <c r="L3896" s="95">
        <f>+VLOOKUP(E3896,MARGEN!A:B,2,FALSE)</f>
        <v>0.1</v>
      </c>
      <c r="M3896" s="112">
        <f t="shared" si="241"/>
        <v>4463.0247332111321</v>
      </c>
      <c r="N3896" s="113">
        <f t="shared" si="242"/>
        <v>178.5209893284453</v>
      </c>
      <c r="O3896" s="113">
        <f t="shared" si="243"/>
        <v>39988.701609571741</v>
      </c>
    </row>
    <row r="3897" spans="1:15" x14ac:dyDescent="0.25">
      <c r="A3897" s="43">
        <v>44469</v>
      </c>
      <c r="B3897" s="51">
        <v>1727</v>
      </c>
      <c r="C3897" s="66" t="s">
        <v>188</v>
      </c>
      <c r="D3897" s="66" t="s">
        <v>397</v>
      </c>
      <c r="E3897" t="s">
        <v>17</v>
      </c>
      <c r="F3897" s="50" t="s">
        <v>573</v>
      </c>
      <c r="G3897" s="50" t="s">
        <v>574</v>
      </c>
      <c r="H3897" s="50">
        <v>2</v>
      </c>
      <c r="I3897" s="100">
        <v>6.7391919697301583</v>
      </c>
      <c r="J3897" s="52">
        <v>3834.68</v>
      </c>
      <c r="K3897" s="67">
        <f t="shared" si="244"/>
        <v>44630.247332111321</v>
      </c>
      <c r="L3897" s="95">
        <f>+VLOOKUP(E3897,MARGEN!A:B,2,FALSE)</f>
        <v>0.1</v>
      </c>
      <c r="M3897" s="112">
        <f t="shared" si="241"/>
        <v>4463.0247332111321</v>
      </c>
      <c r="N3897" s="113">
        <f t="shared" si="242"/>
        <v>178.5209893284453</v>
      </c>
      <c r="O3897" s="113">
        <f t="shared" si="243"/>
        <v>39988.701609571741</v>
      </c>
    </row>
    <row r="3898" spans="1:15" x14ac:dyDescent="0.25">
      <c r="A3898" s="43">
        <v>44469</v>
      </c>
      <c r="B3898" s="51">
        <v>1727</v>
      </c>
      <c r="C3898" s="66" t="s">
        <v>174</v>
      </c>
      <c r="D3898" s="66" t="s">
        <v>395</v>
      </c>
      <c r="E3898" t="s">
        <v>17</v>
      </c>
      <c r="F3898" s="50" t="s">
        <v>573</v>
      </c>
      <c r="G3898" s="50" t="s">
        <v>574</v>
      </c>
      <c r="H3898" s="50">
        <v>2</v>
      </c>
      <c r="I3898" s="100">
        <v>6.7391919697301583</v>
      </c>
      <c r="J3898" s="52">
        <v>3834.68</v>
      </c>
      <c r="K3898" s="67">
        <f t="shared" si="244"/>
        <v>44630.247332111321</v>
      </c>
      <c r="L3898" s="95">
        <f>+VLOOKUP(E3898,MARGEN!A:B,2,FALSE)</f>
        <v>0.1</v>
      </c>
      <c r="M3898" s="112">
        <f t="shared" si="241"/>
        <v>4463.0247332111321</v>
      </c>
      <c r="N3898" s="113">
        <f t="shared" si="242"/>
        <v>178.5209893284453</v>
      </c>
      <c r="O3898" s="113">
        <f t="shared" si="243"/>
        <v>39988.701609571741</v>
      </c>
    </row>
    <row r="3899" spans="1:15" x14ac:dyDescent="0.25">
      <c r="A3899" s="43">
        <v>44469</v>
      </c>
      <c r="B3899" s="51">
        <v>1703</v>
      </c>
      <c r="C3899" s="66" t="s">
        <v>172</v>
      </c>
      <c r="D3899" s="66" t="s">
        <v>371</v>
      </c>
      <c r="E3899" t="s">
        <v>17</v>
      </c>
      <c r="F3899" s="50" t="s">
        <v>573</v>
      </c>
      <c r="G3899" s="50" t="s">
        <v>574</v>
      </c>
      <c r="H3899" s="50">
        <v>2</v>
      </c>
      <c r="I3899" s="100">
        <v>6.7391919697301583</v>
      </c>
      <c r="J3899" s="52">
        <v>3834.68</v>
      </c>
      <c r="K3899" s="67">
        <f t="shared" si="244"/>
        <v>44010.023860211688</v>
      </c>
      <c r="L3899" s="95">
        <f>+VLOOKUP(E3899,MARGEN!A:B,2,FALSE)</f>
        <v>0.1</v>
      </c>
      <c r="M3899" s="112">
        <f t="shared" si="241"/>
        <v>4401.0023860211686</v>
      </c>
      <c r="N3899" s="113">
        <f t="shared" si="242"/>
        <v>176.04009544084676</v>
      </c>
      <c r="O3899" s="113">
        <f t="shared" si="243"/>
        <v>39432.981378749675</v>
      </c>
    </row>
    <row r="3900" spans="1:15" x14ac:dyDescent="0.25">
      <c r="A3900" s="43">
        <v>44469</v>
      </c>
      <c r="B3900" s="51">
        <v>1703</v>
      </c>
      <c r="C3900" s="66" t="s">
        <v>296</v>
      </c>
      <c r="D3900" s="66" t="s">
        <v>498</v>
      </c>
      <c r="E3900" t="s">
        <v>17</v>
      </c>
      <c r="F3900" s="50" t="s">
        <v>573</v>
      </c>
      <c r="G3900" s="50" t="s">
        <v>574</v>
      </c>
      <c r="H3900" s="50">
        <v>2</v>
      </c>
      <c r="I3900" s="100">
        <v>6.7391919697301583</v>
      </c>
      <c r="J3900" s="52">
        <v>3834.68</v>
      </c>
      <c r="K3900" s="67">
        <f t="shared" si="244"/>
        <v>44010.023860211688</v>
      </c>
      <c r="L3900" s="95">
        <f>+VLOOKUP(E3900,MARGEN!A:B,2,FALSE)</f>
        <v>0.1</v>
      </c>
      <c r="M3900" s="112">
        <f t="shared" si="241"/>
        <v>4401.0023860211686</v>
      </c>
      <c r="N3900" s="113">
        <f t="shared" si="242"/>
        <v>176.04009544084676</v>
      </c>
      <c r="O3900" s="113">
        <f t="shared" si="243"/>
        <v>39432.981378749675</v>
      </c>
    </row>
    <row r="3901" spans="1:15" x14ac:dyDescent="0.25">
      <c r="A3901" s="43">
        <v>44469</v>
      </c>
      <c r="B3901" s="51">
        <v>1703</v>
      </c>
      <c r="C3901" s="66" t="s">
        <v>120</v>
      </c>
      <c r="D3901" s="66" t="s">
        <v>452</v>
      </c>
      <c r="E3901" t="s">
        <v>17</v>
      </c>
      <c r="F3901" s="50" t="s">
        <v>573</v>
      </c>
      <c r="G3901" s="50" t="s">
        <v>574</v>
      </c>
      <c r="H3901" s="50">
        <v>2</v>
      </c>
      <c r="I3901" s="100">
        <v>6.7391919697301583</v>
      </c>
      <c r="J3901" s="52">
        <v>3834.68</v>
      </c>
      <c r="K3901" s="67">
        <f t="shared" si="244"/>
        <v>44010.023860211688</v>
      </c>
      <c r="L3901" s="95">
        <f>+VLOOKUP(E3901,MARGEN!A:B,2,FALSE)</f>
        <v>0.1</v>
      </c>
      <c r="M3901" s="112">
        <f t="shared" si="241"/>
        <v>4401.0023860211686</v>
      </c>
      <c r="N3901" s="113">
        <f t="shared" si="242"/>
        <v>176.04009544084676</v>
      </c>
      <c r="O3901" s="113">
        <f t="shared" si="243"/>
        <v>39432.981378749675</v>
      </c>
    </row>
    <row r="3902" spans="1:15" x14ac:dyDescent="0.25">
      <c r="A3902" s="43">
        <v>44469</v>
      </c>
      <c r="B3902" s="51">
        <v>1679</v>
      </c>
      <c r="C3902" s="66" t="s">
        <v>194</v>
      </c>
      <c r="D3902" s="66" t="s">
        <v>417</v>
      </c>
      <c r="E3902" t="s">
        <v>17</v>
      </c>
      <c r="F3902" s="50" t="s">
        <v>573</v>
      </c>
      <c r="G3902" s="50" t="s">
        <v>574</v>
      </c>
      <c r="H3902" s="50">
        <v>2</v>
      </c>
      <c r="I3902" s="100">
        <v>6.7391919697301583</v>
      </c>
      <c r="J3902" s="52">
        <v>3834.68</v>
      </c>
      <c r="K3902" s="67">
        <f t="shared" si="244"/>
        <v>43389.800388312047</v>
      </c>
      <c r="L3902" s="95">
        <f>+VLOOKUP(E3902,MARGEN!A:B,2,FALSE)</f>
        <v>0.1</v>
      </c>
      <c r="M3902" s="112">
        <f t="shared" si="241"/>
        <v>4338.9800388312051</v>
      </c>
      <c r="N3902" s="113">
        <f t="shared" si="242"/>
        <v>173.55920155324819</v>
      </c>
      <c r="O3902" s="113">
        <f t="shared" si="243"/>
        <v>38877.261147927595</v>
      </c>
    </row>
    <row r="3903" spans="1:15" x14ac:dyDescent="0.25">
      <c r="A3903" s="43">
        <v>44469</v>
      </c>
      <c r="B3903" s="51">
        <v>1679</v>
      </c>
      <c r="C3903" s="66" t="s">
        <v>121</v>
      </c>
      <c r="D3903" s="66" t="s">
        <v>381</v>
      </c>
      <c r="E3903" t="s">
        <v>17</v>
      </c>
      <c r="F3903" s="50" t="s">
        <v>573</v>
      </c>
      <c r="G3903" s="50" t="s">
        <v>574</v>
      </c>
      <c r="H3903" s="50">
        <v>2</v>
      </c>
      <c r="I3903" s="100">
        <v>6.7391919697301583</v>
      </c>
      <c r="J3903" s="52">
        <v>3834.68</v>
      </c>
      <c r="K3903" s="67">
        <f t="shared" si="244"/>
        <v>43389.800388312047</v>
      </c>
      <c r="L3903" s="95">
        <f>+VLOOKUP(E3903,MARGEN!A:B,2,FALSE)</f>
        <v>0.1</v>
      </c>
      <c r="M3903" s="112">
        <f t="shared" si="241"/>
        <v>4338.9800388312051</v>
      </c>
      <c r="N3903" s="113">
        <f t="shared" si="242"/>
        <v>173.55920155324819</v>
      </c>
      <c r="O3903" s="113">
        <f t="shared" si="243"/>
        <v>38877.261147927595</v>
      </c>
    </row>
    <row r="3904" spans="1:15" x14ac:dyDescent="0.25">
      <c r="A3904" s="43">
        <v>44469</v>
      </c>
      <c r="B3904" s="51">
        <v>1679</v>
      </c>
      <c r="C3904" s="66" t="s">
        <v>288</v>
      </c>
      <c r="D3904" s="66" t="s">
        <v>530</v>
      </c>
      <c r="E3904" t="s">
        <v>17</v>
      </c>
      <c r="F3904" s="50" t="s">
        <v>573</v>
      </c>
      <c r="G3904" s="50" t="s">
        <v>574</v>
      </c>
      <c r="H3904" s="50">
        <v>2</v>
      </c>
      <c r="I3904" s="100">
        <v>6.7391919697301583</v>
      </c>
      <c r="J3904" s="52">
        <v>3834.68</v>
      </c>
      <c r="K3904" s="67">
        <f t="shared" si="244"/>
        <v>43389.800388312047</v>
      </c>
      <c r="L3904" s="95">
        <f>+VLOOKUP(E3904,MARGEN!A:B,2,FALSE)</f>
        <v>0.1</v>
      </c>
      <c r="M3904" s="112">
        <f t="shared" si="241"/>
        <v>4338.9800388312051</v>
      </c>
      <c r="N3904" s="113">
        <f t="shared" si="242"/>
        <v>173.55920155324819</v>
      </c>
      <c r="O3904" s="113">
        <f t="shared" si="243"/>
        <v>38877.261147927595</v>
      </c>
    </row>
    <row r="3905" spans="1:15" x14ac:dyDescent="0.25">
      <c r="A3905" s="43">
        <v>44469</v>
      </c>
      <c r="B3905" s="51">
        <v>1631</v>
      </c>
      <c r="C3905" s="66" t="s">
        <v>196</v>
      </c>
      <c r="D3905" s="66" t="s">
        <v>413</v>
      </c>
      <c r="E3905" t="s">
        <v>17</v>
      </c>
      <c r="F3905" s="50" t="s">
        <v>573</v>
      </c>
      <c r="G3905" s="50" t="s">
        <v>574</v>
      </c>
      <c r="H3905" s="50">
        <v>2</v>
      </c>
      <c r="I3905" s="100">
        <v>6.7391919697301583</v>
      </c>
      <c r="J3905" s="52">
        <v>3834.68</v>
      </c>
      <c r="K3905" s="67">
        <f t="shared" si="244"/>
        <v>42149.353444512773</v>
      </c>
      <c r="L3905" s="95">
        <f>+VLOOKUP(E3905,MARGEN!A:B,2,FALSE)</f>
        <v>0.1</v>
      </c>
      <c r="M3905" s="112">
        <f t="shared" si="241"/>
        <v>4214.9353444512772</v>
      </c>
      <c r="N3905" s="113">
        <f t="shared" si="242"/>
        <v>168.59741377805111</v>
      </c>
      <c r="O3905" s="113">
        <f t="shared" si="243"/>
        <v>37765.820686283449</v>
      </c>
    </row>
    <row r="3906" spans="1:15" x14ac:dyDescent="0.25">
      <c r="A3906" s="43">
        <v>44469</v>
      </c>
      <c r="B3906" s="51">
        <v>1631</v>
      </c>
      <c r="C3906" s="66" t="s">
        <v>209</v>
      </c>
      <c r="D3906" s="66" t="s">
        <v>441</v>
      </c>
      <c r="E3906" t="s">
        <v>17</v>
      </c>
      <c r="F3906" s="50" t="s">
        <v>573</v>
      </c>
      <c r="G3906" s="50" t="s">
        <v>574</v>
      </c>
      <c r="H3906" s="50">
        <v>2</v>
      </c>
      <c r="I3906" s="100">
        <v>6.7391919697301583</v>
      </c>
      <c r="J3906" s="52">
        <v>3834.68</v>
      </c>
      <c r="K3906" s="67">
        <f t="shared" si="244"/>
        <v>42149.353444512773</v>
      </c>
      <c r="L3906" s="95">
        <f>+VLOOKUP(E3906,MARGEN!A:B,2,FALSE)</f>
        <v>0.1</v>
      </c>
      <c r="M3906" s="112">
        <f t="shared" si="241"/>
        <v>4214.9353444512772</v>
      </c>
      <c r="N3906" s="113">
        <f t="shared" si="242"/>
        <v>168.59741377805111</v>
      </c>
      <c r="O3906" s="113">
        <f t="shared" si="243"/>
        <v>37765.820686283449</v>
      </c>
    </row>
    <row r="3907" spans="1:15" x14ac:dyDescent="0.25">
      <c r="A3907" s="43">
        <v>44469</v>
      </c>
      <c r="B3907" s="51">
        <v>1607</v>
      </c>
      <c r="C3907" s="66" t="s">
        <v>180</v>
      </c>
      <c r="D3907" s="66" t="s">
        <v>447</v>
      </c>
      <c r="E3907" t="s">
        <v>17</v>
      </c>
      <c r="F3907" s="50" t="s">
        <v>573</v>
      </c>
      <c r="G3907" s="50" t="s">
        <v>574</v>
      </c>
      <c r="H3907" s="50">
        <v>2</v>
      </c>
      <c r="I3907" s="100">
        <v>6.7391919697301583</v>
      </c>
      <c r="J3907" s="52">
        <v>3834.68</v>
      </c>
      <c r="K3907" s="67">
        <f t="shared" si="244"/>
        <v>41529.12997261314</v>
      </c>
      <c r="L3907" s="95">
        <f>+VLOOKUP(E3907,MARGEN!A:B,2,FALSE)</f>
        <v>0.1</v>
      </c>
      <c r="M3907" s="112">
        <f t="shared" ref="M3907:M3970" si="245">+K3907*L3907</f>
        <v>4152.9129972613146</v>
      </c>
      <c r="N3907" s="113">
        <f t="shared" ref="N3907:N3970" si="246">+K3907*4/1000</f>
        <v>166.11651989045257</v>
      </c>
      <c r="O3907" s="113">
        <f t="shared" ref="O3907:O3970" si="247">+K3907-M3907-N3907</f>
        <v>37210.100455461376</v>
      </c>
    </row>
    <row r="3908" spans="1:15" x14ac:dyDescent="0.25">
      <c r="A3908" s="43">
        <v>44469</v>
      </c>
      <c r="B3908" s="51">
        <v>1559</v>
      </c>
      <c r="C3908" s="66" t="s">
        <v>152</v>
      </c>
      <c r="D3908" s="66" t="s">
        <v>425</v>
      </c>
      <c r="E3908" t="s">
        <v>17</v>
      </c>
      <c r="F3908" s="50" t="s">
        <v>573</v>
      </c>
      <c r="G3908" s="50" t="s">
        <v>574</v>
      </c>
      <c r="H3908" s="50">
        <v>2</v>
      </c>
      <c r="I3908" s="100">
        <v>6.7391919697301583</v>
      </c>
      <c r="J3908" s="52">
        <v>3834.68</v>
      </c>
      <c r="K3908" s="67">
        <f t="shared" si="244"/>
        <v>40288.683028813866</v>
      </c>
      <c r="L3908" s="95">
        <f>+VLOOKUP(E3908,MARGEN!A:B,2,FALSE)</f>
        <v>0.1</v>
      </c>
      <c r="M3908" s="112">
        <f t="shared" si="245"/>
        <v>4028.8683028813866</v>
      </c>
      <c r="N3908" s="113">
        <f t="shared" si="246"/>
        <v>161.15473211525546</v>
      </c>
      <c r="O3908" s="113">
        <f t="shared" si="247"/>
        <v>36098.659993817222</v>
      </c>
    </row>
    <row r="3909" spans="1:15" x14ac:dyDescent="0.25">
      <c r="A3909" s="43">
        <v>44469</v>
      </c>
      <c r="B3909" s="51">
        <v>1559</v>
      </c>
      <c r="C3909" s="66" t="s">
        <v>294</v>
      </c>
      <c r="D3909" s="66" t="s">
        <v>527</v>
      </c>
      <c r="E3909" t="s">
        <v>17</v>
      </c>
      <c r="F3909" s="50" t="s">
        <v>573</v>
      </c>
      <c r="G3909" s="50" t="s">
        <v>574</v>
      </c>
      <c r="H3909" s="50">
        <v>2</v>
      </c>
      <c r="I3909" s="100">
        <v>6.7391919697301583</v>
      </c>
      <c r="J3909" s="52">
        <v>3834.68</v>
      </c>
      <c r="K3909" s="67">
        <f t="shared" si="244"/>
        <v>40288.683028813866</v>
      </c>
      <c r="L3909" s="95">
        <f>+VLOOKUP(E3909,MARGEN!A:B,2,FALSE)</f>
        <v>0.1</v>
      </c>
      <c r="M3909" s="112">
        <f t="shared" si="245"/>
        <v>4028.8683028813866</v>
      </c>
      <c r="N3909" s="113">
        <f t="shared" si="246"/>
        <v>161.15473211525546</v>
      </c>
      <c r="O3909" s="113">
        <f t="shared" si="247"/>
        <v>36098.659993817222</v>
      </c>
    </row>
    <row r="3910" spans="1:15" x14ac:dyDescent="0.25">
      <c r="A3910" s="43">
        <v>44469</v>
      </c>
      <c r="B3910" s="51">
        <v>1559</v>
      </c>
      <c r="C3910" s="66" t="s">
        <v>176</v>
      </c>
      <c r="D3910" s="66" t="s">
        <v>430</v>
      </c>
      <c r="E3910" t="s">
        <v>17</v>
      </c>
      <c r="F3910" s="50" t="s">
        <v>573</v>
      </c>
      <c r="G3910" s="50" t="s">
        <v>574</v>
      </c>
      <c r="H3910" s="50">
        <v>2</v>
      </c>
      <c r="I3910" s="100">
        <v>6.7391919697301583</v>
      </c>
      <c r="J3910" s="52">
        <v>3834.68</v>
      </c>
      <c r="K3910" s="67">
        <f t="shared" si="244"/>
        <v>40288.683028813866</v>
      </c>
      <c r="L3910" s="95">
        <f>+VLOOKUP(E3910,MARGEN!A:B,2,FALSE)</f>
        <v>0.1</v>
      </c>
      <c r="M3910" s="112">
        <f t="shared" si="245"/>
        <v>4028.8683028813866</v>
      </c>
      <c r="N3910" s="113">
        <f t="shared" si="246"/>
        <v>161.15473211525546</v>
      </c>
      <c r="O3910" s="113">
        <f t="shared" si="247"/>
        <v>36098.659993817222</v>
      </c>
    </row>
    <row r="3911" spans="1:15" x14ac:dyDescent="0.25">
      <c r="A3911" s="43">
        <v>44469</v>
      </c>
      <c r="B3911" s="51">
        <v>1559</v>
      </c>
      <c r="C3911" s="66" t="s">
        <v>119</v>
      </c>
      <c r="D3911" s="66" t="s">
        <v>377</v>
      </c>
      <c r="E3911" t="s">
        <v>17</v>
      </c>
      <c r="F3911" s="50" t="s">
        <v>573</v>
      </c>
      <c r="G3911" s="50" t="s">
        <v>574</v>
      </c>
      <c r="H3911" s="50">
        <v>2</v>
      </c>
      <c r="I3911" s="100">
        <v>6.7391919697301583</v>
      </c>
      <c r="J3911" s="52">
        <v>3834.68</v>
      </c>
      <c r="K3911" s="67">
        <f t="shared" si="244"/>
        <v>40288.683028813866</v>
      </c>
      <c r="L3911" s="95">
        <f>+VLOOKUP(E3911,MARGEN!A:B,2,FALSE)</f>
        <v>0.1</v>
      </c>
      <c r="M3911" s="112">
        <f t="shared" si="245"/>
        <v>4028.8683028813866</v>
      </c>
      <c r="N3911" s="113">
        <f t="shared" si="246"/>
        <v>161.15473211525546</v>
      </c>
      <c r="O3911" s="113">
        <f t="shared" si="247"/>
        <v>36098.659993817222</v>
      </c>
    </row>
    <row r="3912" spans="1:15" x14ac:dyDescent="0.25">
      <c r="A3912" s="43">
        <v>44469</v>
      </c>
      <c r="B3912" s="51">
        <v>1559</v>
      </c>
      <c r="C3912" s="66" t="s">
        <v>552</v>
      </c>
      <c r="D3912" s="66" t="s">
        <v>563</v>
      </c>
      <c r="E3912" t="s">
        <v>17</v>
      </c>
      <c r="F3912" s="50" t="s">
        <v>573</v>
      </c>
      <c r="G3912" s="50" t="s">
        <v>574</v>
      </c>
      <c r="H3912" s="50">
        <v>2</v>
      </c>
      <c r="I3912" s="100">
        <v>6.7391919697301583</v>
      </c>
      <c r="J3912" s="52">
        <v>3834.68</v>
      </c>
      <c r="K3912" s="67">
        <f t="shared" si="244"/>
        <v>40288.683028813866</v>
      </c>
      <c r="L3912" s="95">
        <f>+VLOOKUP(E3912,MARGEN!A:B,2,FALSE)</f>
        <v>0.1</v>
      </c>
      <c r="M3912" s="112">
        <f t="shared" si="245"/>
        <v>4028.8683028813866</v>
      </c>
      <c r="N3912" s="113">
        <f t="shared" si="246"/>
        <v>161.15473211525546</v>
      </c>
      <c r="O3912" s="113">
        <f t="shared" si="247"/>
        <v>36098.659993817222</v>
      </c>
    </row>
    <row r="3913" spans="1:15" x14ac:dyDescent="0.25">
      <c r="A3913" s="43">
        <v>44469</v>
      </c>
      <c r="B3913" s="51">
        <v>1535</v>
      </c>
      <c r="C3913" s="66" t="s">
        <v>137</v>
      </c>
      <c r="D3913" s="66" t="s">
        <v>418</v>
      </c>
      <c r="E3913" t="s">
        <v>17</v>
      </c>
      <c r="F3913" s="50" t="s">
        <v>573</v>
      </c>
      <c r="G3913" s="50" t="s">
        <v>574</v>
      </c>
      <c r="H3913" s="50">
        <v>2</v>
      </c>
      <c r="I3913" s="100">
        <v>6.7391919697301583</v>
      </c>
      <c r="J3913" s="52">
        <v>3834.68</v>
      </c>
      <c r="K3913" s="67">
        <f t="shared" ref="K3913:K3976" si="248">+B3913*I3913*J3913/1000</f>
        <v>39668.459556914233</v>
      </c>
      <c r="L3913" s="95">
        <f>+VLOOKUP(E3913,MARGEN!A:B,2,FALSE)</f>
        <v>0.1</v>
      </c>
      <c r="M3913" s="112">
        <f t="shared" si="245"/>
        <v>3966.8459556914236</v>
      </c>
      <c r="N3913" s="113">
        <f t="shared" si="246"/>
        <v>158.67383822765694</v>
      </c>
      <c r="O3913" s="113">
        <f t="shared" si="247"/>
        <v>35542.939762995149</v>
      </c>
    </row>
    <row r="3914" spans="1:15" x14ac:dyDescent="0.25">
      <c r="A3914" s="43">
        <v>44469</v>
      </c>
      <c r="B3914" s="51">
        <v>1487</v>
      </c>
      <c r="C3914" s="66" t="s">
        <v>169</v>
      </c>
      <c r="D3914" s="66" t="s">
        <v>351</v>
      </c>
      <c r="E3914" t="s">
        <v>17</v>
      </c>
      <c r="F3914" s="50" t="s">
        <v>573</v>
      </c>
      <c r="G3914" s="50" t="s">
        <v>574</v>
      </c>
      <c r="H3914" s="50">
        <v>2</v>
      </c>
      <c r="I3914" s="100">
        <v>6.7391919697301583</v>
      </c>
      <c r="J3914" s="52">
        <v>3834.68</v>
      </c>
      <c r="K3914" s="67">
        <f t="shared" si="248"/>
        <v>38428.012613114959</v>
      </c>
      <c r="L3914" s="95">
        <f>+VLOOKUP(E3914,MARGEN!A:B,2,FALSE)</f>
        <v>0.1</v>
      </c>
      <c r="M3914" s="112">
        <f t="shared" si="245"/>
        <v>3842.8012613114961</v>
      </c>
      <c r="N3914" s="113">
        <f t="shared" si="246"/>
        <v>153.71205045245983</v>
      </c>
      <c r="O3914" s="113">
        <f t="shared" si="247"/>
        <v>34431.499301351003</v>
      </c>
    </row>
    <row r="3915" spans="1:15" x14ac:dyDescent="0.25">
      <c r="A3915" s="43">
        <v>44469</v>
      </c>
      <c r="B3915" s="51">
        <v>1463</v>
      </c>
      <c r="C3915" s="66" t="s">
        <v>297</v>
      </c>
      <c r="D3915" s="66" t="s">
        <v>526</v>
      </c>
      <c r="E3915" t="s">
        <v>17</v>
      </c>
      <c r="F3915" s="50" t="s">
        <v>573</v>
      </c>
      <c r="G3915" s="50" t="s">
        <v>574</v>
      </c>
      <c r="H3915" s="50">
        <v>2</v>
      </c>
      <c r="I3915" s="100">
        <v>6.7391919697301583</v>
      </c>
      <c r="J3915" s="52">
        <v>3834.68</v>
      </c>
      <c r="K3915" s="67">
        <f t="shared" si="248"/>
        <v>37807.789141215326</v>
      </c>
      <c r="L3915" s="95">
        <f>+VLOOKUP(E3915,MARGEN!A:B,2,FALSE)</f>
        <v>0.1</v>
      </c>
      <c r="M3915" s="112">
        <f t="shared" si="245"/>
        <v>3780.7789141215326</v>
      </c>
      <c r="N3915" s="113">
        <f t="shared" si="246"/>
        <v>151.23115656486129</v>
      </c>
      <c r="O3915" s="113">
        <f t="shared" si="247"/>
        <v>33875.77907052893</v>
      </c>
    </row>
    <row r="3916" spans="1:15" x14ac:dyDescent="0.25">
      <c r="A3916" s="43">
        <v>44469</v>
      </c>
      <c r="B3916" s="51">
        <v>1439</v>
      </c>
      <c r="C3916" s="66" t="s">
        <v>210</v>
      </c>
      <c r="D3916" s="66" t="s">
        <v>402</v>
      </c>
      <c r="E3916" t="s">
        <v>17</v>
      </c>
      <c r="F3916" s="50" t="s">
        <v>573</v>
      </c>
      <c r="G3916" s="50" t="s">
        <v>574</v>
      </c>
      <c r="H3916" s="50">
        <v>2</v>
      </c>
      <c r="I3916" s="100">
        <v>6.7391919697301583</v>
      </c>
      <c r="J3916" s="52">
        <v>3834.68</v>
      </c>
      <c r="K3916" s="67">
        <f t="shared" si="248"/>
        <v>37187.565669315685</v>
      </c>
      <c r="L3916" s="95">
        <f>+VLOOKUP(E3916,MARGEN!A:B,2,FALSE)</f>
        <v>0.1</v>
      </c>
      <c r="M3916" s="112">
        <f t="shared" si="245"/>
        <v>3718.7565669315686</v>
      </c>
      <c r="N3916" s="113">
        <f t="shared" si="246"/>
        <v>148.75026267726275</v>
      </c>
      <c r="O3916" s="113">
        <f t="shared" si="247"/>
        <v>33320.058839706857</v>
      </c>
    </row>
    <row r="3917" spans="1:15" x14ac:dyDescent="0.25">
      <c r="A3917" s="43">
        <v>44469</v>
      </c>
      <c r="B3917" s="51">
        <v>1439</v>
      </c>
      <c r="C3917" s="66" t="s">
        <v>168</v>
      </c>
      <c r="D3917" s="66" t="s">
        <v>352</v>
      </c>
      <c r="E3917" t="s">
        <v>17</v>
      </c>
      <c r="F3917" s="50" t="s">
        <v>573</v>
      </c>
      <c r="G3917" s="50" t="s">
        <v>574</v>
      </c>
      <c r="H3917" s="50">
        <v>2</v>
      </c>
      <c r="I3917" s="100">
        <v>6.7391919697301583</v>
      </c>
      <c r="J3917" s="52">
        <v>3834.68</v>
      </c>
      <c r="K3917" s="67">
        <f t="shared" si="248"/>
        <v>37187.565669315685</v>
      </c>
      <c r="L3917" s="95">
        <f>+VLOOKUP(E3917,MARGEN!A:B,2,FALSE)</f>
        <v>0.1</v>
      </c>
      <c r="M3917" s="112">
        <f t="shared" si="245"/>
        <v>3718.7565669315686</v>
      </c>
      <c r="N3917" s="113">
        <f t="shared" si="246"/>
        <v>148.75026267726275</v>
      </c>
      <c r="O3917" s="113">
        <f t="shared" si="247"/>
        <v>33320.058839706857</v>
      </c>
    </row>
    <row r="3918" spans="1:15" x14ac:dyDescent="0.25">
      <c r="A3918" s="43">
        <v>44469</v>
      </c>
      <c r="B3918" s="51">
        <v>1439</v>
      </c>
      <c r="C3918" s="66" t="s">
        <v>200</v>
      </c>
      <c r="D3918" s="66" t="s">
        <v>428</v>
      </c>
      <c r="E3918" t="s">
        <v>17</v>
      </c>
      <c r="F3918" s="50" t="s">
        <v>573</v>
      </c>
      <c r="G3918" s="50" t="s">
        <v>574</v>
      </c>
      <c r="H3918" s="50">
        <v>2</v>
      </c>
      <c r="I3918" s="100">
        <v>6.7391919697301583</v>
      </c>
      <c r="J3918" s="52">
        <v>3834.68</v>
      </c>
      <c r="K3918" s="67">
        <f t="shared" si="248"/>
        <v>37187.565669315685</v>
      </c>
      <c r="L3918" s="95">
        <f>+VLOOKUP(E3918,MARGEN!A:B,2,FALSE)</f>
        <v>0.1</v>
      </c>
      <c r="M3918" s="112">
        <f t="shared" si="245"/>
        <v>3718.7565669315686</v>
      </c>
      <c r="N3918" s="113">
        <f t="shared" si="246"/>
        <v>148.75026267726275</v>
      </c>
      <c r="O3918" s="113">
        <f t="shared" si="247"/>
        <v>33320.058839706857</v>
      </c>
    </row>
    <row r="3919" spans="1:15" x14ac:dyDescent="0.25">
      <c r="A3919" s="43">
        <v>44469</v>
      </c>
      <c r="B3919" s="51">
        <v>1367</v>
      </c>
      <c r="C3919" s="66" t="s">
        <v>173</v>
      </c>
      <c r="D3919" s="66" t="s">
        <v>451</v>
      </c>
      <c r="E3919" t="s">
        <v>17</v>
      </c>
      <c r="F3919" s="50" t="s">
        <v>573</v>
      </c>
      <c r="G3919" s="50" t="s">
        <v>574</v>
      </c>
      <c r="H3919" s="50">
        <v>2</v>
      </c>
      <c r="I3919" s="100">
        <v>6.7391919697301583</v>
      </c>
      <c r="J3919" s="52">
        <v>3834.68</v>
      </c>
      <c r="K3919" s="67">
        <f t="shared" si="248"/>
        <v>35326.895253616778</v>
      </c>
      <c r="L3919" s="95">
        <f>+VLOOKUP(E3919,MARGEN!A:B,2,FALSE)</f>
        <v>0.1</v>
      </c>
      <c r="M3919" s="112">
        <f t="shared" si="245"/>
        <v>3532.6895253616781</v>
      </c>
      <c r="N3919" s="113">
        <f t="shared" si="246"/>
        <v>141.3075810144671</v>
      </c>
      <c r="O3919" s="113">
        <f t="shared" si="247"/>
        <v>31652.898147240634</v>
      </c>
    </row>
    <row r="3920" spans="1:15" x14ac:dyDescent="0.25">
      <c r="A3920" s="43">
        <v>44469</v>
      </c>
      <c r="B3920" s="51">
        <v>1343</v>
      </c>
      <c r="C3920" s="66" t="s">
        <v>292</v>
      </c>
      <c r="D3920" s="66" t="s">
        <v>535</v>
      </c>
      <c r="E3920" t="s">
        <v>17</v>
      </c>
      <c r="F3920" s="50" t="s">
        <v>573</v>
      </c>
      <c r="G3920" s="50" t="s">
        <v>574</v>
      </c>
      <c r="H3920" s="50">
        <v>2</v>
      </c>
      <c r="I3920" s="100">
        <v>6.7391919697301583</v>
      </c>
      <c r="J3920" s="52">
        <v>3834.68</v>
      </c>
      <c r="K3920" s="67">
        <f t="shared" si="248"/>
        <v>34706.671781717145</v>
      </c>
      <c r="L3920" s="95">
        <f>+VLOOKUP(E3920,MARGEN!A:B,2,FALSE)</f>
        <v>0.1</v>
      </c>
      <c r="M3920" s="112">
        <f t="shared" si="245"/>
        <v>3470.6671781717146</v>
      </c>
      <c r="N3920" s="113">
        <f t="shared" si="246"/>
        <v>138.82668712686859</v>
      </c>
      <c r="O3920" s="113">
        <f t="shared" si="247"/>
        <v>31097.177916418561</v>
      </c>
    </row>
    <row r="3921" spans="1:15" x14ac:dyDescent="0.25">
      <c r="A3921" s="43">
        <v>44469</v>
      </c>
      <c r="B3921" s="51">
        <v>1319</v>
      </c>
      <c r="C3921" s="66" t="s">
        <v>141</v>
      </c>
      <c r="D3921" s="66" t="s">
        <v>450</v>
      </c>
      <c r="E3921" t="s">
        <v>17</v>
      </c>
      <c r="F3921" s="50" t="s">
        <v>573</v>
      </c>
      <c r="G3921" s="50" t="s">
        <v>574</v>
      </c>
      <c r="H3921" s="50">
        <v>2</v>
      </c>
      <c r="I3921" s="100">
        <v>6.7391919697301583</v>
      </c>
      <c r="J3921" s="52">
        <v>3834.68</v>
      </c>
      <c r="K3921" s="67">
        <f t="shared" si="248"/>
        <v>34086.448309817511</v>
      </c>
      <c r="L3921" s="95">
        <f>+VLOOKUP(E3921,MARGEN!A:B,2,FALSE)</f>
        <v>0.1</v>
      </c>
      <c r="M3921" s="112">
        <f t="shared" si="245"/>
        <v>3408.6448309817515</v>
      </c>
      <c r="N3921" s="113">
        <f t="shared" si="246"/>
        <v>136.34579323927005</v>
      </c>
      <c r="O3921" s="113">
        <f t="shared" si="247"/>
        <v>30541.457685596492</v>
      </c>
    </row>
    <row r="3922" spans="1:15" x14ac:dyDescent="0.25">
      <c r="A3922" s="43">
        <v>44469</v>
      </c>
      <c r="B3922" s="51">
        <v>1295</v>
      </c>
      <c r="C3922" s="66" t="s">
        <v>151</v>
      </c>
      <c r="D3922" s="66" t="s">
        <v>394</v>
      </c>
      <c r="E3922" t="s">
        <v>17</v>
      </c>
      <c r="F3922" s="50" t="s">
        <v>573</v>
      </c>
      <c r="G3922" s="50" t="s">
        <v>574</v>
      </c>
      <c r="H3922" s="50">
        <v>2</v>
      </c>
      <c r="I3922" s="100">
        <v>6.7391919697301583</v>
      </c>
      <c r="J3922" s="52">
        <v>3834.68</v>
      </c>
      <c r="K3922" s="67">
        <f t="shared" si="248"/>
        <v>33466.224837917871</v>
      </c>
      <c r="L3922" s="95">
        <f>+VLOOKUP(E3922,MARGEN!A:B,2,FALSE)</f>
        <v>0.1</v>
      </c>
      <c r="M3922" s="112">
        <f t="shared" si="245"/>
        <v>3346.6224837917871</v>
      </c>
      <c r="N3922" s="113">
        <f t="shared" si="246"/>
        <v>133.86489935167148</v>
      </c>
      <c r="O3922" s="113">
        <f t="shared" si="247"/>
        <v>29985.737454774411</v>
      </c>
    </row>
    <row r="3923" spans="1:15" x14ac:dyDescent="0.25">
      <c r="A3923" s="43">
        <v>44469</v>
      </c>
      <c r="B3923" s="51">
        <v>1295</v>
      </c>
      <c r="C3923" s="66" t="s">
        <v>303</v>
      </c>
      <c r="D3923" s="66" t="s">
        <v>539</v>
      </c>
      <c r="E3923" t="s">
        <v>17</v>
      </c>
      <c r="F3923" s="50" t="s">
        <v>573</v>
      </c>
      <c r="G3923" s="50" t="s">
        <v>574</v>
      </c>
      <c r="H3923" s="50">
        <v>2</v>
      </c>
      <c r="I3923" s="100">
        <v>6.7391919697301583</v>
      </c>
      <c r="J3923" s="52">
        <v>3834.68</v>
      </c>
      <c r="K3923" s="67">
        <f t="shared" si="248"/>
        <v>33466.224837917871</v>
      </c>
      <c r="L3923" s="95">
        <f>+VLOOKUP(E3923,MARGEN!A:B,2,FALSE)</f>
        <v>0.1</v>
      </c>
      <c r="M3923" s="112">
        <f t="shared" si="245"/>
        <v>3346.6224837917871</v>
      </c>
      <c r="N3923" s="113">
        <f t="shared" si="246"/>
        <v>133.86489935167148</v>
      </c>
      <c r="O3923" s="113">
        <f t="shared" si="247"/>
        <v>29985.737454774411</v>
      </c>
    </row>
    <row r="3924" spans="1:15" x14ac:dyDescent="0.25">
      <c r="A3924" s="43">
        <v>44469</v>
      </c>
      <c r="B3924" s="51">
        <v>1295</v>
      </c>
      <c r="C3924" s="66" t="s">
        <v>302</v>
      </c>
      <c r="D3924" s="66" t="s">
        <v>538</v>
      </c>
      <c r="E3924" t="s">
        <v>17</v>
      </c>
      <c r="F3924" s="50" t="s">
        <v>573</v>
      </c>
      <c r="G3924" s="50" t="s">
        <v>574</v>
      </c>
      <c r="H3924" s="50">
        <v>2</v>
      </c>
      <c r="I3924" s="100">
        <v>6.7391919697301583</v>
      </c>
      <c r="J3924" s="52">
        <v>3834.68</v>
      </c>
      <c r="K3924" s="67">
        <f t="shared" si="248"/>
        <v>33466.224837917871</v>
      </c>
      <c r="L3924" s="95">
        <f>+VLOOKUP(E3924,MARGEN!A:B,2,FALSE)</f>
        <v>0.1</v>
      </c>
      <c r="M3924" s="112">
        <f t="shared" si="245"/>
        <v>3346.6224837917871</v>
      </c>
      <c r="N3924" s="113">
        <f t="shared" si="246"/>
        <v>133.86489935167148</v>
      </c>
      <c r="O3924" s="113">
        <f t="shared" si="247"/>
        <v>29985.737454774411</v>
      </c>
    </row>
    <row r="3925" spans="1:15" x14ac:dyDescent="0.25">
      <c r="A3925" s="43">
        <v>44469</v>
      </c>
      <c r="B3925" s="51">
        <v>1271</v>
      </c>
      <c r="C3925" s="66" t="s">
        <v>183</v>
      </c>
      <c r="D3925" s="66" t="s">
        <v>390</v>
      </c>
      <c r="E3925" t="s">
        <v>17</v>
      </c>
      <c r="F3925" s="50" t="s">
        <v>573</v>
      </c>
      <c r="G3925" s="50" t="s">
        <v>574</v>
      </c>
      <c r="H3925" s="50">
        <v>2</v>
      </c>
      <c r="I3925" s="100">
        <v>6.7391919697301583</v>
      </c>
      <c r="J3925" s="52">
        <v>3834.68</v>
      </c>
      <c r="K3925" s="67">
        <f t="shared" si="248"/>
        <v>32846.00136601823</v>
      </c>
      <c r="L3925" s="95">
        <f>+VLOOKUP(E3925,MARGEN!A:B,2,FALSE)</f>
        <v>0.1</v>
      </c>
      <c r="M3925" s="112">
        <f t="shared" si="245"/>
        <v>3284.6001366018231</v>
      </c>
      <c r="N3925" s="113">
        <f t="shared" si="246"/>
        <v>131.38400546407291</v>
      </c>
      <c r="O3925" s="113">
        <f t="shared" si="247"/>
        <v>29430.017223952334</v>
      </c>
    </row>
    <row r="3926" spans="1:15" x14ac:dyDescent="0.25">
      <c r="A3926" s="43">
        <v>44469</v>
      </c>
      <c r="B3926" s="51">
        <v>1247</v>
      </c>
      <c r="C3926" s="66" t="s">
        <v>298</v>
      </c>
      <c r="D3926" s="66" t="s">
        <v>536</v>
      </c>
      <c r="E3926" t="s">
        <v>17</v>
      </c>
      <c r="F3926" s="50" t="s">
        <v>573</v>
      </c>
      <c r="G3926" s="50" t="s">
        <v>574</v>
      </c>
      <c r="H3926" s="50">
        <v>2</v>
      </c>
      <c r="I3926" s="100">
        <v>6.7391919697301583</v>
      </c>
      <c r="J3926" s="52">
        <v>3834.68</v>
      </c>
      <c r="K3926" s="67">
        <f t="shared" si="248"/>
        <v>32225.777894118601</v>
      </c>
      <c r="L3926" s="95">
        <f>+VLOOKUP(E3926,MARGEN!A:B,2,FALSE)</f>
        <v>0.1</v>
      </c>
      <c r="M3926" s="112">
        <f t="shared" si="245"/>
        <v>3222.5777894118601</v>
      </c>
      <c r="N3926" s="113">
        <f t="shared" si="246"/>
        <v>128.9031115764744</v>
      </c>
      <c r="O3926" s="113">
        <f t="shared" si="247"/>
        <v>28874.296993130265</v>
      </c>
    </row>
    <row r="3927" spans="1:15" x14ac:dyDescent="0.25">
      <c r="A3927" s="43">
        <v>44469</v>
      </c>
      <c r="B3927" s="51">
        <v>1223</v>
      </c>
      <c r="C3927" s="66" t="s">
        <v>199</v>
      </c>
      <c r="D3927" s="66" t="s">
        <v>414</v>
      </c>
      <c r="E3927" t="s">
        <v>17</v>
      </c>
      <c r="F3927" s="50" t="s">
        <v>573</v>
      </c>
      <c r="G3927" s="50" t="s">
        <v>574</v>
      </c>
      <c r="H3927" s="50">
        <v>2</v>
      </c>
      <c r="I3927" s="100">
        <v>6.7391919697301583</v>
      </c>
      <c r="J3927" s="52">
        <v>3834.68</v>
      </c>
      <c r="K3927" s="67">
        <f t="shared" si="248"/>
        <v>31605.55442221896</v>
      </c>
      <c r="L3927" s="95">
        <f>+VLOOKUP(E3927,MARGEN!A:B,2,FALSE)</f>
        <v>0.1</v>
      </c>
      <c r="M3927" s="112">
        <f t="shared" si="245"/>
        <v>3160.5554422218961</v>
      </c>
      <c r="N3927" s="113">
        <f t="shared" si="246"/>
        <v>126.42221768887585</v>
      </c>
      <c r="O3927" s="113">
        <f t="shared" si="247"/>
        <v>28318.576762308188</v>
      </c>
    </row>
    <row r="3928" spans="1:15" x14ac:dyDescent="0.25">
      <c r="A3928" s="43">
        <v>44469</v>
      </c>
      <c r="B3928" s="51">
        <v>1199</v>
      </c>
      <c r="C3928" s="66" t="s">
        <v>201</v>
      </c>
      <c r="D3928" s="66" t="s">
        <v>374</v>
      </c>
      <c r="E3928" t="s">
        <v>17</v>
      </c>
      <c r="F3928" s="50" t="s">
        <v>573</v>
      </c>
      <c r="G3928" s="50" t="s">
        <v>574</v>
      </c>
      <c r="H3928" s="50">
        <v>2</v>
      </c>
      <c r="I3928" s="100">
        <v>6.7391919697301583</v>
      </c>
      <c r="J3928" s="52">
        <v>3834.68</v>
      </c>
      <c r="K3928" s="67">
        <f t="shared" si="248"/>
        <v>30985.330950319327</v>
      </c>
      <c r="L3928" s="95">
        <f>+VLOOKUP(E3928,MARGEN!A:B,2,FALSE)</f>
        <v>0.1</v>
      </c>
      <c r="M3928" s="112">
        <f t="shared" si="245"/>
        <v>3098.533095031933</v>
      </c>
      <c r="N3928" s="113">
        <f t="shared" si="246"/>
        <v>123.94132380127731</v>
      </c>
      <c r="O3928" s="113">
        <f t="shared" si="247"/>
        <v>27762.856531486115</v>
      </c>
    </row>
    <row r="3929" spans="1:15" x14ac:dyDescent="0.25">
      <c r="A3929" s="43">
        <v>44469</v>
      </c>
      <c r="B3929" s="51">
        <v>1199</v>
      </c>
      <c r="C3929" s="66" t="s">
        <v>308</v>
      </c>
      <c r="D3929" s="66" t="s">
        <v>500</v>
      </c>
      <c r="E3929" t="s">
        <v>17</v>
      </c>
      <c r="F3929" s="50" t="s">
        <v>573</v>
      </c>
      <c r="G3929" s="50" t="s">
        <v>574</v>
      </c>
      <c r="H3929" s="50">
        <v>2</v>
      </c>
      <c r="I3929" s="100">
        <v>6.7391919697301583</v>
      </c>
      <c r="J3929" s="52">
        <v>3834.68</v>
      </c>
      <c r="K3929" s="67">
        <f t="shared" si="248"/>
        <v>30985.330950319327</v>
      </c>
      <c r="L3929" s="95">
        <f>+VLOOKUP(E3929,MARGEN!A:B,2,FALSE)</f>
        <v>0.1</v>
      </c>
      <c r="M3929" s="112">
        <f t="shared" si="245"/>
        <v>3098.533095031933</v>
      </c>
      <c r="N3929" s="113">
        <f t="shared" si="246"/>
        <v>123.94132380127731</v>
      </c>
      <c r="O3929" s="113">
        <f t="shared" si="247"/>
        <v>27762.856531486115</v>
      </c>
    </row>
    <row r="3930" spans="1:15" x14ac:dyDescent="0.25">
      <c r="A3930" s="43">
        <v>44469</v>
      </c>
      <c r="B3930" s="51">
        <v>1151</v>
      </c>
      <c r="C3930" s="66" t="s">
        <v>184</v>
      </c>
      <c r="D3930" s="66" t="s">
        <v>443</v>
      </c>
      <c r="E3930" t="s">
        <v>17</v>
      </c>
      <c r="F3930" s="50" t="s">
        <v>573</v>
      </c>
      <c r="G3930" s="50" t="s">
        <v>574</v>
      </c>
      <c r="H3930" s="50">
        <v>2</v>
      </c>
      <c r="I3930" s="100">
        <v>6.7391919697301583</v>
      </c>
      <c r="J3930" s="52">
        <v>3834.68</v>
      </c>
      <c r="K3930" s="67">
        <f t="shared" si="248"/>
        <v>29744.884006520053</v>
      </c>
      <c r="L3930" s="95">
        <f>+VLOOKUP(E3930,MARGEN!A:B,2,FALSE)</f>
        <v>0.1</v>
      </c>
      <c r="M3930" s="112">
        <f t="shared" si="245"/>
        <v>2974.4884006520056</v>
      </c>
      <c r="N3930" s="113">
        <f t="shared" si="246"/>
        <v>118.97953602608021</v>
      </c>
      <c r="O3930" s="113">
        <f t="shared" si="247"/>
        <v>26651.416069841969</v>
      </c>
    </row>
    <row r="3931" spans="1:15" x14ac:dyDescent="0.25">
      <c r="A3931" s="43">
        <v>44469</v>
      </c>
      <c r="B3931" s="51">
        <v>1127</v>
      </c>
      <c r="C3931" s="66" t="s">
        <v>153</v>
      </c>
      <c r="D3931" s="66" t="s">
        <v>444</v>
      </c>
      <c r="E3931" t="s">
        <v>17</v>
      </c>
      <c r="F3931" s="50" t="s">
        <v>573</v>
      </c>
      <c r="G3931" s="50" t="s">
        <v>574</v>
      </c>
      <c r="H3931" s="50">
        <v>2</v>
      </c>
      <c r="I3931" s="100">
        <v>6.7391919697301583</v>
      </c>
      <c r="J3931" s="52">
        <v>3834.68</v>
      </c>
      <c r="K3931" s="67">
        <f t="shared" si="248"/>
        <v>29124.660534620416</v>
      </c>
      <c r="L3931" s="95">
        <f>+VLOOKUP(E3931,MARGEN!A:B,2,FALSE)</f>
        <v>0.1</v>
      </c>
      <c r="M3931" s="112">
        <f t="shared" si="245"/>
        <v>2912.4660534620416</v>
      </c>
      <c r="N3931" s="113">
        <f t="shared" si="246"/>
        <v>116.49864213848167</v>
      </c>
      <c r="O3931" s="113">
        <f t="shared" si="247"/>
        <v>26095.695839019892</v>
      </c>
    </row>
    <row r="3932" spans="1:15" x14ac:dyDescent="0.25">
      <c r="A3932" s="13">
        <v>44446</v>
      </c>
      <c r="B3932" s="97">
        <v>10726</v>
      </c>
      <c r="C3932" t="s">
        <v>546</v>
      </c>
      <c r="D3932" s="94" t="s">
        <v>547</v>
      </c>
      <c r="E3932" t="s">
        <v>545</v>
      </c>
      <c r="F3932" t="s">
        <v>558</v>
      </c>
      <c r="G3932" s="50" t="s">
        <v>559</v>
      </c>
      <c r="H3932" s="50">
        <v>2</v>
      </c>
      <c r="I3932" s="100">
        <v>6.7391919697301583</v>
      </c>
      <c r="J3932" s="52">
        <v>3834.68</v>
      </c>
      <c r="K3932" s="67">
        <f t="shared" si="248"/>
        <v>277188.2066498124</v>
      </c>
      <c r="L3932" s="95">
        <f>+VLOOKUP(E3932,MARGEN!A:B,2,FALSE)</f>
        <v>0.1</v>
      </c>
      <c r="M3932" s="112">
        <f t="shared" si="245"/>
        <v>27718.820664981242</v>
      </c>
      <c r="N3932" s="113">
        <f t="shared" si="246"/>
        <v>1108.7528265992496</v>
      </c>
      <c r="O3932" s="113">
        <f t="shared" si="247"/>
        <v>248360.63315823191</v>
      </c>
    </row>
    <row r="3933" spans="1:15" x14ac:dyDescent="0.25">
      <c r="A3933" s="13">
        <v>44447</v>
      </c>
      <c r="B3933" s="97">
        <v>10726</v>
      </c>
      <c r="C3933" s="88" t="s">
        <v>546</v>
      </c>
      <c r="D3933" t="s">
        <v>547</v>
      </c>
      <c r="E3933" t="s">
        <v>545</v>
      </c>
      <c r="F3933" t="s">
        <v>558</v>
      </c>
      <c r="G3933" s="50" t="s">
        <v>559</v>
      </c>
      <c r="H3933" s="50">
        <v>2</v>
      </c>
      <c r="I3933" s="100">
        <v>6.7391919697301583</v>
      </c>
      <c r="J3933" s="52">
        <v>3834.68</v>
      </c>
      <c r="K3933" s="67">
        <f t="shared" si="248"/>
        <v>277188.2066498124</v>
      </c>
      <c r="L3933" s="95">
        <f>+VLOOKUP(E3933,MARGEN!A:B,2,FALSE)</f>
        <v>0.1</v>
      </c>
      <c r="M3933" s="112">
        <f t="shared" si="245"/>
        <v>27718.820664981242</v>
      </c>
      <c r="N3933" s="113">
        <f t="shared" si="246"/>
        <v>1108.7528265992496</v>
      </c>
      <c r="O3933" s="113">
        <f t="shared" si="247"/>
        <v>248360.63315823191</v>
      </c>
    </row>
    <row r="3934" spans="1:15" x14ac:dyDescent="0.25">
      <c r="A3934" s="13">
        <v>44448</v>
      </c>
      <c r="B3934" s="97">
        <v>10726</v>
      </c>
      <c r="C3934" t="s">
        <v>546</v>
      </c>
      <c r="D3934" s="94" t="s">
        <v>547</v>
      </c>
      <c r="E3934" t="s">
        <v>545</v>
      </c>
      <c r="F3934" t="s">
        <v>558</v>
      </c>
      <c r="G3934" s="50" t="s">
        <v>559</v>
      </c>
      <c r="H3934" s="50">
        <v>2</v>
      </c>
      <c r="I3934" s="100">
        <v>6.7391919697301583</v>
      </c>
      <c r="J3934" s="52">
        <v>3834.68</v>
      </c>
      <c r="K3934" s="67">
        <f t="shared" si="248"/>
        <v>277188.2066498124</v>
      </c>
      <c r="L3934" s="95">
        <f>+VLOOKUP(E3934,MARGEN!A:B,2,FALSE)</f>
        <v>0.1</v>
      </c>
      <c r="M3934" s="112">
        <f t="shared" si="245"/>
        <v>27718.820664981242</v>
      </c>
      <c r="N3934" s="113">
        <f t="shared" si="246"/>
        <v>1108.7528265992496</v>
      </c>
      <c r="O3934" s="113">
        <f t="shared" si="247"/>
        <v>248360.63315823191</v>
      </c>
    </row>
    <row r="3935" spans="1:15" x14ac:dyDescent="0.25">
      <c r="A3935" s="13">
        <v>44453</v>
      </c>
      <c r="B3935" s="97">
        <v>10725</v>
      </c>
      <c r="C3935" t="s">
        <v>546</v>
      </c>
      <c r="D3935" s="94" t="s">
        <v>547</v>
      </c>
      <c r="E3935" t="s">
        <v>545</v>
      </c>
      <c r="F3935" t="s">
        <v>551</v>
      </c>
      <c r="G3935" s="50" t="s">
        <v>205</v>
      </c>
      <c r="H3935" s="50">
        <v>2</v>
      </c>
      <c r="I3935" s="100">
        <v>6.7391919697301583</v>
      </c>
      <c r="J3935" s="52">
        <v>3834.68</v>
      </c>
      <c r="K3935" s="67">
        <f t="shared" si="248"/>
        <v>277162.36400514998</v>
      </c>
      <c r="L3935" s="95">
        <f>+VLOOKUP(E3935,MARGEN!A:B,2,FALSE)</f>
        <v>0.1</v>
      </c>
      <c r="M3935" s="112">
        <f t="shared" si="245"/>
        <v>27716.236400515001</v>
      </c>
      <c r="N3935" s="113">
        <f t="shared" si="246"/>
        <v>1108.6494560205999</v>
      </c>
      <c r="O3935" s="113">
        <f t="shared" si="247"/>
        <v>248337.47814861438</v>
      </c>
    </row>
    <row r="3936" spans="1:15" x14ac:dyDescent="0.25">
      <c r="A3936" s="13">
        <v>44454</v>
      </c>
      <c r="B3936" s="97">
        <v>10725</v>
      </c>
      <c r="C3936" t="s">
        <v>546</v>
      </c>
      <c r="D3936" s="94" t="s">
        <v>547</v>
      </c>
      <c r="E3936" t="s">
        <v>545</v>
      </c>
      <c r="F3936" t="s">
        <v>551</v>
      </c>
      <c r="G3936" s="50" t="s">
        <v>205</v>
      </c>
      <c r="H3936" s="50">
        <v>2</v>
      </c>
      <c r="I3936" s="100">
        <v>6.7391919697301583</v>
      </c>
      <c r="J3936" s="52">
        <v>3834.68</v>
      </c>
      <c r="K3936" s="67">
        <f t="shared" si="248"/>
        <v>277162.36400514998</v>
      </c>
      <c r="L3936" s="95">
        <f>+VLOOKUP(E3936,MARGEN!A:B,2,FALSE)</f>
        <v>0.1</v>
      </c>
      <c r="M3936" s="112">
        <f t="shared" si="245"/>
        <v>27716.236400515001</v>
      </c>
      <c r="N3936" s="113">
        <f t="shared" si="246"/>
        <v>1108.6494560205999</v>
      </c>
      <c r="O3936" s="113">
        <f t="shared" si="247"/>
        <v>248337.47814861438</v>
      </c>
    </row>
    <row r="3937" spans="1:15" x14ac:dyDescent="0.25">
      <c r="A3937" s="13">
        <v>44455</v>
      </c>
      <c r="B3937" s="97">
        <v>10726</v>
      </c>
      <c r="C3937" t="s">
        <v>546</v>
      </c>
      <c r="D3937" s="94" t="s">
        <v>547</v>
      </c>
      <c r="E3937" t="s">
        <v>545</v>
      </c>
      <c r="F3937" t="s">
        <v>566</v>
      </c>
      <c r="G3937" s="50" t="s">
        <v>559</v>
      </c>
      <c r="H3937" s="50">
        <v>2</v>
      </c>
      <c r="I3937" s="100">
        <v>6.7391919697301583</v>
      </c>
      <c r="J3937" s="52">
        <v>3834.68</v>
      </c>
      <c r="K3937" s="67">
        <f t="shared" si="248"/>
        <v>277188.2066498124</v>
      </c>
      <c r="L3937" s="95">
        <f>+VLOOKUP(E3937,MARGEN!A:B,2,FALSE)</f>
        <v>0.1</v>
      </c>
      <c r="M3937" s="112">
        <f t="shared" si="245"/>
        <v>27718.820664981242</v>
      </c>
      <c r="N3937" s="113">
        <f t="shared" si="246"/>
        <v>1108.7528265992496</v>
      </c>
      <c r="O3937" s="113">
        <f t="shared" si="247"/>
        <v>248360.63315823191</v>
      </c>
    </row>
    <row r="3938" spans="1:15" x14ac:dyDescent="0.25">
      <c r="A3938" s="13">
        <v>44456</v>
      </c>
      <c r="B3938" s="97">
        <v>10726</v>
      </c>
      <c r="C3938" t="s">
        <v>546</v>
      </c>
      <c r="D3938" s="94" t="s">
        <v>547</v>
      </c>
      <c r="E3938" t="s">
        <v>545</v>
      </c>
      <c r="F3938" t="s">
        <v>566</v>
      </c>
      <c r="G3938" s="50" t="s">
        <v>559</v>
      </c>
      <c r="H3938" s="50">
        <v>2</v>
      </c>
      <c r="I3938" s="100">
        <v>6.7391919697301583</v>
      </c>
      <c r="J3938" s="52">
        <v>3834.68</v>
      </c>
      <c r="K3938" s="67">
        <f t="shared" si="248"/>
        <v>277188.2066498124</v>
      </c>
      <c r="L3938" s="95">
        <f>+VLOOKUP(E3938,MARGEN!A:B,2,FALSE)</f>
        <v>0.1</v>
      </c>
      <c r="M3938" s="112">
        <f t="shared" si="245"/>
        <v>27718.820664981242</v>
      </c>
      <c r="N3938" s="113">
        <f t="shared" si="246"/>
        <v>1108.7528265992496</v>
      </c>
      <c r="O3938" s="113">
        <f t="shared" si="247"/>
        <v>248360.63315823191</v>
      </c>
    </row>
    <row r="3939" spans="1:15" x14ac:dyDescent="0.25">
      <c r="A3939" s="13">
        <v>44457</v>
      </c>
      <c r="B3939" s="97">
        <v>10726</v>
      </c>
      <c r="C3939" t="s">
        <v>546</v>
      </c>
      <c r="D3939" s="94" t="s">
        <v>547</v>
      </c>
      <c r="E3939" t="s">
        <v>545</v>
      </c>
      <c r="F3939" t="s">
        <v>566</v>
      </c>
      <c r="G3939" s="50" t="s">
        <v>559</v>
      </c>
      <c r="H3939" s="50">
        <v>2</v>
      </c>
      <c r="I3939" s="100">
        <v>6.7391919697301583</v>
      </c>
      <c r="J3939" s="52">
        <v>3834.68</v>
      </c>
      <c r="K3939" s="67">
        <f t="shared" si="248"/>
        <v>277188.2066498124</v>
      </c>
      <c r="L3939" s="95">
        <f>+VLOOKUP(E3939,MARGEN!A:B,2,FALSE)</f>
        <v>0.1</v>
      </c>
      <c r="M3939" s="112">
        <f t="shared" si="245"/>
        <v>27718.820664981242</v>
      </c>
      <c r="N3939" s="113">
        <f t="shared" si="246"/>
        <v>1108.7528265992496</v>
      </c>
      <c r="O3939" s="113">
        <f t="shared" si="247"/>
        <v>248360.63315823191</v>
      </c>
    </row>
    <row r="3940" spans="1:15" x14ac:dyDescent="0.25">
      <c r="A3940" s="13">
        <v>44458</v>
      </c>
      <c r="B3940" s="51">
        <v>10726</v>
      </c>
      <c r="C3940" s="66" t="s">
        <v>546</v>
      </c>
      <c r="D3940" s="66" t="s">
        <v>547</v>
      </c>
      <c r="E3940" t="s">
        <v>545</v>
      </c>
      <c r="F3940" s="50" t="s">
        <v>566</v>
      </c>
      <c r="G3940" s="50" t="s">
        <v>559</v>
      </c>
      <c r="H3940" s="50">
        <v>2</v>
      </c>
      <c r="I3940" s="100">
        <v>6.7391919697301583</v>
      </c>
      <c r="J3940" s="52">
        <v>3834.68</v>
      </c>
      <c r="K3940" s="67">
        <f t="shared" si="248"/>
        <v>277188.2066498124</v>
      </c>
      <c r="L3940" s="95">
        <f>+VLOOKUP(E3940,MARGEN!A:B,2,FALSE)</f>
        <v>0.1</v>
      </c>
      <c r="M3940" s="112">
        <f t="shared" si="245"/>
        <v>27718.820664981242</v>
      </c>
      <c r="N3940" s="113">
        <f t="shared" si="246"/>
        <v>1108.7528265992496</v>
      </c>
      <c r="O3940" s="113">
        <f t="shared" si="247"/>
        <v>248360.63315823191</v>
      </c>
    </row>
    <row r="3941" spans="1:15" x14ac:dyDescent="0.25">
      <c r="A3941" s="13">
        <v>44459</v>
      </c>
      <c r="B3941" s="97">
        <v>10727</v>
      </c>
      <c r="C3941" t="s">
        <v>546</v>
      </c>
      <c r="D3941" s="94" t="s">
        <v>547</v>
      </c>
      <c r="E3941" t="s">
        <v>545</v>
      </c>
      <c r="F3941" t="s">
        <v>573</v>
      </c>
      <c r="G3941" s="50" t="s">
        <v>574</v>
      </c>
      <c r="H3941" s="50">
        <v>2</v>
      </c>
      <c r="I3941" s="100">
        <v>6.7391919697301583</v>
      </c>
      <c r="J3941" s="52">
        <v>3834.68</v>
      </c>
      <c r="K3941" s="67">
        <f t="shared" si="248"/>
        <v>277214.04929447488</v>
      </c>
      <c r="L3941" s="95">
        <f>+VLOOKUP(E3941,MARGEN!A:B,2,FALSE)</f>
        <v>0.1</v>
      </c>
      <c r="M3941" s="112">
        <f t="shared" si="245"/>
        <v>27721.40492944749</v>
      </c>
      <c r="N3941" s="113">
        <f t="shared" si="246"/>
        <v>1108.8561971778995</v>
      </c>
      <c r="O3941" s="113">
        <f t="shared" si="247"/>
        <v>248383.7881678495</v>
      </c>
    </row>
    <row r="3942" spans="1:15" x14ac:dyDescent="0.25">
      <c r="A3942" s="13">
        <v>44460</v>
      </c>
      <c r="B3942" s="97">
        <v>10727</v>
      </c>
      <c r="C3942" t="s">
        <v>546</v>
      </c>
      <c r="D3942" s="94" t="s">
        <v>547</v>
      </c>
      <c r="E3942" t="s">
        <v>545</v>
      </c>
      <c r="F3942" t="s">
        <v>573</v>
      </c>
      <c r="G3942" s="50" t="s">
        <v>574</v>
      </c>
      <c r="H3942" s="50">
        <v>2</v>
      </c>
      <c r="I3942" s="100">
        <v>6.7391919697301583</v>
      </c>
      <c r="J3942" s="52">
        <v>3834.68</v>
      </c>
      <c r="K3942" s="67">
        <f t="shared" si="248"/>
        <v>277214.04929447488</v>
      </c>
      <c r="L3942" s="95">
        <f>+VLOOKUP(E3942,MARGEN!A:B,2,FALSE)</f>
        <v>0.1</v>
      </c>
      <c r="M3942" s="112">
        <f t="shared" si="245"/>
        <v>27721.40492944749</v>
      </c>
      <c r="N3942" s="113">
        <f t="shared" si="246"/>
        <v>1108.8561971778995</v>
      </c>
      <c r="O3942" s="113">
        <f t="shared" si="247"/>
        <v>248383.7881678495</v>
      </c>
    </row>
    <row r="3943" spans="1:15" x14ac:dyDescent="0.25">
      <c r="A3943" s="13">
        <v>44461</v>
      </c>
      <c r="B3943" s="97">
        <v>10727</v>
      </c>
      <c r="C3943" t="s">
        <v>546</v>
      </c>
      <c r="D3943" t="s">
        <v>547</v>
      </c>
      <c r="E3943" t="s">
        <v>545</v>
      </c>
      <c r="F3943" t="s">
        <v>573</v>
      </c>
      <c r="G3943" s="50" t="s">
        <v>574</v>
      </c>
      <c r="H3943" s="50">
        <v>2</v>
      </c>
      <c r="I3943" s="100">
        <v>6.7391919697301583</v>
      </c>
      <c r="J3943" s="52">
        <v>3834.68</v>
      </c>
      <c r="K3943" s="67">
        <f t="shared" si="248"/>
        <v>277214.04929447488</v>
      </c>
      <c r="L3943" s="95">
        <f>+VLOOKUP(E3943,MARGEN!A:B,2,FALSE)</f>
        <v>0.1</v>
      </c>
      <c r="M3943" s="112">
        <f t="shared" si="245"/>
        <v>27721.40492944749</v>
      </c>
      <c r="N3943" s="113">
        <f t="shared" si="246"/>
        <v>1108.8561971778995</v>
      </c>
      <c r="O3943" s="113">
        <f t="shared" si="247"/>
        <v>248383.7881678495</v>
      </c>
    </row>
    <row r="3944" spans="1:15" x14ac:dyDescent="0.25">
      <c r="A3944" s="13">
        <v>44462</v>
      </c>
      <c r="B3944" s="97">
        <v>10727</v>
      </c>
      <c r="C3944" t="s">
        <v>546</v>
      </c>
      <c r="D3944" t="s">
        <v>547</v>
      </c>
      <c r="E3944" t="s">
        <v>545</v>
      </c>
      <c r="F3944" t="s">
        <v>573</v>
      </c>
      <c r="G3944" s="50" t="s">
        <v>574</v>
      </c>
      <c r="H3944" s="50">
        <v>2</v>
      </c>
      <c r="I3944" s="100">
        <v>6.7391919697301583</v>
      </c>
      <c r="J3944" s="52">
        <v>3834.68</v>
      </c>
      <c r="K3944" s="67">
        <f t="shared" si="248"/>
        <v>277214.04929447488</v>
      </c>
      <c r="L3944" s="95">
        <f>+VLOOKUP(E3944,MARGEN!A:B,2,FALSE)</f>
        <v>0.1</v>
      </c>
      <c r="M3944" s="112">
        <f t="shared" si="245"/>
        <v>27721.40492944749</v>
      </c>
      <c r="N3944" s="113">
        <f t="shared" si="246"/>
        <v>1108.8561971778995</v>
      </c>
      <c r="O3944" s="113">
        <f t="shared" si="247"/>
        <v>248383.7881678495</v>
      </c>
    </row>
    <row r="3945" spans="1:15" x14ac:dyDescent="0.25">
      <c r="A3945" s="13">
        <v>44463</v>
      </c>
      <c r="B3945" s="97">
        <v>10727</v>
      </c>
      <c r="C3945" t="s">
        <v>546</v>
      </c>
      <c r="D3945" t="s">
        <v>547</v>
      </c>
      <c r="E3945" t="s">
        <v>545</v>
      </c>
      <c r="F3945" t="s">
        <v>573</v>
      </c>
      <c r="G3945" s="50" t="s">
        <v>574</v>
      </c>
      <c r="H3945" s="50">
        <v>2</v>
      </c>
      <c r="I3945" s="100">
        <v>6.7391919697301583</v>
      </c>
      <c r="J3945" s="52">
        <v>3834.68</v>
      </c>
      <c r="K3945" s="67">
        <f t="shared" si="248"/>
        <v>277214.04929447488</v>
      </c>
      <c r="L3945" s="95">
        <f>+VLOOKUP(E3945,MARGEN!A:B,2,FALSE)</f>
        <v>0.1</v>
      </c>
      <c r="M3945" s="112">
        <f t="shared" si="245"/>
        <v>27721.40492944749</v>
      </c>
      <c r="N3945" s="113">
        <f t="shared" si="246"/>
        <v>1108.8561971778995</v>
      </c>
      <c r="O3945" s="113">
        <f t="shared" si="247"/>
        <v>248383.7881678495</v>
      </c>
    </row>
    <row r="3946" spans="1:15" x14ac:dyDescent="0.25">
      <c r="A3946" s="43">
        <v>44464</v>
      </c>
      <c r="B3946" s="51">
        <v>10727</v>
      </c>
      <c r="C3946" s="66" t="s">
        <v>546</v>
      </c>
      <c r="D3946" s="66" t="s">
        <v>547</v>
      </c>
      <c r="E3946" t="s">
        <v>545</v>
      </c>
      <c r="F3946" s="50" t="s">
        <v>573</v>
      </c>
      <c r="G3946" s="50" t="s">
        <v>574</v>
      </c>
      <c r="H3946" s="50">
        <v>2</v>
      </c>
      <c r="I3946" s="100">
        <v>6.7391919697301583</v>
      </c>
      <c r="J3946" s="52">
        <v>3834.68</v>
      </c>
      <c r="K3946" s="67">
        <f t="shared" si="248"/>
        <v>277214.04929447488</v>
      </c>
      <c r="L3946" s="95">
        <f>+VLOOKUP(E3946,MARGEN!A:B,2,FALSE)</f>
        <v>0.1</v>
      </c>
      <c r="M3946" s="112">
        <f t="shared" si="245"/>
        <v>27721.40492944749</v>
      </c>
      <c r="N3946" s="113">
        <f t="shared" si="246"/>
        <v>1108.8561971778995</v>
      </c>
      <c r="O3946" s="113">
        <f t="shared" si="247"/>
        <v>248383.7881678495</v>
      </c>
    </row>
    <row r="3947" spans="1:15" x14ac:dyDescent="0.25">
      <c r="A3947" s="43">
        <v>44465</v>
      </c>
      <c r="B3947" s="51">
        <v>10727</v>
      </c>
      <c r="C3947" s="66" t="s">
        <v>546</v>
      </c>
      <c r="D3947" s="66" t="s">
        <v>547</v>
      </c>
      <c r="E3947" t="s">
        <v>545</v>
      </c>
      <c r="F3947" s="50" t="s">
        <v>573</v>
      </c>
      <c r="G3947" s="50" t="s">
        <v>574</v>
      </c>
      <c r="H3947" s="50">
        <v>2</v>
      </c>
      <c r="I3947" s="100">
        <v>6.7391919697301583</v>
      </c>
      <c r="J3947" s="52">
        <v>3834.68</v>
      </c>
      <c r="K3947" s="67">
        <f t="shared" si="248"/>
        <v>277214.04929447488</v>
      </c>
      <c r="L3947" s="95">
        <f>+VLOOKUP(E3947,MARGEN!A:B,2,FALSE)</f>
        <v>0.1</v>
      </c>
      <c r="M3947" s="112">
        <f t="shared" si="245"/>
        <v>27721.40492944749</v>
      </c>
      <c r="N3947" s="113">
        <f t="shared" si="246"/>
        <v>1108.8561971778995</v>
      </c>
      <c r="O3947" s="113">
        <f t="shared" si="247"/>
        <v>248383.7881678495</v>
      </c>
    </row>
    <row r="3948" spans="1:15" x14ac:dyDescent="0.25">
      <c r="A3948" s="43">
        <v>44466</v>
      </c>
      <c r="B3948" s="51">
        <v>10727</v>
      </c>
      <c r="C3948" s="66" t="s">
        <v>546</v>
      </c>
      <c r="D3948" s="66" t="s">
        <v>547</v>
      </c>
      <c r="E3948" t="s">
        <v>545</v>
      </c>
      <c r="F3948" s="50" t="s">
        <v>573</v>
      </c>
      <c r="G3948" s="50" t="s">
        <v>574</v>
      </c>
      <c r="H3948" s="50">
        <v>2</v>
      </c>
      <c r="I3948" s="100">
        <v>6.7391919697301583</v>
      </c>
      <c r="J3948" s="52">
        <v>3834.68</v>
      </c>
      <c r="K3948" s="67">
        <f t="shared" si="248"/>
        <v>277214.04929447488</v>
      </c>
      <c r="L3948" s="95">
        <f>+VLOOKUP(E3948,MARGEN!A:B,2,FALSE)</f>
        <v>0.1</v>
      </c>
      <c r="M3948" s="112">
        <f t="shared" si="245"/>
        <v>27721.40492944749</v>
      </c>
      <c r="N3948" s="113">
        <f t="shared" si="246"/>
        <v>1108.8561971778995</v>
      </c>
      <c r="O3948" s="113">
        <f t="shared" si="247"/>
        <v>248383.7881678495</v>
      </c>
    </row>
    <row r="3949" spans="1:15" x14ac:dyDescent="0.25">
      <c r="A3949" s="43">
        <v>44467</v>
      </c>
      <c r="B3949" s="51">
        <v>10727</v>
      </c>
      <c r="C3949" s="66" t="s">
        <v>546</v>
      </c>
      <c r="D3949" s="66" t="s">
        <v>547</v>
      </c>
      <c r="E3949" t="s">
        <v>545</v>
      </c>
      <c r="F3949" s="50" t="s">
        <v>573</v>
      </c>
      <c r="G3949" s="50" t="s">
        <v>574</v>
      </c>
      <c r="H3949" s="50">
        <v>2</v>
      </c>
      <c r="I3949" s="100">
        <v>6.7391919697301583</v>
      </c>
      <c r="J3949" s="52">
        <v>3834.68</v>
      </c>
      <c r="K3949" s="67">
        <f t="shared" si="248"/>
        <v>277214.04929447488</v>
      </c>
      <c r="L3949" s="95">
        <f>+VLOOKUP(E3949,MARGEN!A:B,2,FALSE)</f>
        <v>0.1</v>
      </c>
      <c r="M3949" s="112">
        <f t="shared" si="245"/>
        <v>27721.40492944749</v>
      </c>
      <c r="N3949" s="113">
        <f t="shared" si="246"/>
        <v>1108.8561971778995</v>
      </c>
      <c r="O3949" s="113">
        <f t="shared" si="247"/>
        <v>248383.7881678495</v>
      </c>
    </row>
    <row r="3950" spans="1:15" x14ac:dyDescent="0.25">
      <c r="A3950" s="43">
        <v>44468</v>
      </c>
      <c r="B3950" s="51">
        <v>10727</v>
      </c>
      <c r="C3950" s="66" t="s">
        <v>546</v>
      </c>
      <c r="D3950" s="66" t="s">
        <v>547</v>
      </c>
      <c r="E3950" t="s">
        <v>545</v>
      </c>
      <c r="F3950" s="50" t="s">
        <v>573</v>
      </c>
      <c r="G3950" s="50" t="s">
        <v>574</v>
      </c>
      <c r="H3950" s="50">
        <v>2</v>
      </c>
      <c r="I3950" s="100">
        <v>6.7391919697301583</v>
      </c>
      <c r="J3950" s="52">
        <v>3834.68</v>
      </c>
      <c r="K3950" s="67">
        <f t="shared" si="248"/>
        <v>277214.04929447488</v>
      </c>
      <c r="L3950" s="95">
        <f>+VLOOKUP(E3950,MARGEN!A:B,2,FALSE)</f>
        <v>0.1</v>
      </c>
      <c r="M3950" s="112">
        <f t="shared" si="245"/>
        <v>27721.40492944749</v>
      </c>
      <c r="N3950" s="113">
        <f t="shared" si="246"/>
        <v>1108.8561971778995</v>
      </c>
      <c r="O3950" s="113">
        <f t="shared" si="247"/>
        <v>248383.7881678495</v>
      </c>
    </row>
    <row r="3951" spans="1:15" x14ac:dyDescent="0.25">
      <c r="A3951" s="43">
        <v>44469</v>
      </c>
      <c r="B3951" s="51">
        <v>10727</v>
      </c>
      <c r="C3951" s="66" t="s">
        <v>546</v>
      </c>
      <c r="D3951" s="66" t="s">
        <v>547</v>
      </c>
      <c r="E3951" t="s">
        <v>545</v>
      </c>
      <c r="F3951" s="50" t="s">
        <v>573</v>
      </c>
      <c r="G3951" s="50" t="s">
        <v>574</v>
      </c>
      <c r="H3951" s="50">
        <v>2</v>
      </c>
      <c r="I3951" s="100">
        <v>6.7391919697301583</v>
      </c>
      <c r="J3951" s="52">
        <v>3834.68</v>
      </c>
      <c r="K3951" s="67">
        <f t="shared" si="248"/>
        <v>277214.04929447488</v>
      </c>
      <c r="L3951" s="95">
        <f>+VLOOKUP(E3951,MARGEN!A:B,2,FALSE)</f>
        <v>0.1</v>
      </c>
      <c r="M3951" s="112">
        <f t="shared" si="245"/>
        <v>27721.40492944749</v>
      </c>
      <c r="N3951" s="113">
        <f t="shared" si="246"/>
        <v>1108.8561971778995</v>
      </c>
      <c r="O3951" s="113">
        <f t="shared" si="247"/>
        <v>248383.7881678495</v>
      </c>
    </row>
    <row r="3952" spans="1:15" x14ac:dyDescent="0.25">
      <c r="A3952" s="13">
        <v>44446</v>
      </c>
      <c r="B3952" s="51">
        <v>2159</v>
      </c>
      <c r="C3952" s="66" t="s">
        <v>564</v>
      </c>
      <c r="D3952" s="66" t="s">
        <v>565</v>
      </c>
      <c r="E3952" t="s">
        <v>260</v>
      </c>
      <c r="F3952" s="50" t="s">
        <v>557</v>
      </c>
      <c r="G3952" s="50" t="s">
        <v>205</v>
      </c>
      <c r="H3952" s="50">
        <v>2</v>
      </c>
      <c r="I3952" s="100">
        <v>6.7391919697301583</v>
      </c>
      <c r="J3952" s="52">
        <v>3834.68</v>
      </c>
      <c r="K3952" s="67">
        <f t="shared" si="248"/>
        <v>55794.269826304779</v>
      </c>
      <c r="L3952" s="95">
        <f>+VLOOKUP(E3952,MARGEN!A:B,2,FALSE)</f>
        <v>0.1</v>
      </c>
      <c r="M3952" s="112">
        <f t="shared" si="245"/>
        <v>5579.4269826304781</v>
      </c>
      <c r="N3952" s="113">
        <f t="shared" si="246"/>
        <v>223.17707930521911</v>
      </c>
      <c r="O3952" s="113">
        <f t="shared" si="247"/>
        <v>49991.665764369078</v>
      </c>
    </row>
    <row r="3953" spans="1:15" x14ac:dyDescent="0.25">
      <c r="A3953" s="13">
        <v>44447</v>
      </c>
      <c r="B3953" s="97">
        <v>2157</v>
      </c>
      <c r="C3953" t="s">
        <v>564</v>
      </c>
      <c r="D3953" s="94" t="s">
        <v>565</v>
      </c>
      <c r="E3953" t="s">
        <v>260</v>
      </c>
      <c r="F3953" t="s">
        <v>572</v>
      </c>
      <c r="G3953" s="50" t="s">
        <v>243</v>
      </c>
      <c r="H3953" s="50">
        <v>2</v>
      </c>
      <c r="I3953" s="100">
        <v>6.7391919697301583</v>
      </c>
      <c r="J3953" s="52">
        <v>3834.68</v>
      </c>
      <c r="K3953" s="67">
        <f t="shared" si="248"/>
        <v>55742.584536979804</v>
      </c>
      <c r="L3953" s="95">
        <f>+VLOOKUP(E3953,MARGEN!A:B,2,FALSE)</f>
        <v>0.1</v>
      </c>
      <c r="M3953" s="112">
        <f t="shared" si="245"/>
        <v>5574.2584536979812</v>
      </c>
      <c r="N3953" s="113">
        <f t="shared" si="246"/>
        <v>222.97033814791922</v>
      </c>
      <c r="O3953" s="113">
        <f t="shared" si="247"/>
        <v>49945.3557451339</v>
      </c>
    </row>
    <row r="3954" spans="1:15" x14ac:dyDescent="0.25">
      <c r="A3954" s="13">
        <v>44448</v>
      </c>
      <c r="B3954" s="97">
        <v>2159</v>
      </c>
      <c r="C3954" t="s">
        <v>564</v>
      </c>
      <c r="D3954" s="94" t="s">
        <v>565</v>
      </c>
      <c r="E3954" t="s">
        <v>260</v>
      </c>
      <c r="F3954" t="s">
        <v>557</v>
      </c>
      <c r="G3954" s="50" t="s">
        <v>205</v>
      </c>
      <c r="H3954" s="50">
        <v>2</v>
      </c>
      <c r="I3954" s="100">
        <v>6.7391919697301583</v>
      </c>
      <c r="J3954" s="52">
        <v>3834.68</v>
      </c>
      <c r="K3954" s="67">
        <f t="shared" si="248"/>
        <v>55794.269826304779</v>
      </c>
      <c r="L3954" s="95">
        <f>+VLOOKUP(E3954,MARGEN!A:B,2,FALSE)</f>
        <v>0.1</v>
      </c>
      <c r="M3954" s="112">
        <f t="shared" si="245"/>
        <v>5579.4269826304781</v>
      </c>
      <c r="N3954" s="113">
        <f t="shared" si="246"/>
        <v>223.17707930521911</v>
      </c>
      <c r="O3954" s="113">
        <f t="shared" si="247"/>
        <v>49991.665764369078</v>
      </c>
    </row>
    <row r="3955" spans="1:15" x14ac:dyDescent="0.25">
      <c r="A3955" s="13">
        <v>44453</v>
      </c>
      <c r="B3955" s="97">
        <v>2159</v>
      </c>
      <c r="C3955" t="s">
        <v>564</v>
      </c>
      <c r="D3955" s="94" t="s">
        <v>565</v>
      </c>
      <c r="E3955" t="s">
        <v>260</v>
      </c>
      <c r="F3955" t="s">
        <v>551</v>
      </c>
      <c r="G3955" s="50" t="s">
        <v>205</v>
      </c>
      <c r="H3955" s="50">
        <v>2</v>
      </c>
      <c r="I3955" s="100">
        <v>6.7391919697301583</v>
      </c>
      <c r="J3955" s="52">
        <v>3834.68</v>
      </c>
      <c r="K3955" s="67">
        <f t="shared" si="248"/>
        <v>55794.269826304779</v>
      </c>
      <c r="L3955" s="95">
        <f>+VLOOKUP(E3955,MARGEN!A:B,2,FALSE)</f>
        <v>0.1</v>
      </c>
      <c r="M3955" s="112">
        <f t="shared" si="245"/>
        <v>5579.4269826304781</v>
      </c>
      <c r="N3955" s="113">
        <f t="shared" si="246"/>
        <v>223.17707930521911</v>
      </c>
      <c r="O3955" s="113">
        <f t="shared" si="247"/>
        <v>49991.665764369078</v>
      </c>
    </row>
    <row r="3956" spans="1:15" x14ac:dyDescent="0.25">
      <c r="A3956" s="13">
        <v>44454</v>
      </c>
      <c r="B3956" s="97">
        <v>2159</v>
      </c>
      <c r="C3956" t="s">
        <v>564</v>
      </c>
      <c r="D3956" s="94" t="s">
        <v>565</v>
      </c>
      <c r="E3956" t="s">
        <v>260</v>
      </c>
      <c r="F3956" t="s">
        <v>566</v>
      </c>
      <c r="G3956" s="50" t="s">
        <v>559</v>
      </c>
      <c r="H3956" s="50">
        <v>2</v>
      </c>
      <c r="I3956" s="100">
        <v>6.7391919697301583</v>
      </c>
      <c r="J3956" s="52">
        <v>3834.68</v>
      </c>
      <c r="K3956" s="67">
        <f t="shared" si="248"/>
        <v>55794.269826304779</v>
      </c>
      <c r="L3956" s="95">
        <f>+VLOOKUP(E3956,MARGEN!A:B,2,FALSE)</f>
        <v>0.1</v>
      </c>
      <c r="M3956" s="112">
        <f t="shared" si="245"/>
        <v>5579.4269826304781</v>
      </c>
      <c r="N3956" s="113">
        <f t="shared" si="246"/>
        <v>223.17707930521911</v>
      </c>
      <c r="O3956" s="113">
        <f t="shared" si="247"/>
        <v>49991.665764369078</v>
      </c>
    </row>
    <row r="3957" spans="1:15" x14ac:dyDescent="0.25">
      <c r="A3957" s="13">
        <v>44455</v>
      </c>
      <c r="B3957" s="97">
        <v>2159</v>
      </c>
      <c r="C3957" t="s">
        <v>564</v>
      </c>
      <c r="D3957" s="94" t="s">
        <v>565</v>
      </c>
      <c r="E3957" t="s">
        <v>260</v>
      </c>
      <c r="F3957" t="s">
        <v>562</v>
      </c>
      <c r="G3957" s="50" t="s">
        <v>559</v>
      </c>
      <c r="H3957" s="50">
        <v>2</v>
      </c>
      <c r="I3957" s="100">
        <v>6.7391919697301583</v>
      </c>
      <c r="J3957" s="52">
        <v>3834.68</v>
      </c>
      <c r="K3957" s="67">
        <f t="shared" si="248"/>
        <v>55794.269826304779</v>
      </c>
      <c r="L3957" s="95">
        <f>+VLOOKUP(E3957,MARGEN!A:B,2,FALSE)</f>
        <v>0.1</v>
      </c>
      <c r="M3957" s="112">
        <f t="shared" si="245"/>
        <v>5579.4269826304781</v>
      </c>
      <c r="N3957" s="113">
        <f t="shared" si="246"/>
        <v>223.17707930521911</v>
      </c>
      <c r="O3957" s="113">
        <f t="shared" si="247"/>
        <v>49991.665764369078</v>
      </c>
    </row>
    <row r="3958" spans="1:15" x14ac:dyDescent="0.25">
      <c r="A3958" s="13">
        <v>44456</v>
      </c>
      <c r="B3958" s="97">
        <v>2159</v>
      </c>
      <c r="C3958" t="s">
        <v>564</v>
      </c>
      <c r="D3958" s="94" t="s">
        <v>565</v>
      </c>
      <c r="E3958" t="s">
        <v>260</v>
      </c>
      <c r="F3958" t="s">
        <v>573</v>
      </c>
      <c r="G3958" s="50" t="s">
        <v>574</v>
      </c>
      <c r="H3958" s="50">
        <v>2</v>
      </c>
      <c r="I3958" s="100">
        <v>6.7391919697301583</v>
      </c>
      <c r="J3958" s="52">
        <v>3834.68</v>
      </c>
      <c r="K3958" s="67">
        <f t="shared" si="248"/>
        <v>55794.269826304779</v>
      </c>
      <c r="L3958" s="95">
        <f>+VLOOKUP(E3958,MARGEN!A:B,2,FALSE)</f>
        <v>0.1</v>
      </c>
      <c r="M3958" s="112">
        <f t="shared" si="245"/>
        <v>5579.4269826304781</v>
      </c>
      <c r="N3958" s="113">
        <f t="shared" si="246"/>
        <v>223.17707930521911</v>
      </c>
      <c r="O3958" s="113">
        <f t="shared" si="247"/>
        <v>49991.665764369078</v>
      </c>
    </row>
    <row r="3959" spans="1:15" x14ac:dyDescent="0.25">
      <c r="A3959" s="13">
        <v>44457</v>
      </c>
      <c r="B3959" s="97">
        <v>2159</v>
      </c>
      <c r="C3959" t="s">
        <v>564</v>
      </c>
      <c r="D3959" s="94" t="s">
        <v>565</v>
      </c>
      <c r="E3959" t="s">
        <v>260</v>
      </c>
      <c r="F3959" t="s">
        <v>573</v>
      </c>
      <c r="G3959" s="50" t="s">
        <v>574</v>
      </c>
      <c r="H3959" s="50">
        <v>2</v>
      </c>
      <c r="I3959" s="100">
        <v>6.7391919697301583</v>
      </c>
      <c r="J3959" s="52">
        <v>3834.68</v>
      </c>
      <c r="K3959" s="67">
        <f t="shared" si="248"/>
        <v>55794.269826304779</v>
      </c>
      <c r="L3959" s="95">
        <f>+VLOOKUP(E3959,MARGEN!A:B,2,FALSE)</f>
        <v>0.1</v>
      </c>
      <c r="M3959" s="112">
        <f t="shared" si="245"/>
        <v>5579.4269826304781</v>
      </c>
      <c r="N3959" s="113">
        <f t="shared" si="246"/>
        <v>223.17707930521911</v>
      </c>
      <c r="O3959" s="113">
        <f t="shared" si="247"/>
        <v>49991.665764369078</v>
      </c>
    </row>
    <row r="3960" spans="1:15" x14ac:dyDescent="0.25">
      <c r="A3960" s="13">
        <v>44458</v>
      </c>
      <c r="B3960" s="97">
        <v>2159</v>
      </c>
      <c r="C3960" t="s">
        <v>564</v>
      </c>
      <c r="D3960" t="s">
        <v>565</v>
      </c>
      <c r="E3960" t="s">
        <v>260</v>
      </c>
      <c r="F3960" t="s">
        <v>573</v>
      </c>
      <c r="G3960" s="50" t="s">
        <v>574</v>
      </c>
      <c r="H3960" s="50">
        <v>2</v>
      </c>
      <c r="I3960" s="100">
        <v>6.7391919697301583</v>
      </c>
      <c r="J3960" s="52">
        <v>3834.68</v>
      </c>
      <c r="K3960" s="67">
        <f t="shared" si="248"/>
        <v>55794.269826304779</v>
      </c>
      <c r="L3960" s="95">
        <f>+VLOOKUP(E3960,MARGEN!A:B,2,FALSE)</f>
        <v>0.1</v>
      </c>
      <c r="M3960" s="112">
        <f t="shared" si="245"/>
        <v>5579.4269826304781</v>
      </c>
      <c r="N3960" s="113">
        <f t="shared" si="246"/>
        <v>223.17707930521911</v>
      </c>
      <c r="O3960" s="113">
        <f t="shared" si="247"/>
        <v>49991.665764369078</v>
      </c>
    </row>
    <row r="3961" spans="1:15" x14ac:dyDescent="0.25">
      <c r="A3961" s="13">
        <v>44459</v>
      </c>
      <c r="B3961" s="97">
        <v>2159</v>
      </c>
      <c r="C3961" t="s">
        <v>564</v>
      </c>
      <c r="D3961" t="s">
        <v>565</v>
      </c>
      <c r="E3961" t="s">
        <v>260</v>
      </c>
      <c r="F3961" t="s">
        <v>558</v>
      </c>
      <c r="G3961" s="50" t="s">
        <v>574</v>
      </c>
      <c r="H3961" s="50">
        <v>2</v>
      </c>
      <c r="I3961" s="100">
        <v>6.7391919697301583</v>
      </c>
      <c r="J3961" s="52">
        <v>3834.68</v>
      </c>
      <c r="K3961" s="67">
        <f t="shared" si="248"/>
        <v>55794.269826304779</v>
      </c>
      <c r="L3961" s="95">
        <f>+VLOOKUP(E3961,MARGEN!A:B,2,FALSE)</f>
        <v>0.1</v>
      </c>
      <c r="M3961" s="112">
        <f t="shared" si="245"/>
        <v>5579.4269826304781</v>
      </c>
      <c r="N3961" s="113">
        <f t="shared" si="246"/>
        <v>223.17707930521911</v>
      </c>
      <c r="O3961" s="113">
        <f t="shared" si="247"/>
        <v>49991.665764369078</v>
      </c>
    </row>
    <row r="3962" spans="1:15" x14ac:dyDescent="0.25">
      <c r="A3962" s="13">
        <v>44460</v>
      </c>
      <c r="B3962" s="97">
        <v>2159</v>
      </c>
      <c r="C3962" t="s">
        <v>564</v>
      </c>
      <c r="D3962" t="s">
        <v>565</v>
      </c>
      <c r="E3962" t="s">
        <v>260</v>
      </c>
      <c r="F3962" t="s">
        <v>558</v>
      </c>
      <c r="G3962" s="50" t="s">
        <v>574</v>
      </c>
      <c r="H3962" s="50">
        <v>2</v>
      </c>
      <c r="I3962" s="100">
        <v>6.7391919697301583</v>
      </c>
      <c r="J3962" s="52">
        <v>3834.68</v>
      </c>
      <c r="K3962" s="67">
        <f t="shared" si="248"/>
        <v>55794.269826304779</v>
      </c>
      <c r="L3962" s="95">
        <f>+VLOOKUP(E3962,MARGEN!A:B,2,FALSE)</f>
        <v>0.1</v>
      </c>
      <c r="M3962" s="112">
        <f t="shared" si="245"/>
        <v>5579.4269826304781</v>
      </c>
      <c r="N3962" s="113">
        <f t="shared" si="246"/>
        <v>223.17707930521911</v>
      </c>
      <c r="O3962" s="113">
        <f t="shared" si="247"/>
        <v>49991.665764369078</v>
      </c>
    </row>
    <row r="3963" spans="1:15" x14ac:dyDescent="0.25">
      <c r="A3963" s="13">
        <v>44461</v>
      </c>
      <c r="B3963" s="51">
        <v>2159</v>
      </c>
      <c r="C3963" s="66" t="s">
        <v>564</v>
      </c>
      <c r="D3963" s="66" t="s">
        <v>565</v>
      </c>
      <c r="E3963" t="s">
        <v>260</v>
      </c>
      <c r="F3963" s="50" t="s">
        <v>562</v>
      </c>
      <c r="G3963" s="50" t="s">
        <v>574</v>
      </c>
      <c r="H3963" s="50">
        <v>2</v>
      </c>
      <c r="I3963" s="100">
        <v>6.7391919697301583</v>
      </c>
      <c r="J3963" s="52">
        <v>3834.68</v>
      </c>
      <c r="K3963" s="67">
        <f t="shared" si="248"/>
        <v>55794.269826304779</v>
      </c>
      <c r="L3963" s="95">
        <f>+VLOOKUP(E3963,MARGEN!A:B,2,FALSE)</f>
        <v>0.1</v>
      </c>
      <c r="M3963" s="112">
        <f t="shared" si="245"/>
        <v>5579.4269826304781</v>
      </c>
      <c r="N3963" s="113">
        <f t="shared" si="246"/>
        <v>223.17707930521911</v>
      </c>
      <c r="O3963" s="113">
        <f t="shared" si="247"/>
        <v>49991.665764369078</v>
      </c>
    </row>
    <row r="3964" spans="1:15" x14ac:dyDescent="0.25">
      <c r="A3964" s="13">
        <v>44462</v>
      </c>
      <c r="B3964" s="51">
        <v>2159</v>
      </c>
      <c r="C3964" s="66" t="s">
        <v>564</v>
      </c>
      <c r="D3964" s="66" t="s">
        <v>565</v>
      </c>
      <c r="E3964" t="s">
        <v>260</v>
      </c>
      <c r="F3964" s="50" t="s">
        <v>558</v>
      </c>
      <c r="G3964" s="50" t="s">
        <v>574</v>
      </c>
      <c r="H3964" s="50">
        <v>2</v>
      </c>
      <c r="I3964" s="100">
        <v>6.7391919697301583</v>
      </c>
      <c r="J3964" s="52">
        <v>3834.68</v>
      </c>
      <c r="K3964" s="67">
        <f t="shared" si="248"/>
        <v>55794.269826304779</v>
      </c>
      <c r="L3964" s="95">
        <f>+VLOOKUP(E3964,MARGEN!A:B,2,FALSE)</f>
        <v>0.1</v>
      </c>
      <c r="M3964" s="112">
        <f t="shared" si="245"/>
        <v>5579.4269826304781</v>
      </c>
      <c r="N3964" s="113">
        <f t="shared" si="246"/>
        <v>223.17707930521911</v>
      </c>
      <c r="O3964" s="113">
        <f t="shared" si="247"/>
        <v>49991.665764369078</v>
      </c>
    </row>
    <row r="3965" spans="1:15" x14ac:dyDescent="0.25">
      <c r="A3965" s="13">
        <v>44463</v>
      </c>
      <c r="B3965" s="51">
        <v>2159</v>
      </c>
      <c r="C3965" s="66" t="s">
        <v>564</v>
      </c>
      <c r="D3965" s="66" t="s">
        <v>565</v>
      </c>
      <c r="E3965" t="s">
        <v>260</v>
      </c>
      <c r="F3965" s="50" t="s">
        <v>566</v>
      </c>
      <c r="G3965" s="50" t="s">
        <v>574</v>
      </c>
      <c r="H3965" s="50">
        <v>2</v>
      </c>
      <c r="I3965" s="100">
        <v>6.7391919697301583</v>
      </c>
      <c r="J3965" s="52">
        <v>3834.68</v>
      </c>
      <c r="K3965" s="67">
        <f t="shared" si="248"/>
        <v>55794.269826304779</v>
      </c>
      <c r="L3965" s="95">
        <f>+VLOOKUP(E3965,MARGEN!A:B,2,FALSE)</f>
        <v>0.1</v>
      </c>
      <c r="M3965" s="112">
        <f t="shared" si="245"/>
        <v>5579.4269826304781</v>
      </c>
      <c r="N3965" s="113">
        <f t="shared" si="246"/>
        <v>223.17707930521911</v>
      </c>
      <c r="O3965" s="113">
        <f t="shared" si="247"/>
        <v>49991.665764369078</v>
      </c>
    </row>
    <row r="3966" spans="1:15" x14ac:dyDescent="0.25">
      <c r="A3966" s="13">
        <v>44446</v>
      </c>
      <c r="B3966" s="97">
        <v>176540</v>
      </c>
      <c r="C3966" t="s">
        <v>226</v>
      </c>
      <c r="D3966" s="94" t="s">
        <v>464</v>
      </c>
      <c r="E3966" t="s">
        <v>231</v>
      </c>
      <c r="F3966" t="s">
        <v>572</v>
      </c>
      <c r="G3966" s="50" t="s">
        <v>243</v>
      </c>
      <c r="H3966" s="50">
        <v>2</v>
      </c>
      <c r="I3966" s="100">
        <v>6.7391919697301583</v>
      </c>
      <c r="J3966" s="52">
        <v>3834.68</v>
      </c>
      <c r="K3966" s="67">
        <f t="shared" si="248"/>
        <v>4562260.488715075</v>
      </c>
      <c r="L3966" s="95">
        <f>+VLOOKUP(E3966,MARGEN!A:B,2,FALSE)</f>
        <v>0.1</v>
      </c>
      <c r="M3966" s="112">
        <f t="shared" si="245"/>
        <v>456226.04887150752</v>
      </c>
      <c r="N3966" s="113">
        <f t="shared" si="246"/>
        <v>18249.041954860299</v>
      </c>
      <c r="O3966" s="113">
        <f t="shared" si="247"/>
        <v>4087785.3978887075</v>
      </c>
    </row>
    <row r="3967" spans="1:15" x14ac:dyDescent="0.25">
      <c r="A3967" s="13">
        <v>44447</v>
      </c>
      <c r="B3967" s="97">
        <v>176686</v>
      </c>
      <c r="C3967" t="s">
        <v>226</v>
      </c>
      <c r="D3967" s="94" t="s">
        <v>464</v>
      </c>
      <c r="E3967" t="s">
        <v>231</v>
      </c>
      <c r="F3967" t="s">
        <v>557</v>
      </c>
      <c r="G3967" s="50" t="s">
        <v>205</v>
      </c>
      <c r="H3967" s="50">
        <v>2</v>
      </c>
      <c r="I3967" s="100">
        <v>6.7391919697301583</v>
      </c>
      <c r="J3967" s="52">
        <v>3834.68</v>
      </c>
      <c r="K3967" s="67">
        <f t="shared" si="248"/>
        <v>4566033.5148357963</v>
      </c>
      <c r="L3967" s="95">
        <f>+VLOOKUP(E3967,MARGEN!A:B,2,FALSE)</f>
        <v>0.1</v>
      </c>
      <c r="M3967" s="112">
        <f t="shared" si="245"/>
        <v>456603.35148357967</v>
      </c>
      <c r="N3967" s="113">
        <f t="shared" si="246"/>
        <v>18264.134059343185</v>
      </c>
      <c r="O3967" s="113">
        <f t="shared" si="247"/>
        <v>4091166.0292928736</v>
      </c>
    </row>
    <row r="3968" spans="1:15" x14ac:dyDescent="0.25">
      <c r="A3968" s="13">
        <v>44448</v>
      </c>
      <c r="B3968" s="97">
        <v>176678</v>
      </c>
      <c r="C3968" t="s">
        <v>226</v>
      </c>
      <c r="D3968" s="94" t="s">
        <v>464</v>
      </c>
      <c r="E3968" t="s">
        <v>231</v>
      </c>
      <c r="F3968" t="s">
        <v>551</v>
      </c>
      <c r="G3968" s="50" t="s">
        <v>205</v>
      </c>
      <c r="H3968" s="50">
        <v>2</v>
      </c>
      <c r="I3968" s="100">
        <v>6.7391919697301583</v>
      </c>
      <c r="J3968" s="52">
        <v>3834.68</v>
      </c>
      <c r="K3968" s="67">
        <f t="shared" si="248"/>
        <v>4565826.7736784974</v>
      </c>
      <c r="L3968" s="95">
        <f>+VLOOKUP(E3968,MARGEN!A:B,2,FALSE)</f>
        <v>0.1</v>
      </c>
      <c r="M3968" s="112">
        <f t="shared" si="245"/>
        <v>456582.67736784974</v>
      </c>
      <c r="N3968" s="113">
        <f t="shared" si="246"/>
        <v>18263.307094713989</v>
      </c>
      <c r="O3968" s="113">
        <f t="shared" si="247"/>
        <v>4090980.7892159335</v>
      </c>
    </row>
    <row r="3969" spans="1:15" x14ac:dyDescent="0.25">
      <c r="A3969" s="13">
        <v>44453</v>
      </c>
      <c r="B3969" s="97">
        <v>176690</v>
      </c>
      <c r="C3969" t="s">
        <v>226</v>
      </c>
      <c r="D3969" s="94" t="s">
        <v>464</v>
      </c>
      <c r="E3969" t="s">
        <v>231</v>
      </c>
      <c r="F3969" t="s">
        <v>558</v>
      </c>
      <c r="G3969" s="50" t="s">
        <v>559</v>
      </c>
      <c r="H3969" s="50">
        <v>2</v>
      </c>
      <c r="I3969" s="100">
        <v>6.7391919697301583</v>
      </c>
      <c r="J3969" s="52">
        <v>3834.68</v>
      </c>
      <c r="K3969" s="67">
        <f t="shared" si="248"/>
        <v>4566136.8854144467</v>
      </c>
      <c r="L3969" s="95">
        <f>+VLOOKUP(E3969,MARGEN!A:B,2,FALSE)</f>
        <v>0.1</v>
      </c>
      <c r="M3969" s="112">
        <f t="shared" si="245"/>
        <v>456613.68854144472</v>
      </c>
      <c r="N3969" s="113">
        <f t="shared" si="246"/>
        <v>18264.547541657786</v>
      </c>
      <c r="O3969" s="113">
        <f t="shared" si="247"/>
        <v>4091258.6493313438</v>
      </c>
    </row>
    <row r="3970" spans="1:15" x14ac:dyDescent="0.25">
      <c r="A3970" s="13">
        <v>44454</v>
      </c>
      <c r="B3970" s="97">
        <v>176690</v>
      </c>
      <c r="C3970" t="s">
        <v>226</v>
      </c>
      <c r="D3970" s="94" t="s">
        <v>464</v>
      </c>
      <c r="E3970" t="s">
        <v>231</v>
      </c>
      <c r="F3970" t="s">
        <v>558</v>
      </c>
      <c r="G3970" s="50" t="s">
        <v>559</v>
      </c>
      <c r="H3970" s="50">
        <v>2</v>
      </c>
      <c r="I3970" s="100">
        <v>6.7391919697301583</v>
      </c>
      <c r="J3970" s="52">
        <v>3834.68</v>
      </c>
      <c r="K3970" s="67">
        <f t="shared" si="248"/>
        <v>4566136.8854144467</v>
      </c>
      <c r="L3970" s="95">
        <f>+VLOOKUP(E3970,MARGEN!A:B,2,FALSE)</f>
        <v>0.1</v>
      </c>
      <c r="M3970" s="112">
        <f t="shared" si="245"/>
        <v>456613.68854144472</v>
      </c>
      <c r="N3970" s="113">
        <f t="shared" si="246"/>
        <v>18264.547541657786</v>
      </c>
      <c r="O3970" s="113">
        <f t="shared" si="247"/>
        <v>4091258.6493313438</v>
      </c>
    </row>
    <row r="3971" spans="1:15" x14ac:dyDescent="0.25">
      <c r="A3971" s="13">
        <v>44455</v>
      </c>
      <c r="B3971" s="97">
        <v>176690</v>
      </c>
      <c r="C3971" t="s">
        <v>226</v>
      </c>
      <c r="D3971" t="s">
        <v>464</v>
      </c>
      <c r="E3971" t="s">
        <v>231</v>
      </c>
      <c r="F3971" t="s">
        <v>558</v>
      </c>
      <c r="G3971" s="50" t="s">
        <v>559</v>
      </c>
      <c r="H3971" s="50">
        <v>2</v>
      </c>
      <c r="I3971" s="100">
        <v>6.7391919697301583</v>
      </c>
      <c r="J3971" s="52">
        <v>3834.68</v>
      </c>
      <c r="K3971" s="67">
        <f t="shared" si="248"/>
        <v>4566136.8854144467</v>
      </c>
      <c r="L3971" s="95">
        <f>+VLOOKUP(E3971,MARGEN!A:B,2,FALSE)</f>
        <v>0.1</v>
      </c>
      <c r="M3971" s="112">
        <f t="shared" ref="M3971:M4034" si="249">+K3971*L3971</f>
        <v>456613.68854144472</v>
      </c>
      <c r="N3971" s="113">
        <f t="shared" ref="N3971:N4034" si="250">+K3971*4/1000</f>
        <v>18264.547541657786</v>
      </c>
      <c r="O3971" s="113">
        <f t="shared" ref="O3971:O4034" si="251">+K3971-M3971-N3971</f>
        <v>4091258.6493313438</v>
      </c>
    </row>
    <row r="3972" spans="1:15" x14ac:dyDescent="0.25">
      <c r="A3972" s="13">
        <v>44456</v>
      </c>
      <c r="B3972" s="97">
        <v>176690</v>
      </c>
      <c r="C3972" t="s">
        <v>226</v>
      </c>
      <c r="D3972" s="94" t="s">
        <v>464</v>
      </c>
      <c r="E3972" t="s">
        <v>231</v>
      </c>
      <c r="F3972" t="s">
        <v>558</v>
      </c>
      <c r="G3972" s="50" t="s">
        <v>559</v>
      </c>
      <c r="H3972" s="50">
        <v>2</v>
      </c>
      <c r="I3972" s="100">
        <v>6.7391919697301583</v>
      </c>
      <c r="J3972" s="52">
        <v>3834.68</v>
      </c>
      <c r="K3972" s="67">
        <f t="shared" si="248"/>
        <v>4566136.8854144467</v>
      </c>
      <c r="L3972" s="95">
        <f>+VLOOKUP(E3972,MARGEN!A:B,2,FALSE)</f>
        <v>0.1</v>
      </c>
      <c r="M3972" s="112">
        <f t="shared" si="249"/>
        <v>456613.68854144472</v>
      </c>
      <c r="N3972" s="113">
        <f t="shared" si="250"/>
        <v>18264.547541657786</v>
      </c>
      <c r="O3972" s="113">
        <f t="shared" si="251"/>
        <v>4091258.6493313438</v>
      </c>
    </row>
    <row r="3973" spans="1:15" x14ac:dyDescent="0.25">
      <c r="A3973" s="13">
        <v>44457</v>
      </c>
      <c r="B3973" s="97">
        <v>176709</v>
      </c>
      <c r="C3973" t="s">
        <v>226</v>
      </c>
      <c r="D3973" s="94" t="s">
        <v>464</v>
      </c>
      <c r="E3973" t="s">
        <v>231</v>
      </c>
      <c r="F3973" t="s">
        <v>573</v>
      </c>
      <c r="G3973" s="50" t="s">
        <v>574</v>
      </c>
      <c r="H3973" s="50">
        <v>2</v>
      </c>
      <c r="I3973" s="100">
        <v>6.7391919697301583</v>
      </c>
      <c r="J3973" s="52">
        <v>3834.68</v>
      </c>
      <c r="K3973" s="67">
        <f t="shared" si="248"/>
        <v>4566627.8956630342</v>
      </c>
      <c r="L3973" s="95">
        <f>+VLOOKUP(E3973,MARGEN!A:B,2,FALSE)</f>
        <v>0.1</v>
      </c>
      <c r="M3973" s="112">
        <f t="shared" si="249"/>
        <v>456662.78956630343</v>
      </c>
      <c r="N3973" s="113">
        <f t="shared" si="250"/>
        <v>18266.511582652136</v>
      </c>
      <c r="O3973" s="113">
        <f t="shared" si="251"/>
        <v>4091698.5945140785</v>
      </c>
    </row>
    <row r="3974" spans="1:15" x14ac:dyDescent="0.25">
      <c r="A3974" s="13">
        <v>44458</v>
      </c>
      <c r="B3974" s="97">
        <v>176709</v>
      </c>
      <c r="C3974" t="s">
        <v>226</v>
      </c>
      <c r="D3974" t="s">
        <v>464</v>
      </c>
      <c r="E3974" t="s">
        <v>231</v>
      </c>
      <c r="F3974" t="s">
        <v>573</v>
      </c>
      <c r="G3974" s="50" t="s">
        <v>574</v>
      </c>
      <c r="H3974" s="50">
        <v>2</v>
      </c>
      <c r="I3974" s="100">
        <v>6.7391919697301583</v>
      </c>
      <c r="J3974" s="52">
        <v>3834.68</v>
      </c>
      <c r="K3974" s="67">
        <f t="shared" si="248"/>
        <v>4566627.8956630342</v>
      </c>
      <c r="L3974" s="95">
        <f>+VLOOKUP(E3974,MARGEN!A:B,2,FALSE)</f>
        <v>0.1</v>
      </c>
      <c r="M3974" s="112">
        <f t="shared" si="249"/>
        <v>456662.78956630343</v>
      </c>
      <c r="N3974" s="113">
        <f t="shared" si="250"/>
        <v>18266.511582652136</v>
      </c>
      <c r="O3974" s="113">
        <f t="shared" si="251"/>
        <v>4091698.5945140785</v>
      </c>
    </row>
    <row r="3975" spans="1:15" x14ac:dyDescent="0.25">
      <c r="A3975" s="13">
        <v>44459</v>
      </c>
      <c r="B3975" s="97">
        <v>176709</v>
      </c>
      <c r="C3975" t="s">
        <v>226</v>
      </c>
      <c r="D3975" t="s">
        <v>464</v>
      </c>
      <c r="E3975" t="s">
        <v>231</v>
      </c>
      <c r="F3975" t="s">
        <v>573</v>
      </c>
      <c r="G3975" s="50" t="s">
        <v>574</v>
      </c>
      <c r="H3975" s="50">
        <v>2</v>
      </c>
      <c r="I3975" s="100">
        <v>6.7391919697301583</v>
      </c>
      <c r="J3975" s="52">
        <v>3834.68</v>
      </c>
      <c r="K3975" s="67">
        <f t="shared" si="248"/>
        <v>4566627.8956630342</v>
      </c>
      <c r="L3975" s="95">
        <f>+VLOOKUP(E3975,MARGEN!A:B,2,FALSE)</f>
        <v>0.1</v>
      </c>
      <c r="M3975" s="112">
        <f t="shared" si="249"/>
        <v>456662.78956630343</v>
      </c>
      <c r="N3975" s="113">
        <f t="shared" si="250"/>
        <v>18266.511582652136</v>
      </c>
      <c r="O3975" s="113">
        <f t="shared" si="251"/>
        <v>4091698.5945140785</v>
      </c>
    </row>
    <row r="3976" spans="1:15" x14ac:dyDescent="0.25">
      <c r="A3976" s="13">
        <v>44460</v>
      </c>
      <c r="B3976" s="97">
        <v>176709</v>
      </c>
      <c r="C3976" t="s">
        <v>226</v>
      </c>
      <c r="D3976" t="s">
        <v>464</v>
      </c>
      <c r="E3976" t="s">
        <v>231</v>
      </c>
      <c r="F3976" t="s">
        <v>573</v>
      </c>
      <c r="G3976" s="50" t="s">
        <v>574</v>
      </c>
      <c r="H3976" s="50">
        <v>2</v>
      </c>
      <c r="I3976" s="100">
        <v>6.7391919697301583</v>
      </c>
      <c r="J3976" s="52">
        <v>3834.68</v>
      </c>
      <c r="K3976" s="67">
        <f t="shared" si="248"/>
        <v>4566627.8956630342</v>
      </c>
      <c r="L3976" s="95">
        <f>+VLOOKUP(E3976,MARGEN!A:B,2,FALSE)</f>
        <v>0.1</v>
      </c>
      <c r="M3976" s="112">
        <f t="shared" si="249"/>
        <v>456662.78956630343</v>
      </c>
      <c r="N3976" s="113">
        <f t="shared" si="250"/>
        <v>18266.511582652136</v>
      </c>
      <c r="O3976" s="113">
        <f t="shared" si="251"/>
        <v>4091698.5945140785</v>
      </c>
    </row>
    <row r="3977" spans="1:15" x14ac:dyDescent="0.25">
      <c r="A3977" s="13">
        <v>44461</v>
      </c>
      <c r="B3977" s="97">
        <v>176709</v>
      </c>
      <c r="C3977" t="s">
        <v>226</v>
      </c>
      <c r="D3977" t="s">
        <v>464</v>
      </c>
      <c r="E3977" t="s">
        <v>231</v>
      </c>
      <c r="F3977" t="s">
        <v>573</v>
      </c>
      <c r="G3977" s="50" t="s">
        <v>574</v>
      </c>
      <c r="H3977" s="50">
        <v>2</v>
      </c>
      <c r="I3977" s="100">
        <v>6.7391919697301583</v>
      </c>
      <c r="J3977" s="52">
        <v>3834.68</v>
      </c>
      <c r="K3977" s="67">
        <f t="shared" ref="K3977:K4040" si="252">+B3977*I3977*J3977/1000</f>
        <v>4566627.8956630342</v>
      </c>
      <c r="L3977" s="95">
        <f>+VLOOKUP(E3977,MARGEN!A:B,2,FALSE)</f>
        <v>0.1</v>
      </c>
      <c r="M3977" s="112">
        <f t="shared" si="249"/>
        <v>456662.78956630343</v>
      </c>
      <c r="N3977" s="113">
        <f t="shared" si="250"/>
        <v>18266.511582652136</v>
      </c>
      <c r="O3977" s="113">
        <f t="shared" si="251"/>
        <v>4091698.5945140785</v>
      </c>
    </row>
    <row r="3978" spans="1:15" x14ac:dyDescent="0.25">
      <c r="A3978" s="13">
        <v>44462</v>
      </c>
      <c r="B3978" s="97">
        <v>176709</v>
      </c>
      <c r="C3978" t="s">
        <v>226</v>
      </c>
      <c r="D3978" t="s">
        <v>464</v>
      </c>
      <c r="E3978" t="s">
        <v>231</v>
      </c>
      <c r="F3978" t="s">
        <v>573</v>
      </c>
      <c r="G3978" s="50" t="s">
        <v>574</v>
      </c>
      <c r="H3978" s="50">
        <v>2</v>
      </c>
      <c r="I3978" s="100">
        <v>6.7391919697301583</v>
      </c>
      <c r="J3978" s="52">
        <v>3834.68</v>
      </c>
      <c r="K3978" s="67">
        <f t="shared" si="252"/>
        <v>4566627.8956630342</v>
      </c>
      <c r="L3978" s="95">
        <f>+VLOOKUP(E3978,MARGEN!A:B,2,FALSE)</f>
        <v>0.1</v>
      </c>
      <c r="M3978" s="112">
        <f t="shared" si="249"/>
        <v>456662.78956630343</v>
      </c>
      <c r="N3978" s="113">
        <f t="shared" si="250"/>
        <v>18266.511582652136</v>
      </c>
      <c r="O3978" s="113">
        <f t="shared" si="251"/>
        <v>4091698.5945140785</v>
      </c>
    </row>
    <row r="3979" spans="1:15" x14ac:dyDescent="0.25">
      <c r="A3979" s="13">
        <v>44463</v>
      </c>
      <c r="B3979" s="51">
        <v>176709</v>
      </c>
      <c r="C3979" s="66" t="s">
        <v>226</v>
      </c>
      <c r="D3979" s="66" t="s">
        <v>464</v>
      </c>
      <c r="E3979" t="s">
        <v>231</v>
      </c>
      <c r="F3979" s="50" t="s">
        <v>573</v>
      </c>
      <c r="G3979" s="50" t="s">
        <v>574</v>
      </c>
      <c r="H3979" s="50">
        <v>2</v>
      </c>
      <c r="I3979" s="100">
        <v>6.7391919697301583</v>
      </c>
      <c r="J3979" s="52">
        <v>3834.68</v>
      </c>
      <c r="K3979" s="67">
        <f t="shared" si="252"/>
        <v>4566627.8956630342</v>
      </c>
      <c r="L3979" s="95">
        <f>+VLOOKUP(E3979,MARGEN!A:B,2,FALSE)</f>
        <v>0.1</v>
      </c>
      <c r="M3979" s="112">
        <f t="shared" si="249"/>
        <v>456662.78956630343</v>
      </c>
      <c r="N3979" s="113">
        <f t="shared" si="250"/>
        <v>18266.511582652136</v>
      </c>
      <c r="O3979" s="113">
        <f t="shared" si="251"/>
        <v>4091698.5945140785</v>
      </c>
    </row>
    <row r="3980" spans="1:15" x14ac:dyDescent="0.25">
      <c r="A3980" s="13">
        <v>44464</v>
      </c>
      <c r="B3980" s="51">
        <v>176709</v>
      </c>
      <c r="C3980" s="66" t="s">
        <v>226</v>
      </c>
      <c r="D3980" s="66" t="s">
        <v>464</v>
      </c>
      <c r="E3980" t="s">
        <v>231</v>
      </c>
      <c r="F3980" s="50" t="s">
        <v>573</v>
      </c>
      <c r="G3980" s="50" t="s">
        <v>574</v>
      </c>
      <c r="H3980" s="50">
        <v>2</v>
      </c>
      <c r="I3980" s="100">
        <v>6.7391919697301583</v>
      </c>
      <c r="J3980" s="52">
        <v>3834.68</v>
      </c>
      <c r="K3980" s="67">
        <f t="shared" si="252"/>
        <v>4566627.8956630342</v>
      </c>
      <c r="L3980" s="95">
        <f>+VLOOKUP(E3980,MARGEN!A:B,2,FALSE)</f>
        <v>0.1</v>
      </c>
      <c r="M3980" s="112">
        <f t="shared" si="249"/>
        <v>456662.78956630343</v>
      </c>
      <c r="N3980" s="113">
        <f t="shared" si="250"/>
        <v>18266.511582652136</v>
      </c>
      <c r="O3980" s="113">
        <f t="shared" si="251"/>
        <v>4091698.5945140785</v>
      </c>
    </row>
    <row r="3981" spans="1:15" x14ac:dyDescent="0.25">
      <c r="A3981" s="13">
        <v>44465</v>
      </c>
      <c r="B3981" s="51">
        <v>176709</v>
      </c>
      <c r="C3981" s="66" t="s">
        <v>226</v>
      </c>
      <c r="D3981" s="66" t="s">
        <v>464</v>
      </c>
      <c r="E3981" t="s">
        <v>231</v>
      </c>
      <c r="F3981" s="50" t="s">
        <v>573</v>
      </c>
      <c r="G3981" s="50" t="s">
        <v>574</v>
      </c>
      <c r="H3981" s="50">
        <v>2</v>
      </c>
      <c r="I3981" s="100">
        <v>6.7391919697301583</v>
      </c>
      <c r="J3981" s="52">
        <v>3834.68</v>
      </c>
      <c r="K3981" s="67">
        <f t="shared" si="252"/>
        <v>4566627.8956630342</v>
      </c>
      <c r="L3981" s="95">
        <f>+VLOOKUP(E3981,MARGEN!A:B,2,FALSE)</f>
        <v>0.1</v>
      </c>
      <c r="M3981" s="112">
        <f t="shared" si="249"/>
        <v>456662.78956630343</v>
      </c>
      <c r="N3981" s="113">
        <f t="shared" si="250"/>
        <v>18266.511582652136</v>
      </c>
      <c r="O3981" s="113">
        <f t="shared" si="251"/>
        <v>4091698.5945140785</v>
      </c>
    </row>
    <row r="3982" spans="1:15" x14ac:dyDescent="0.25">
      <c r="A3982" s="13">
        <v>44466</v>
      </c>
      <c r="B3982" s="51">
        <v>176709</v>
      </c>
      <c r="C3982" s="66" t="s">
        <v>226</v>
      </c>
      <c r="D3982" s="66" t="s">
        <v>464</v>
      </c>
      <c r="E3982" t="s">
        <v>231</v>
      </c>
      <c r="F3982" s="50" t="s">
        <v>573</v>
      </c>
      <c r="G3982" s="50" t="s">
        <v>574</v>
      </c>
      <c r="H3982" s="50">
        <v>2</v>
      </c>
      <c r="I3982" s="100">
        <v>6.7391919697301583</v>
      </c>
      <c r="J3982" s="52">
        <v>3834.68</v>
      </c>
      <c r="K3982" s="67">
        <f t="shared" si="252"/>
        <v>4566627.8956630342</v>
      </c>
      <c r="L3982" s="95">
        <f>+VLOOKUP(E3982,MARGEN!A:B,2,FALSE)</f>
        <v>0.1</v>
      </c>
      <c r="M3982" s="112">
        <f t="shared" si="249"/>
        <v>456662.78956630343</v>
      </c>
      <c r="N3982" s="113">
        <f t="shared" si="250"/>
        <v>18266.511582652136</v>
      </c>
      <c r="O3982" s="113">
        <f t="shared" si="251"/>
        <v>4091698.5945140785</v>
      </c>
    </row>
    <row r="3983" spans="1:15" x14ac:dyDescent="0.25">
      <c r="A3983" s="13">
        <v>44467</v>
      </c>
      <c r="B3983" s="51">
        <v>176709</v>
      </c>
      <c r="C3983" s="66" t="s">
        <v>226</v>
      </c>
      <c r="D3983" s="66" t="s">
        <v>464</v>
      </c>
      <c r="E3983" t="s">
        <v>231</v>
      </c>
      <c r="F3983" s="50" t="s">
        <v>573</v>
      </c>
      <c r="G3983" s="50" t="s">
        <v>574</v>
      </c>
      <c r="H3983" s="50">
        <v>2</v>
      </c>
      <c r="I3983" s="100">
        <v>6.7391919697301583</v>
      </c>
      <c r="J3983" s="52">
        <v>3834.68</v>
      </c>
      <c r="K3983" s="67">
        <f t="shared" si="252"/>
        <v>4566627.8956630342</v>
      </c>
      <c r="L3983" s="95">
        <f>+VLOOKUP(E3983,MARGEN!A:B,2,FALSE)</f>
        <v>0.1</v>
      </c>
      <c r="M3983" s="112">
        <f t="shared" si="249"/>
        <v>456662.78956630343</v>
      </c>
      <c r="N3983" s="113">
        <f t="shared" si="250"/>
        <v>18266.511582652136</v>
      </c>
      <c r="O3983" s="113">
        <f t="shared" si="251"/>
        <v>4091698.5945140785</v>
      </c>
    </row>
    <row r="3984" spans="1:15" x14ac:dyDescent="0.25">
      <c r="A3984" s="13">
        <v>44446</v>
      </c>
      <c r="B3984" s="97">
        <v>93564</v>
      </c>
      <c r="C3984" t="s">
        <v>102</v>
      </c>
      <c r="D3984" s="94" t="s">
        <v>384</v>
      </c>
      <c r="E3984" t="s">
        <v>227</v>
      </c>
      <c r="F3984" t="s">
        <v>558</v>
      </c>
      <c r="G3984" s="50" t="s">
        <v>559</v>
      </c>
      <c r="H3984" s="50">
        <v>2</v>
      </c>
      <c r="I3984" s="100">
        <v>6.7391919697301583</v>
      </c>
      <c r="J3984" s="52">
        <v>3834.68</v>
      </c>
      <c r="K3984" s="67">
        <f t="shared" si="252"/>
        <v>2417941.2052007318</v>
      </c>
      <c r="L3984" s="95">
        <f>+VLOOKUP(E3984,MARGEN!A:B,2,FALSE)</f>
        <v>0.1</v>
      </c>
      <c r="M3984" s="112">
        <f t="shared" si="249"/>
        <v>241794.12052007319</v>
      </c>
      <c r="N3984" s="113">
        <f t="shared" si="250"/>
        <v>9671.7648208029277</v>
      </c>
      <c r="O3984" s="113">
        <f t="shared" si="251"/>
        <v>2166475.3198598558</v>
      </c>
    </row>
    <row r="3985" spans="1:15" x14ac:dyDescent="0.25">
      <c r="A3985" s="13">
        <v>44447</v>
      </c>
      <c r="B3985" s="97">
        <v>93564</v>
      </c>
      <c r="C3985" t="s">
        <v>102</v>
      </c>
      <c r="D3985" s="94" t="s">
        <v>384</v>
      </c>
      <c r="E3985" t="s">
        <v>227</v>
      </c>
      <c r="F3985" t="s">
        <v>558</v>
      </c>
      <c r="G3985" s="50" t="s">
        <v>559</v>
      </c>
      <c r="H3985" s="50">
        <v>2</v>
      </c>
      <c r="I3985" s="100">
        <v>6.7391919697301583</v>
      </c>
      <c r="J3985" s="52">
        <v>3834.68</v>
      </c>
      <c r="K3985" s="67">
        <f t="shared" si="252"/>
        <v>2417941.2052007318</v>
      </c>
      <c r="L3985" s="95">
        <f>+VLOOKUP(E3985,MARGEN!A:B,2,FALSE)</f>
        <v>0.1</v>
      </c>
      <c r="M3985" s="112">
        <f t="shared" si="249"/>
        <v>241794.12052007319</v>
      </c>
      <c r="N3985" s="113">
        <f t="shared" si="250"/>
        <v>9671.7648208029277</v>
      </c>
      <c r="O3985" s="113">
        <f t="shared" si="251"/>
        <v>2166475.3198598558</v>
      </c>
    </row>
    <row r="3986" spans="1:15" x14ac:dyDescent="0.25">
      <c r="A3986" s="13">
        <v>44448</v>
      </c>
      <c r="B3986" s="97">
        <v>93564</v>
      </c>
      <c r="C3986" t="s">
        <v>102</v>
      </c>
      <c r="D3986" s="94" t="s">
        <v>384</v>
      </c>
      <c r="E3986" t="s">
        <v>227</v>
      </c>
      <c r="F3986" t="s">
        <v>558</v>
      </c>
      <c r="G3986" s="50" t="s">
        <v>559</v>
      </c>
      <c r="H3986" s="50">
        <v>2</v>
      </c>
      <c r="I3986" s="100">
        <v>6.7391919697301583</v>
      </c>
      <c r="J3986" s="52">
        <v>3834.68</v>
      </c>
      <c r="K3986" s="67">
        <f t="shared" si="252"/>
        <v>2417941.2052007318</v>
      </c>
      <c r="L3986" s="95">
        <f>+VLOOKUP(E3986,MARGEN!A:B,2,FALSE)</f>
        <v>0.1</v>
      </c>
      <c r="M3986" s="112">
        <f t="shared" si="249"/>
        <v>241794.12052007319</v>
      </c>
      <c r="N3986" s="113">
        <f t="shared" si="250"/>
        <v>9671.7648208029277</v>
      </c>
      <c r="O3986" s="113">
        <f t="shared" si="251"/>
        <v>2166475.3198598558</v>
      </c>
    </row>
    <row r="3987" spans="1:15" x14ac:dyDescent="0.25">
      <c r="A3987" s="13">
        <v>44453</v>
      </c>
      <c r="B3987" s="97">
        <v>93558</v>
      </c>
      <c r="C3987" t="s">
        <v>102</v>
      </c>
      <c r="D3987" s="94" t="s">
        <v>384</v>
      </c>
      <c r="E3987" t="s">
        <v>227</v>
      </c>
      <c r="F3987" t="s">
        <v>551</v>
      </c>
      <c r="G3987" s="50" t="s">
        <v>205</v>
      </c>
      <c r="H3987" s="50">
        <v>2</v>
      </c>
      <c r="I3987" s="100">
        <v>6.7391919697301583</v>
      </c>
      <c r="J3987" s="52">
        <v>3834.68</v>
      </c>
      <c r="K3987" s="67">
        <f t="shared" si="252"/>
        <v>2417786.1493327566</v>
      </c>
      <c r="L3987" s="95">
        <f>+VLOOKUP(E3987,MARGEN!A:B,2,FALSE)</f>
        <v>0.1</v>
      </c>
      <c r="M3987" s="112">
        <f t="shared" si="249"/>
        <v>241778.61493327568</v>
      </c>
      <c r="N3987" s="113">
        <f t="shared" si="250"/>
        <v>9671.1445973310274</v>
      </c>
      <c r="O3987" s="113">
        <f t="shared" si="251"/>
        <v>2166336.38980215</v>
      </c>
    </row>
    <row r="3988" spans="1:15" x14ac:dyDescent="0.25">
      <c r="A3988" s="13">
        <v>44454</v>
      </c>
      <c r="B3988" s="97">
        <v>93558</v>
      </c>
      <c r="C3988" t="s">
        <v>102</v>
      </c>
      <c r="D3988" s="94" t="s">
        <v>384</v>
      </c>
      <c r="E3988" t="s">
        <v>227</v>
      </c>
      <c r="F3988" t="s">
        <v>551</v>
      </c>
      <c r="G3988" s="50" t="s">
        <v>205</v>
      </c>
      <c r="H3988" s="50">
        <v>2</v>
      </c>
      <c r="I3988" s="100">
        <v>6.7391919697301583</v>
      </c>
      <c r="J3988" s="52">
        <v>3834.68</v>
      </c>
      <c r="K3988" s="67">
        <f t="shared" si="252"/>
        <v>2417786.1493327566</v>
      </c>
      <c r="L3988" s="95">
        <f>+VLOOKUP(E3988,MARGEN!A:B,2,FALSE)</f>
        <v>0.1</v>
      </c>
      <c r="M3988" s="112">
        <f t="shared" si="249"/>
        <v>241778.61493327568</v>
      </c>
      <c r="N3988" s="113">
        <f t="shared" si="250"/>
        <v>9671.1445973310274</v>
      </c>
      <c r="O3988" s="113">
        <f t="shared" si="251"/>
        <v>2166336.38980215</v>
      </c>
    </row>
    <row r="3989" spans="1:15" x14ac:dyDescent="0.25">
      <c r="A3989" s="13">
        <v>44455</v>
      </c>
      <c r="B3989" s="97">
        <v>93562</v>
      </c>
      <c r="C3989" t="s">
        <v>102</v>
      </c>
      <c r="D3989" s="94" t="s">
        <v>384</v>
      </c>
      <c r="E3989" t="s">
        <v>227</v>
      </c>
      <c r="F3989" t="s">
        <v>566</v>
      </c>
      <c r="G3989" s="50" t="s">
        <v>559</v>
      </c>
      <c r="H3989" s="50">
        <v>2</v>
      </c>
      <c r="I3989" s="100">
        <v>6.7391919697301583</v>
      </c>
      <c r="J3989" s="52">
        <v>3834.68</v>
      </c>
      <c r="K3989" s="67">
        <f t="shared" si="252"/>
        <v>2417889.519911407</v>
      </c>
      <c r="L3989" s="95">
        <f>+VLOOKUP(E3989,MARGEN!A:B,2,FALSE)</f>
        <v>0.1</v>
      </c>
      <c r="M3989" s="112">
        <f t="shared" si="249"/>
        <v>241788.95199114073</v>
      </c>
      <c r="N3989" s="113">
        <f t="shared" si="250"/>
        <v>9671.5580796456288</v>
      </c>
      <c r="O3989" s="113">
        <f t="shared" si="251"/>
        <v>2166429.0098406207</v>
      </c>
    </row>
    <row r="3990" spans="1:15" x14ac:dyDescent="0.25">
      <c r="A3990" s="13">
        <v>44456</v>
      </c>
      <c r="B3990" s="97">
        <v>93562</v>
      </c>
      <c r="C3990" t="s">
        <v>102</v>
      </c>
      <c r="D3990" s="94" t="s">
        <v>384</v>
      </c>
      <c r="E3990" t="s">
        <v>227</v>
      </c>
      <c r="F3990" t="s">
        <v>566</v>
      </c>
      <c r="G3990" s="50" t="s">
        <v>559</v>
      </c>
      <c r="H3990" s="50">
        <v>2</v>
      </c>
      <c r="I3990" s="100">
        <v>6.7391919697301583</v>
      </c>
      <c r="J3990" s="52">
        <v>3834.68</v>
      </c>
      <c r="K3990" s="67">
        <f t="shared" si="252"/>
        <v>2417889.519911407</v>
      </c>
      <c r="L3990" s="95">
        <f>+VLOOKUP(E3990,MARGEN!A:B,2,FALSE)</f>
        <v>0.1</v>
      </c>
      <c r="M3990" s="112">
        <f t="shared" si="249"/>
        <v>241788.95199114073</v>
      </c>
      <c r="N3990" s="113">
        <f t="shared" si="250"/>
        <v>9671.5580796456288</v>
      </c>
      <c r="O3990" s="113">
        <f t="shared" si="251"/>
        <v>2166429.0098406207</v>
      </c>
    </row>
    <row r="3991" spans="1:15" x14ac:dyDescent="0.25">
      <c r="A3991" s="13">
        <v>44457</v>
      </c>
      <c r="B3991" s="97">
        <v>93562</v>
      </c>
      <c r="C3991" t="s">
        <v>102</v>
      </c>
      <c r="D3991" s="94" t="s">
        <v>384</v>
      </c>
      <c r="E3991" t="s">
        <v>227</v>
      </c>
      <c r="F3991" t="s">
        <v>566</v>
      </c>
      <c r="G3991" s="50" t="s">
        <v>559</v>
      </c>
      <c r="H3991" s="50">
        <v>2</v>
      </c>
      <c r="I3991" s="100">
        <v>6.7391919697301583</v>
      </c>
      <c r="J3991" s="52">
        <v>3834.68</v>
      </c>
      <c r="K3991" s="67">
        <f t="shared" si="252"/>
        <v>2417889.519911407</v>
      </c>
      <c r="L3991" s="95">
        <f>+VLOOKUP(E3991,MARGEN!A:B,2,FALSE)</f>
        <v>0.1</v>
      </c>
      <c r="M3991" s="112">
        <f t="shared" si="249"/>
        <v>241788.95199114073</v>
      </c>
      <c r="N3991" s="113">
        <f t="shared" si="250"/>
        <v>9671.5580796456288</v>
      </c>
      <c r="O3991" s="113">
        <f t="shared" si="251"/>
        <v>2166429.0098406207</v>
      </c>
    </row>
    <row r="3992" spans="1:15" x14ac:dyDescent="0.25">
      <c r="A3992" s="13">
        <v>44458</v>
      </c>
      <c r="B3992" s="97">
        <v>93562</v>
      </c>
      <c r="C3992" t="s">
        <v>102</v>
      </c>
      <c r="D3992" s="94" t="s">
        <v>384</v>
      </c>
      <c r="E3992" t="s">
        <v>227</v>
      </c>
      <c r="F3992" t="s">
        <v>566</v>
      </c>
      <c r="G3992" s="50" t="s">
        <v>559</v>
      </c>
      <c r="H3992" s="50">
        <v>2</v>
      </c>
      <c r="I3992" s="100">
        <v>6.7391919697301583</v>
      </c>
      <c r="J3992" s="52">
        <v>3834.68</v>
      </c>
      <c r="K3992" s="67">
        <f t="shared" si="252"/>
        <v>2417889.519911407</v>
      </c>
      <c r="L3992" s="95">
        <f>+VLOOKUP(E3992,MARGEN!A:B,2,FALSE)</f>
        <v>0.1</v>
      </c>
      <c r="M3992" s="112">
        <f t="shared" si="249"/>
        <v>241788.95199114073</v>
      </c>
      <c r="N3992" s="113">
        <f t="shared" si="250"/>
        <v>9671.5580796456288</v>
      </c>
      <c r="O3992" s="113">
        <f t="shared" si="251"/>
        <v>2166429.0098406207</v>
      </c>
    </row>
    <row r="3993" spans="1:15" x14ac:dyDescent="0.25">
      <c r="A3993" s="13">
        <v>44459</v>
      </c>
      <c r="B3993" s="97">
        <v>93574</v>
      </c>
      <c r="C3993" t="s">
        <v>102</v>
      </c>
      <c r="D3993" s="94" t="s">
        <v>384</v>
      </c>
      <c r="E3993" t="s">
        <v>227</v>
      </c>
      <c r="F3993" t="s">
        <v>573</v>
      </c>
      <c r="G3993" s="50" t="s">
        <v>574</v>
      </c>
      <c r="H3993" s="50">
        <v>2</v>
      </c>
      <c r="I3993" s="100">
        <v>6.7391919697301583</v>
      </c>
      <c r="J3993" s="52">
        <v>3834.68</v>
      </c>
      <c r="K3993" s="67">
        <f t="shared" si="252"/>
        <v>2418199.6316473563</v>
      </c>
      <c r="L3993" s="95">
        <f>+VLOOKUP(E3993,MARGEN!A:B,2,FALSE)</f>
        <v>0.1</v>
      </c>
      <c r="M3993" s="112">
        <f t="shared" si="249"/>
        <v>241819.96316473564</v>
      </c>
      <c r="N3993" s="113">
        <f t="shared" si="250"/>
        <v>9672.7985265894258</v>
      </c>
      <c r="O3993" s="113">
        <f t="shared" si="251"/>
        <v>2166706.8699560314</v>
      </c>
    </row>
    <row r="3994" spans="1:15" x14ac:dyDescent="0.25">
      <c r="A3994" s="13">
        <v>44460</v>
      </c>
      <c r="B3994" s="97">
        <v>93574</v>
      </c>
      <c r="C3994" t="s">
        <v>102</v>
      </c>
      <c r="D3994" s="94" t="s">
        <v>384</v>
      </c>
      <c r="E3994" t="s">
        <v>227</v>
      </c>
      <c r="F3994" t="s">
        <v>573</v>
      </c>
      <c r="G3994" s="50" t="s">
        <v>574</v>
      </c>
      <c r="H3994" s="50">
        <v>2</v>
      </c>
      <c r="I3994" s="100">
        <v>6.7391919697301583</v>
      </c>
      <c r="J3994" s="52">
        <v>3834.68</v>
      </c>
      <c r="K3994" s="67">
        <f t="shared" si="252"/>
        <v>2418199.6316473563</v>
      </c>
      <c r="L3994" s="95">
        <f>+VLOOKUP(E3994,MARGEN!A:B,2,FALSE)</f>
        <v>0.1</v>
      </c>
      <c r="M3994" s="112">
        <f t="shared" si="249"/>
        <v>241819.96316473564</v>
      </c>
      <c r="N3994" s="113">
        <f t="shared" si="250"/>
        <v>9672.7985265894258</v>
      </c>
      <c r="O3994" s="113">
        <f t="shared" si="251"/>
        <v>2166706.8699560314</v>
      </c>
    </row>
    <row r="3995" spans="1:15" x14ac:dyDescent="0.25">
      <c r="A3995" s="13">
        <v>44461</v>
      </c>
      <c r="B3995" s="97">
        <v>93574</v>
      </c>
      <c r="C3995" t="s">
        <v>102</v>
      </c>
      <c r="D3995" t="s">
        <v>384</v>
      </c>
      <c r="E3995" t="s">
        <v>227</v>
      </c>
      <c r="F3995" t="s">
        <v>573</v>
      </c>
      <c r="G3995" s="50" t="s">
        <v>574</v>
      </c>
      <c r="H3995" s="50">
        <v>2</v>
      </c>
      <c r="I3995" s="100">
        <v>6.7391919697301583</v>
      </c>
      <c r="J3995" s="52">
        <v>3834.68</v>
      </c>
      <c r="K3995" s="67">
        <f t="shared" si="252"/>
        <v>2418199.6316473563</v>
      </c>
      <c r="L3995" s="95">
        <f>+VLOOKUP(E3995,MARGEN!A:B,2,FALSE)</f>
        <v>0.1</v>
      </c>
      <c r="M3995" s="112">
        <f t="shared" si="249"/>
        <v>241819.96316473564</v>
      </c>
      <c r="N3995" s="113">
        <f t="shared" si="250"/>
        <v>9672.7985265894258</v>
      </c>
      <c r="O3995" s="113">
        <f t="shared" si="251"/>
        <v>2166706.8699560314</v>
      </c>
    </row>
    <row r="3996" spans="1:15" x14ac:dyDescent="0.25">
      <c r="A3996" s="13">
        <v>44462</v>
      </c>
      <c r="B3996" s="97">
        <v>93574</v>
      </c>
      <c r="C3996" t="s">
        <v>102</v>
      </c>
      <c r="D3996" t="s">
        <v>384</v>
      </c>
      <c r="E3996" t="s">
        <v>227</v>
      </c>
      <c r="F3996" t="s">
        <v>573</v>
      </c>
      <c r="G3996" s="50" t="s">
        <v>574</v>
      </c>
      <c r="H3996" s="50">
        <v>2</v>
      </c>
      <c r="I3996" s="100">
        <v>6.7391919697301583</v>
      </c>
      <c r="J3996" s="52">
        <v>3834.68</v>
      </c>
      <c r="K3996" s="67">
        <f t="shared" si="252"/>
        <v>2418199.6316473563</v>
      </c>
      <c r="L3996" s="95">
        <f>+VLOOKUP(E3996,MARGEN!A:B,2,FALSE)</f>
        <v>0.1</v>
      </c>
      <c r="M3996" s="112">
        <f t="shared" si="249"/>
        <v>241819.96316473564</v>
      </c>
      <c r="N3996" s="113">
        <f t="shared" si="250"/>
        <v>9672.7985265894258</v>
      </c>
      <c r="O3996" s="113">
        <f t="shared" si="251"/>
        <v>2166706.8699560314</v>
      </c>
    </row>
    <row r="3997" spans="1:15" x14ac:dyDescent="0.25">
      <c r="A3997" s="13">
        <v>44463</v>
      </c>
      <c r="B3997" s="97">
        <v>93574</v>
      </c>
      <c r="C3997" t="s">
        <v>102</v>
      </c>
      <c r="D3997" t="s">
        <v>384</v>
      </c>
      <c r="E3997" t="s">
        <v>227</v>
      </c>
      <c r="F3997" t="s">
        <v>573</v>
      </c>
      <c r="G3997" s="50" t="s">
        <v>574</v>
      </c>
      <c r="H3997" s="50">
        <v>2</v>
      </c>
      <c r="I3997" s="100">
        <v>6.7391919697301583</v>
      </c>
      <c r="J3997" s="52">
        <v>3834.68</v>
      </c>
      <c r="K3997" s="67">
        <f t="shared" si="252"/>
        <v>2418199.6316473563</v>
      </c>
      <c r="L3997" s="95">
        <f>+VLOOKUP(E3997,MARGEN!A:B,2,FALSE)</f>
        <v>0.1</v>
      </c>
      <c r="M3997" s="112">
        <f t="shared" si="249"/>
        <v>241819.96316473564</v>
      </c>
      <c r="N3997" s="113">
        <f t="shared" si="250"/>
        <v>9672.7985265894258</v>
      </c>
      <c r="O3997" s="113">
        <f t="shared" si="251"/>
        <v>2166706.8699560314</v>
      </c>
    </row>
    <row r="3998" spans="1:15" x14ac:dyDescent="0.25">
      <c r="A3998" s="13">
        <v>44464</v>
      </c>
      <c r="B3998" s="51">
        <v>93574</v>
      </c>
      <c r="C3998" s="66" t="s">
        <v>102</v>
      </c>
      <c r="D3998" s="66" t="s">
        <v>384</v>
      </c>
      <c r="E3998" t="s">
        <v>227</v>
      </c>
      <c r="F3998" s="50" t="s">
        <v>573</v>
      </c>
      <c r="G3998" s="50" t="s">
        <v>574</v>
      </c>
      <c r="H3998" s="50">
        <v>2</v>
      </c>
      <c r="I3998" s="100">
        <v>6.7391919697301583</v>
      </c>
      <c r="J3998" s="52">
        <v>3834.68</v>
      </c>
      <c r="K3998" s="67">
        <f t="shared" si="252"/>
        <v>2418199.6316473563</v>
      </c>
      <c r="L3998" s="95">
        <f>+VLOOKUP(E3998,MARGEN!A:B,2,FALSE)</f>
        <v>0.1</v>
      </c>
      <c r="M3998" s="112">
        <f t="shared" si="249"/>
        <v>241819.96316473564</v>
      </c>
      <c r="N3998" s="113">
        <f t="shared" si="250"/>
        <v>9672.7985265894258</v>
      </c>
      <c r="O3998" s="113">
        <f t="shared" si="251"/>
        <v>2166706.8699560314</v>
      </c>
    </row>
    <row r="3999" spans="1:15" x14ac:dyDescent="0.25">
      <c r="A3999" s="13">
        <v>44465</v>
      </c>
      <c r="B3999" s="51">
        <v>93574</v>
      </c>
      <c r="C3999" s="66" t="s">
        <v>102</v>
      </c>
      <c r="D3999" s="66" t="s">
        <v>384</v>
      </c>
      <c r="E3999" t="s">
        <v>227</v>
      </c>
      <c r="F3999" s="50" t="s">
        <v>573</v>
      </c>
      <c r="G3999" s="50" t="s">
        <v>574</v>
      </c>
      <c r="H3999" s="50">
        <v>2</v>
      </c>
      <c r="I3999" s="100">
        <v>6.7391919697301583</v>
      </c>
      <c r="J3999" s="52">
        <v>3834.68</v>
      </c>
      <c r="K3999" s="67">
        <f t="shared" si="252"/>
        <v>2418199.6316473563</v>
      </c>
      <c r="L3999" s="95">
        <f>+VLOOKUP(E3999,MARGEN!A:B,2,FALSE)</f>
        <v>0.1</v>
      </c>
      <c r="M3999" s="112">
        <f t="shared" si="249"/>
        <v>241819.96316473564</v>
      </c>
      <c r="N3999" s="113">
        <f t="shared" si="250"/>
        <v>9672.7985265894258</v>
      </c>
      <c r="O3999" s="113">
        <f t="shared" si="251"/>
        <v>2166706.8699560314</v>
      </c>
    </row>
    <row r="4000" spans="1:15" x14ac:dyDescent="0.25">
      <c r="A4000" s="13">
        <v>44466</v>
      </c>
      <c r="B4000" s="51">
        <v>93574</v>
      </c>
      <c r="C4000" s="66" t="s">
        <v>102</v>
      </c>
      <c r="D4000" s="66" t="s">
        <v>384</v>
      </c>
      <c r="E4000" t="s">
        <v>227</v>
      </c>
      <c r="F4000" s="50" t="s">
        <v>573</v>
      </c>
      <c r="G4000" s="50" t="s">
        <v>574</v>
      </c>
      <c r="H4000" s="50">
        <v>2</v>
      </c>
      <c r="I4000" s="100">
        <v>6.7391919697301583</v>
      </c>
      <c r="J4000" s="52">
        <v>3834.68</v>
      </c>
      <c r="K4000" s="67">
        <f t="shared" si="252"/>
        <v>2418199.6316473563</v>
      </c>
      <c r="L4000" s="95">
        <f>+VLOOKUP(E4000,MARGEN!A:B,2,FALSE)</f>
        <v>0.1</v>
      </c>
      <c r="M4000" s="112">
        <f t="shared" si="249"/>
        <v>241819.96316473564</v>
      </c>
      <c r="N4000" s="113">
        <f t="shared" si="250"/>
        <v>9672.7985265894258</v>
      </c>
      <c r="O4000" s="113">
        <f t="shared" si="251"/>
        <v>2166706.8699560314</v>
      </c>
    </row>
    <row r="4001" spans="1:15" x14ac:dyDescent="0.25">
      <c r="A4001" s="13">
        <v>44467</v>
      </c>
      <c r="B4001" s="51">
        <v>93574</v>
      </c>
      <c r="C4001" s="66" t="s">
        <v>102</v>
      </c>
      <c r="D4001" s="66" t="s">
        <v>384</v>
      </c>
      <c r="E4001" t="s">
        <v>227</v>
      </c>
      <c r="F4001" s="50" t="s">
        <v>573</v>
      </c>
      <c r="G4001" s="50" t="s">
        <v>574</v>
      </c>
      <c r="H4001" s="50">
        <v>2</v>
      </c>
      <c r="I4001" s="100">
        <v>6.7391919697301583</v>
      </c>
      <c r="J4001" s="52">
        <v>3834.68</v>
      </c>
      <c r="K4001" s="67">
        <f t="shared" si="252"/>
        <v>2418199.6316473563</v>
      </c>
      <c r="L4001" s="95">
        <f>+VLOOKUP(E4001,MARGEN!A:B,2,FALSE)</f>
        <v>0.1</v>
      </c>
      <c r="M4001" s="112">
        <f t="shared" si="249"/>
        <v>241819.96316473564</v>
      </c>
      <c r="N4001" s="113">
        <f t="shared" si="250"/>
        <v>9672.7985265894258</v>
      </c>
      <c r="O4001" s="113">
        <f t="shared" si="251"/>
        <v>2166706.8699560314</v>
      </c>
    </row>
    <row r="4002" spans="1:15" x14ac:dyDescent="0.25">
      <c r="A4002" s="13">
        <v>44468</v>
      </c>
      <c r="B4002" s="51">
        <v>93574</v>
      </c>
      <c r="C4002" s="66" t="s">
        <v>102</v>
      </c>
      <c r="D4002" s="66" t="s">
        <v>384</v>
      </c>
      <c r="E4002" t="s">
        <v>227</v>
      </c>
      <c r="F4002" s="50" t="s">
        <v>573</v>
      </c>
      <c r="G4002" s="50" t="s">
        <v>574</v>
      </c>
      <c r="H4002" s="50">
        <v>2</v>
      </c>
      <c r="I4002" s="100">
        <v>6.7391919697301583</v>
      </c>
      <c r="J4002" s="52">
        <v>3834.68</v>
      </c>
      <c r="K4002" s="67">
        <f t="shared" si="252"/>
        <v>2418199.6316473563</v>
      </c>
      <c r="L4002" s="95">
        <f>+VLOOKUP(E4002,MARGEN!A:B,2,FALSE)</f>
        <v>0.1</v>
      </c>
      <c r="M4002" s="112">
        <f t="shared" si="249"/>
        <v>241819.96316473564</v>
      </c>
      <c r="N4002" s="113">
        <f t="shared" si="250"/>
        <v>9672.7985265894258</v>
      </c>
      <c r="O4002" s="113">
        <f t="shared" si="251"/>
        <v>2166706.8699560314</v>
      </c>
    </row>
    <row r="4003" spans="1:15" x14ac:dyDescent="0.25">
      <c r="A4003" s="13">
        <v>44469</v>
      </c>
      <c r="B4003" s="51">
        <v>93574</v>
      </c>
      <c r="C4003" s="66" t="s">
        <v>102</v>
      </c>
      <c r="D4003" s="66" t="s">
        <v>384</v>
      </c>
      <c r="E4003" t="s">
        <v>227</v>
      </c>
      <c r="F4003" s="50" t="s">
        <v>573</v>
      </c>
      <c r="G4003" s="50" t="s">
        <v>574</v>
      </c>
      <c r="H4003" s="50">
        <v>2</v>
      </c>
      <c r="I4003" s="100">
        <v>6.7391919697301583</v>
      </c>
      <c r="J4003" s="52">
        <v>3834.68</v>
      </c>
      <c r="K4003" s="67">
        <f t="shared" si="252"/>
        <v>2418199.6316473563</v>
      </c>
      <c r="L4003" s="95">
        <f>+VLOOKUP(E4003,MARGEN!A:B,2,FALSE)</f>
        <v>0.1</v>
      </c>
      <c r="M4003" s="112">
        <f t="shared" si="249"/>
        <v>241819.96316473564</v>
      </c>
      <c r="N4003" s="113">
        <f t="shared" si="250"/>
        <v>9672.7985265894258</v>
      </c>
      <c r="O4003" s="113">
        <f t="shared" si="251"/>
        <v>2166706.8699560314</v>
      </c>
    </row>
    <row r="4004" spans="1:15" x14ac:dyDescent="0.25">
      <c r="A4004" s="13">
        <v>44446</v>
      </c>
      <c r="B4004" s="97">
        <v>19996</v>
      </c>
      <c r="C4004" t="s">
        <v>208</v>
      </c>
      <c r="D4004" s="94" t="s">
        <v>469</v>
      </c>
      <c r="E4004" t="s">
        <v>203</v>
      </c>
      <c r="F4004" t="s">
        <v>572</v>
      </c>
      <c r="G4004" s="50" t="s">
        <v>243</v>
      </c>
      <c r="H4004" s="50">
        <v>2</v>
      </c>
      <c r="I4004" s="100">
        <v>6.7391919697301583</v>
      </c>
      <c r="J4004" s="52">
        <v>3834.68</v>
      </c>
      <c r="K4004" s="67">
        <f t="shared" si="252"/>
        <v>516749.52267104696</v>
      </c>
      <c r="L4004" s="95">
        <f>+VLOOKUP(E4004,MARGEN!A:B,2,FALSE)</f>
        <v>0.1</v>
      </c>
      <c r="M4004" s="112">
        <f t="shared" si="249"/>
        <v>51674.952267104702</v>
      </c>
      <c r="N4004" s="113">
        <f t="shared" si="250"/>
        <v>2066.9980906841879</v>
      </c>
      <c r="O4004" s="113">
        <f t="shared" si="251"/>
        <v>463007.57231325808</v>
      </c>
    </row>
    <row r="4005" spans="1:15" x14ac:dyDescent="0.25">
      <c r="A4005" s="13">
        <v>44446</v>
      </c>
      <c r="B4005" s="97">
        <v>19996</v>
      </c>
      <c r="C4005" t="s">
        <v>208</v>
      </c>
      <c r="D4005" s="94" t="s">
        <v>468</v>
      </c>
      <c r="E4005" t="s">
        <v>203</v>
      </c>
      <c r="F4005" t="s">
        <v>572</v>
      </c>
      <c r="G4005" s="50" t="s">
        <v>243</v>
      </c>
      <c r="H4005" s="50">
        <v>2</v>
      </c>
      <c r="I4005" s="100">
        <v>6.7391919697301583</v>
      </c>
      <c r="J4005" s="52">
        <v>3834.68</v>
      </c>
      <c r="K4005" s="67">
        <f t="shared" si="252"/>
        <v>516749.52267104696</v>
      </c>
      <c r="L4005" s="95">
        <f>+VLOOKUP(E4005,MARGEN!A:B,2,FALSE)</f>
        <v>0.1</v>
      </c>
      <c r="M4005" s="112">
        <f t="shared" si="249"/>
        <v>51674.952267104702</v>
      </c>
      <c r="N4005" s="113">
        <f t="shared" si="250"/>
        <v>2066.9980906841879</v>
      </c>
      <c r="O4005" s="113">
        <f t="shared" si="251"/>
        <v>463007.57231325808</v>
      </c>
    </row>
    <row r="4006" spans="1:15" x14ac:dyDescent="0.25">
      <c r="A4006" s="13">
        <v>44447</v>
      </c>
      <c r="B4006" s="97">
        <v>20013</v>
      </c>
      <c r="C4006" t="s">
        <v>208</v>
      </c>
      <c r="D4006" s="94" t="s">
        <v>468</v>
      </c>
      <c r="E4006" t="s">
        <v>203</v>
      </c>
      <c r="F4006" t="s">
        <v>566</v>
      </c>
      <c r="G4006" s="50" t="s">
        <v>559</v>
      </c>
      <c r="H4006" s="50">
        <v>2</v>
      </c>
      <c r="I4006" s="100">
        <v>6.7391919697301583</v>
      </c>
      <c r="J4006" s="52">
        <v>3834.68</v>
      </c>
      <c r="K4006" s="67">
        <f t="shared" si="252"/>
        <v>517188.84763030917</v>
      </c>
      <c r="L4006" s="95">
        <f>+VLOOKUP(E4006,MARGEN!A:B,2,FALSE)</f>
        <v>0.1</v>
      </c>
      <c r="M4006" s="112">
        <f t="shared" si="249"/>
        <v>51718.884763030917</v>
      </c>
      <c r="N4006" s="113">
        <f t="shared" si="250"/>
        <v>2068.7553905212367</v>
      </c>
      <c r="O4006" s="113">
        <f t="shared" si="251"/>
        <v>463401.207476757</v>
      </c>
    </row>
    <row r="4007" spans="1:15" x14ac:dyDescent="0.25">
      <c r="A4007" s="13">
        <v>44447</v>
      </c>
      <c r="B4007" s="97">
        <v>20013</v>
      </c>
      <c r="C4007" t="s">
        <v>208</v>
      </c>
      <c r="D4007" s="94" t="s">
        <v>469</v>
      </c>
      <c r="E4007" t="s">
        <v>203</v>
      </c>
      <c r="F4007" t="s">
        <v>566</v>
      </c>
      <c r="G4007" s="50" t="s">
        <v>559</v>
      </c>
      <c r="H4007" s="50">
        <v>2</v>
      </c>
      <c r="I4007" s="100">
        <v>6.7391919697301583</v>
      </c>
      <c r="J4007" s="52">
        <v>3834.68</v>
      </c>
      <c r="K4007" s="67">
        <f t="shared" si="252"/>
        <v>517188.84763030917</v>
      </c>
      <c r="L4007" s="95">
        <f>+VLOOKUP(E4007,MARGEN!A:B,2,FALSE)</f>
        <v>0.1</v>
      </c>
      <c r="M4007" s="112">
        <f t="shared" si="249"/>
        <v>51718.884763030917</v>
      </c>
      <c r="N4007" s="113">
        <f t="shared" si="250"/>
        <v>2068.7553905212367</v>
      </c>
      <c r="O4007" s="113">
        <f t="shared" si="251"/>
        <v>463401.207476757</v>
      </c>
    </row>
    <row r="4008" spans="1:15" x14ac:dyDescent="0.25">
      <c r="A4008" s="13">
        <v>44454</v>
      </c>
      <c r="B4008" s="97">
        <v>20012</v>
      </c>
      <c r="C4008" t="s">
        <v>208</v>
      </c>
      <c r="D4008" s="94" t="s">
        <v>468</v>
      </c>
      <c r="E4008" t="s">
        <v>203</v>
      </c>
      <c r="F4008" t="s">
        <v>551</v>
      </c>
      <c r="G4008" s="50" t="s">
        <v>205</v>
      </c>
      <c r="H4008" s="50">
        <v>2</v>
      </c>
      <c r="I4008" s="100">
        <v>6.7391919697301583</v>
      </c>
      <c r="J4008" s="52">
        <v>3834.68</v>
      </c>
      <c r="K4008" s="67">
        <f t="shared" si="252"/>
        <v>517163.00498564669</v>
      </c>
      <c r="L4008" s="95">
        <f>+VLOOKUP(E4008,MARGEN!A:B,2,FALSE)</f>
        <v>0.1</v>
      </c>
      <c r="M4008" s="112">
        <f t="shared" si="249"/>
        <v>51716.300498564669</v>
      </c>
      <c r="N4008" s="113">
        <f t="shared" si="250"/>
        <v>2068.6520199425868</v>
      </c>
      <c r="O4008" s="113">
        <f t="shared" si="251"/>
        <v>463378.05246713944</v>
      </c>
    </row>
    <row r="4009" spans="1:15" x14ac:dyDescent="0.25">
      <c r="A4009" s="13">
        <v>44454</v>
      </c>
      <c r="B4009" s="97">
        <v>20012</v>
      </c>
      <c r="C4009" t="s">
        <v>208</v>
      </c>
      <c r="D4009" s="94" t="s">
        <v>469</v>
      </c>
      <c r="E4009" t="s">
        <v>203</v>
      </c>
      <c r="F4009" t="s">
        <v>551</v>
      </c>
      <c r="G4009" s="50" t="s">
        <v>205</v>
      </c>
      <c r="H4009" s="50">
        <v>2</v>
      </c>
      <c r="I4009" s="100">
        <v>6.7391919697301583</v>
      </c>
      <c r="J4009" s="52">
        <v>3834.68</v>
      </c>
      <c r="K4009" s="67">
        <f t="shared" si="252"/>
        <v>517163.00498564669</v>
      </c>
      <c r="L4009" s="95">
        <f>+VLOOKUP(E4009,MARGEN!A:B,2,FALSE)</f>
        <v>0.1</v>
      </c>
      <c r="M4009" s="112">
        <f t="shared" si="249"/>
        <v>51716.300498564669</v>
      </c>
      <c r="N4009" s="113">
        <f t="shared" si="250"/>
        <v>2068.6520199425868</v>
      </c>
      <c r="O4009" s="113">
        <f t="shared" si="251"/>
        <v>463378.05246713944</v>
      </c>
    </row>
    <row r="4010" spans="1:15" x14ac:dyDescent="0.25">
      <c r="A4010" s="13">
        <v>44455</v>
      </c>
      <c r="B4010" s="97">
        <v>20012</v>
      </c>
      <c r="C4010" t="s">
        <v>208</v>
      </c>
      <c r="D4010" s="94" t="s">
        <v>469</v>
      </c>
      <c r="E4010" t="s">
        <v>203</v>
      </c>
      <c r="F4010" t="s">
        <v>551</v>
      </c>
      <c r="G4010" s="50" t="s">
        <v>205</v>
      </c>
      <c r="H4010" s="50">
        <v>2</v>
      </c>
      <c r="I4010" s="100">
        <v>6.7391919697301583</v>
      </c>
      <c r="J4010" s="52">
        <v>3834.68</v>
      </c>
      <c r="K4010" s="67">
        <f t="shared" si="252"/>
        <v>517163.00498564669</v>
      </c>
      <c r="L4010" s="95">
        <f>+VLOOKUP(E4010,MARGEN!A:B,2,FALSE)</f>
        <v>0.1</v>
      </c>
      <c r="M4010" s="112">
        <f t="shared" si="249"/>
        <v>51716.300498564669</v>
      </c>
      <c r="N4010" s="113">
        <f t="shared" si="250"/>
        <v>2068.6520199425868</v>
      </c>
      <c r="O4010" s="113">
        <f t="shared" si="251"/>
        <v>463378.05246713944</v>
      </c>
    </row>
    <row r="4011" spans="1:15" x14ac:dyDescent="0.25">
      <c r="A4011" s="13">
        <v>44455</v>
      </c>
      <c r="B4011" s="97">
        <v>20012</v>
      </c>
      <c r="C4011" t="s">
        <v>208</v>
      </c>
      <c r="D4011" t="s">
        <v>468</v>
      </c>
      <c r="E4011" t="s">
        <v>203</v>
      </c>
      <c r="F4011" t="s">
        <v>551</v>
      </c>
      <c r="G4011" s="50" t="s">
        <v>205</v>
      </c>
      <c r="H4011" s="50">
        <v>2</v>
      </c>
      <c r="I4011" s="100">
        <v>6.7391919697301583</v>
      </c>
      <c r="J4011" s="52">
        <v>3834.68</v>
      </c>
      <c r="K4011" s="67">
        <f t="shared" si="252"/>
        <v>517163.00498564669</v>
      </c>
      <c r="L4011" s="95">
        <f>+VLOOKUP(E4011,MARGEN!A:B,2,FALSE)</f>
        <v>0.1</v>
      </c>
      <c r="M4011" s="112">
        <f t="shared" si="249"/>
        <v>51716.300498564669</v>
      </c>
      <c r="N4011" s="113">
        <f t="shared" si="250"/>
        <v>2068.6520199425868</v>
      </c>
      <c r="O4011" s="113">
        <f t="shared" si="251"/>
        <v>463378.05246713944</v>
      </c>
    </row>
    <row r="4012" spans="1:15" x14ac:dyDescent="0.25">
      <c r="A4012" s="13">
        <v>44456</v>
      </c>
      <c r="B4012" s="97">
        <v>20012</v>
      </c>
      <c r="C4012" t="s">
        <v>208</v>
      </c>
      <c r="D4012" s="94" t="s">
        <v>468</v>
      </c>
      <c r="E4012" t="s">
        <v>203</v>
      </c>
      <c r="F4012" t="s">
        <v>551</v>
      </c>
      <c r="G4012" s="50" t="s">
        <v>205</v>
      </c>
      <c r="H4012" s="50">
        <v>2</v>
      </c>
      <c r="I4012" s="100">
        <v>6.7391919697301583</v>
      </c>
      <c r="J4012" s="52">
        <v>3834.68</v>
      </c>
      <c r="K4012" s="67">
        <f t="shared" si="252"/>
        <v>517163.00498564669</v>
      </c>
      <c r="L4012" s="95">
        <f>+VLOOKUP(E4012,MARGEN!A:B,2,FALSE)</f>
        <v>0.1</v>
      </c>
      <c r="M4012" s="112">
        <f t="shared" si="249"/>
        <v>51716.300498564669</v>
      </c>
      <c r="N4012" s="113">
        <f t="shared" si="250"/>
        <v>2068.6520199425868</v>
      </c>
      <c r="O4012" s="113">
        <f t="shared" si="251"/>
        <v>463378.05246713944</v>
      </c>
    </row>
    <row r="4013" spans="1:15" x14ac:dyDescent="0.25">
      <c r="A4013" s="13">
        <v>44456</v>
      </c>
      <c r="B4013" s="97">
        <v>20012</v>
      </c>
      <c r="C4013" t="s">
        <v>208</v>
      </c>
      <c r="D4013" s="94" t="s">
        <v>469</v>
      </c>
      <c r="E4013" t="s">
        <v>203</v>
      </c>
      <c r="F4013" t="s">
        <v>551</v>
      </c>
      <c r="G4013" s="50" t="s">
        <v>205</v>
      </c>
      <c r="H4013" s="50">
        <v>2</v>
      </c>
      <c r="I4013" s="100">
        <v>6.7391919697301583</v>
      </c>
      <c r="J4013" s="52">
        <v>3834.68</v>
      </c>
      <c r="K4013" s="67">
        <f t="shared" si="252"/>
        <v>517163.00498564669</v>
      </c>
      <c r="L4013" s="95">
        <f>+VLOOKUP(E4013,MARGEN!A:B,2,FALSE)</f>
        <v>0.1</v>
      </c>
      <c r="M4013" s="112">
        <f t="shared" si="249"/>
        <v>51716.300498564669</v>
      </c>
      <c r="N4013" s="113">
        <f t="shared" si="250"/>
        <v>2068.6520199425868</v>
      </c>
      <c r="O4013" s="113">
        <f t="shared" si="251"/>
        <v>463378.05246713944</v>
      </c>
    </row>
    <row r="4014" spans="1:15" x14ac:dyDescent="0.25">
      <c r="A4014" s="13">
        <v>44457</v>
      </c>
      <c r="B4014" s="97">
        <v>20012</v>
      </c>
      <c r="C4014" t="s">
        <v>208</v>
      </c>
      <c r="D4014" s="94" t="s">
        <v>469</v>
      </c>
      <c r="E4014" t="s">
        <v>203</v>
      </c>
      <c r="F4014" t="s">
        <v>551</v>
      </c>
      <c r="G4014" s="50" t="s">
        <v>205</v>
      </c>
      <c r="H4014" s="50">
        <v>2</v>
      </c>
      <c r="I4014" s="100">
        <v>6.7391919697301583</v>
      </c>
      <c r="J4014" s="52">
        <v>3834.68</v>
      </c>
      <c r="K4014" s="67">
        <f t="shared" si="252"/>
        <v>517163.00498564669</v>
      </c>
      <c r="L4014" s="95">
        <f>+VLOOKUP(E4014,MARGEN!A:B,2,FALSE)</f>
        <v>0.1</v>
      </c>
      <c r="M4014" s="112">
        <f t="shared" si="249"/>
        <v>51716.300498564669</v>
      </c>
      <c r="N4014" s="113">
        <f t="shared" si="250"/>
        <v>2068.6520199425868</v>
      </c>
      <c r="O4014" s="113">
        <f t="shared" si="251"/>
        <v>463378.05246713944</v>
      </c>
    </row>
    <row r="4015" spans="1:15" x14ac:dyDescent="0.25">
      <c r="A4015" s="13">
        <v>44457</v>
      </c>
      <c r="B4015" s="97">
        <v>20012</v>
      </c>
      <c r="C4015" t="s">
        <v>208</v>
      </c>
      <c r="D4015" s="94" t="s">
        <v>468</v>
      </c>
      <c r="E4015" t="s">
        <v>203</v>
      </c>
      <c r="F4015" t="s">
        <v>551</v>
      </c>
      <c r="G4015" s="50" t="s">
        <v>205</v>
      </c>
      <c r="H4015" s="50">
        <v>2</v>
      </c>
      <c r="I4015" s="100">
        <v>6.7391919697301583</v>
      </c>
      <c r="J4015" s="52">
        <v>3834.68</v>
      </c>
      <c r="K4015" s="67">
        <f t="shared" si="252"/>
        <v>517163.00498564669</v>
      </c>
      <c r="L4015" s="95">
        <f>+VLOOKUP(E4015,MARGEN!A:B,2,FALSE)</f>
        <v>0.1</v>
      </c>
      <c r="M4015" s="112">
        <f t="shared" si="249"/>
        <v>51716.300498564669</v>
      </c>
      <c r="N4015" s="113">
        <f t="shared" si="250"/>
        <v>2068.6520199425868</v>
      </c>
      <c r="O4015" s="113">
        <f t="shared" si="251"/>
        <v>463378.05246713944</v>
      </c>
    </row>
    <row r="4016" spans="1:15" x14ac:dyDescent="0.25">
      <c r="A4016" s="13">
        <v>44458</v>
      </c>
      <c r="B4016" s="97">
        <v>20012</v>
      </c>
      <c r="C4016" t="s">
        <v>208</v>
      </c>
      <c r="D4016" s="94" t="s">
        <v>469</v>
      </c>
      <c r="E4016" t="s">
        <v>203</v>
      </c>
      <c r="F4016" t="s">
        <v>551</v>
      </c>
      <c r="G4016" s="50" t="s">
        <v>205</v>
      </c>
      <c r="H4016" s="50">
        <v>2</v>
      </c>
      <c r="I4016" s="100">
        <v>6.7391919697301583</v>
      </c>
      <c r="J4016" s="52">
        <v>3834.68</v>
      </c>
      <c r="K4016" s="67">
        <f t="shared" si="252"/>
        <v>517163.00498564669</v>
      </c>
      <c r="L4016" s="95">
        <f>+VLOOKUP(E4016,MARGEN!A:B,2,FALSE)</f>
        <v>0.1</v>
      </c>
      <c r="M4016" s="112">
        <f t="shared" si="249"/>
        <v>51716.300498564669</v>
      </c>
      <c r="N4016" s="113">
        <f t="shared" si="250"/>
        <v>2068.6520199425868</v>
      </c>
      <c r="O4016" s="113">
        <f t="shared" si="251"/>
        <v>463378.05246713944</v>
      </c>
    </row>
    <row r="4017" spans="1:15" x14ac:dyDescent="0.25">
      <c r="A4017" s="13">
        <v>44458</v>
      </c>
      <c r="B4017" s="97">
        <v>20012</v>
      </c>
      <c r="C4017" s="88" t="s">
        <v>208</v>
      </c>
      <c r="D4017" t="s">
        <v>468</v>
      </c>
      <c r="E4017" t="s">
        <v>203</v>
      </c>
      <c r="F4017" t="s">
        <v>551</v>
      </c>
      <c r="G4017" s="50" t="s">
        <v>205</v>
      </c>
      <c r="H4017" s="50">
        <v>2</v>
      </c>
      <c r="I4017" s="100">
        <v>6.7391919697301583</v>
      </c>
      <c r="J4017" s="52">
        <v>3834.68</v>
      </c>
      <c r="K4017" s="67">
        <f t="shared" si="252"/>
        <v>517163.00498564669</v>
      </c>
      <c r="L4017" s="95">
        <f>+VLOOKUP(E4017,MARGEN!A:B,2,FALSE)</f>
        <v>0.1</v>
      </c>
      <c r="M4017" s="112">
        <f t="shared" si="249"/>
        <v>51716.300498564669</v>
      </c>
      <c r="N4017" s="113">
        <f t="shared" si="250"/>
        <v>2068.6520199425868</v>
      </c>
      <c r="O4017" s="113">
        <f t="shared" si="251"/>
        <v>463378.05246713944</v>
      </c>
    </row>
    <row r="4018" spans="1:15" x14ac:dyDescent="0.25">
      <c r="A4018" s="13">
        <v>44459</v>
      </c>
      <c r="B4018" s="97">
        <v>20015</v>
      </c>
      <c r="C4018" t="s">
        <v>208</v>
      </c>
      <c r="D4018" s="94" t="s">
        <v>469</v>
      </c>
      <c r="E4018" t="s">
        <v>203</v>
      </c>
      <c r="F4018" t="s">
        <v>573</v>
      </c>
      <c r="G4018" s="50" t="s">
        <v>574</v>
      </c>
      <c r="H4018" s="50">
        <v>2</v>
      </c>
      <c r="I4018" s="100">
        <v>6.7391919697301583</v>
      </c>
      <c r="J4018" s="52">
        <v>3834.68</v>
      </c>
      <c r="K4018" s="67">
        <f t="shared" si="252"/>
        <v>517240.53291963408</v>
      </c>
      <c r="L4018" s="95">
        <f>+VLOOKUP(E4018,MARGEN!A:B,2,FALSE)</f>
        <v>0.1</v>
      </c>
      <c r="M4018" s="112">
        <f t="shared" si="249"/>
        <v>51724.053291963413</v>
      </c>
      <c r="N4018" s="113">
        <f t="shared" si="250"/>
        <v>2068.9621316785365</v>
      </c>
      <c r="O4018" s="113">
        <f t="shared" si="251"/>
        <v>463447.51749599213</v>
      </c>
    </row>
    <row r="4019" spans="1:15" x14ac:dyDescent="0.25">
      <c r="A4019" s="13">
        <v>44459</v>
      </c>
      <c r="B4019" s="97">
        <v>20015</v>
      </c>
      <c r="C4019" t="s">
        <v>208</v>
      </c>
      <c r="D4019" s="94" t="s">
        <v>468</v>
      </c>
      <c r="E4019" t="s">
        <v>203</v>
      </c>
      <c r="F4019" t="s">
        <v>573</v>
      </c>
      <c r="G4019" s="50" t="s">
        <v>574</v>
      </c>
      <c r="H4019" s="50">
        <v>2</v>
      </c>
      <c r="I4019" s="100">
        <v>6.7391919697301583</v>
      </c>
      <c r="J4019" s="52">
        <v>3834.68</v>
      </c>
      <c r="K4019" s="67">
        <f t="shared" si="252"/>
        <v>517240.53291963408</v>
      </c>
      <c r="L4019" s="95">
        <f>+VLOOKUP(E4019,MARGEN!A:B,2,FALSE)</f>
        <v>0.1</v>
      </c>
      <c r="M4019" s="112">
        <f t="shared" si="249"/>
        <v>51724.053291963413</v>
      </c>
      <c r="N4019" s="113">
        <f t="shared" si="250"/>
        <v>2068.9621316785365</v>
      </c>
      <c r="O4019" s="113">
        <f t="shared" si="251"/>
        <v>463447.51749599213</v>
      </c>
    </row>
    <row r="4020" spans="1:15" x14ac:dyDescent="0.25">
      <c r="A4020" s="13">
        <v>44460</v>
      </c>
      <c r="B4020" s="97">
        <v>20015</v>
      </c>
      <c r="C4020" t="s">
        <v>208</v>
      </c>
      <c r="D4020" s="94" t="s">
        <v>469</v>
      </c>
      <c r="E4020" t="s">
        <v>203</v>
      </c>
      <c r="F4020" t="s">
        <v>573</v>
      </c>
      <c r="G4020" s="50" t="s">
        <v>574</v>
      </c>
      <c r="H4020" s="50">
        <v>2</v>
      </c>
      <c r="I4020" s="100">
        <v>6.7391919697301583</v>
      </c>
      <c r="J4020" s="52">
        <v>3834.68</v>
      </c>
      <c r="K4020" s="67">
        <f t="shared" si="252"/>
        <v>517240.53291963408</v>
      </c>
      <c r="L4020" s="95">
        <f>+VLOOKUP(E4020,MARGEN!A:B,2,FALSE)</f>
        <v>0.1</v>
      </c>
      <c r="M4020" s="112">
        <f t="shared" si="249"/>
        <v>51724.053291963413</v>
      </c>
      <c r="N4020" s="113">
        <f t="shared" si="250"/>
        <v>2068.9621316785365</v>
      </c>
      <c r="O4020" s="113">
        <f t="shared" si="251"/>
        <v>463447.51749599213</v>
      </c>
    </row>
    <row r="4021" spans="1:15" x14ac:dyDescent="0.25">
      <c r="A4021" s="13">
        <v>44460</v>
      </c>
      <c r="B4021" s="51">
        <v>20015</v>
      </c>
      <c r="C4021" s="66" t="s">
        <v>208</v>
      </c>
      <c r="D4021" s="66" t="s">
        <v>468</v>
      </c>
      <c r="E4021" t="s">
        <v>203</v>
      </c>
      <c r="F4021" s="50" t="s">
        <v>573</v>
      </c>
      <c r="G4021" s="50" t="s">
        <v>574</v>
      </c>
      <c r="H4021" s="50">
        <v>2</v>
      </c>
      <c r="I4021" s="100">
        <v>6.7391919697301583</v>
      </c>
      <c r="J4021" s="52">
        <v>3834.68</v>
      </c>
      <c r="K4021" s="67">
        <f t="shared" si="252"/>
        <v>517240.53291963408</v>
      </c>
      <c r="L4021" s="95">
        <f>+VLOOKUP(E4021,MARGEN!A:B,2,FALSE)</f>
        <v>0.1</v>
      </c>
      <c r="M4021" s="112">
        <f t="shared" si="249"/>
        <v>51724.053291963413</v>
      </c>
      <c r="N4021" s="113">
        <f t="shared" si="250"/>
        <v>2068.9621316785365</v>
      </c>
      <c r="O4021" s="113">
        <f t="shared" si="251"/>
        <v>463447.51749599213</v>
      </c>
    </row>
    <row r="4022" spans="1:15" x14ac:dyDescent="0.25">
      <c r="A4022" s="13">
        <v>44461</v>
      </c>
      <c r="B4022" s="97">
        <v>20015</v>
      </c>
      <c r="C4022" t="s">
        <v>208</v>
      </c>
      <c r="D4022" t="s">
        <v>469</v>
      </c>
      <c r="E4022" t="s">
        <v>203</v>
      </c>
      <c r="F4022" t="s">
        <v>573</v>
      </c>
      <c r="G4022" s="50" t="s">
        <v>574</v>
      </c>
      <c r="H4022" s="50">
        <v>2</v>
      </c>
      <c r="I4022" s="100">
        <v>6.7391919697301583</v>
      </c>
      <c r="J4022" s="52">
        <v>3834.68</v>
      </c>
      <c r="K4022" s="67">
        <f t="shared" si="252"/>
        <v>517240.53291963408</v>
      </c>
      <c r="L4022" s="95">
        <f>+VLOOKUP(E4022,MARGEN!A:B,2,FALSE)</f>
        <v>0.1</v>
      </c>
      <c r="M4022" s="112">
        <f t="shared" si="249"/>
        <v>51724.053291963413</v>
      </c>
      <c r="N4022" s="113">
        <f t="shared" si="250"/>
        <v>2068.9621316785365</v>
      </c>
      <c r="O4022" s="113">
        <f t="shared" si="251"/>
        <v>463447.51749599213</v>
      </c>
    </row>
    <row r="4023" spans="1:15" x14ac:dyDescent="0.25">
      <c r="A4023" s="13">
        <v>44461</v>
      </c>
      <c r="B4023" s="97">
        <v>20015</v>
      </c>
      <c r="C4023" t="s">
        <v>208</v>
      </c>
      <c r="D4023" t="s">
        <v>468</v>
      </c>
      <c r="E4023" t="s">
        <v>203</v>
      </c>
      <c r="F4023" t="s">
        <v>573</v>
      </c>
      <c r="G4023" s="50" t="s">
        <v>574</v>
      </c>
      <c r="H4023" s="50">
        <v>2</v>
      </c>
      <c r="I4023" s="100">
        <v>6.7391919697301583</v>
      </c>
      <c r="J4023" s="52">
        <v>3834.68</v>
      </c>
      <c r="K4023" s="67">
        <f t="shared" si="252"/>
        <v>517240.53291963408</v>
      </c>
      <c r="L4023" s="95">
        <f>+VLOOKUP(E4023,MARGEN!A:B,2,FALSE)</f>
        <v>0.1</v>
      </c>
      <c r="M4023" s="112">
        <f t="shared" si="249"/>
        <v>51724.053291963413</v>
      </c>
      <c r="N4023" s="113">
        <f t="shared" si="250"/>
        <v>2068.9621316785365</v>
      </c>
      <c r="O4023" s="113">
        <f t="shared" si="251"/>
        <v>463447.51749599213</v>
      </c>
    </row>
    <row r="4024" spans="1:15" x14ac:dyDescent="0.25">
      <c r="A4024" s="13">
        <v>44462</v>
      </c>
      <c r="B4024" s="97">
        <v>20015</v>
      </c>
      <c r="C4024" t="s">
        <v>208</v>
      </c>
      <c r="D4024" t="s">
        <v>469</v>
      </c>
      <c r="E4024" t="s">
        <v>203</v>
      </c>
      <c r="F4024" t="s">
        <v>573</v>
      </c>
      <c r="G4024" s="50" t="s">
        <v>574</v>
      </c>
      <c r="H4024" s="50">
        <v>2</v>
      </c>
      <c r="I4024" s="100">
        <v>6.7391919697301583</v>
      </c>
      <c r="J4024" s="52">
        <v>3834.68</v>
      </c>
      <c r="K4024" s="67">
        <f t="shared" si="252"/>
        <v>517240.53291963408</v>
      </c>
      <c r="L4024" s="95">
        <f>+VLOOKUP(E4024,MARGEN!A:B,2,FALSE)</f>
        <v>0.1</v>
      </c>
      <c r="M4024" s="112">
        <f t="shared" si="249"/>
        <v>51724.053291963413</v>
      </c>
      <c r="N4024" s="113">
        <f t="shared" si="250"/>
        <v>2068.9621316785365</v>
      </c>
      <c r="O4024" s="113">
        <f t="shared" si="251"/>
        <v>463447.51749599213</v>
      </c>
    </row>
    <row r="4025" spans="1:15" x14ac:dyDescent="0.25">
      <c r="A4025" s="13">
        <v>44462</v>
      </c>
      <c r="B4025" s="97">
        <v>20015</v>
      </c>
      <c r="C4025" t="s">
        <v>208</v>
      </c>
      <c r="D4025" t="s">
        <v>468</v>
      </c>
      <c r="E4025" t="s">
        <v>203</v>
      </c>
      <c r="F4025" t="s">
        <v>573</v>
      </c>
      <c r="G4025" s="50" t="s">
        <v>574</v>
      </c>
      <c r="H4025" s="50">
        <v>2</v>
      </c>
      <c r="I4025" s="100">
        <v>6.7391919697301583</v>
      </c>
      <c r="J4025" s="52">
        <v>3834.68</v>
      </c>
      <c r="K4025" s="67">
        <f t="shared" si="252"/>
        <v>517240.53291963408</v>
      </c>
      <c r="L4025" s="95">
        <f>+VLOOKUP(E4025,MARGEN!A:B,2,FALSE)</f>
        <v>0.1</v>
      </c>
      <c r="M4025" s="112">
        <f t="shared" si="249"/>
        <v>51724.053291963413</v>
      </c>
      <c r="N4025" s="113">
        <f t="shared" si="250"/>
        <v>2068.9621316785365</v>
      </c>
      <c r="O4025" s="113">
        <f t="shared" si="251"/>
        <v>463447.51749599213</v>
      </c>
    </row>
    <row r="4026" spans="1:15" x14ac:dyDescent="0.25">
      <c r="A4026" s="13">
        <v>44463</v>
      </c>
      <c r="B4026" s="97">
        <v>20015</v>
      </c>
      <c r="C4026" t="s">
        <v>208</v>
      </c>
      <c r="D4026" t="s">
        <v>469</v>
      </c>
      <c r="E4026" t="s">
        <v>203</v>
      </c>
      <c r="F4026" t="s">
        <v>573</v>
      </c>
      <c r="G4026" s="50" t="s">
        <v>574</v>
      </c>
      <c r="H4026" s="50">
        <v>2</v>
      </c>
      <c r="I4026" s="100">
        <v>6.7391919697301583</v>
      </c>
      <c r="J4026" s="52">
        <v>3834.68</v>
      </c>
      <c r="K4026" s="67">
        <f t="shared" si="252"/>
        <v>517240.53291963408</v>
      </c>
      <c r="L4026" s="95">
        <f>+VLOOKUP(E4026,MARGEN!A:B,2,FALSE)</f>
        <v>0.1</v>
      </c>
      <c r="M4026" s="112">
        <f t="shared" si="249"/>
        <v>51724.053291963413</v>
      </c>
      <c r="N4026" s="113">
        <f t="shared" si="250"/>
        <v>2068.9621316785365</v>
      </c>
      <c r="O4026" s="113">
        <f t="shared" si="251"/>
        <v>463447.51749599213</v>
      </c>
    </row>
    <row r="4027" spans="1:15" x14ac:dyDescent="0.25">
      <c r="A4027" s="43">
        <v>44463</v>
      </c>
      <c r="B4027" s="97">
        <v>20015</v>
      </c>
      <c r="C4027" s="88" t="s">
        <v>208</v>
      </c>
      <c r="D4027" s="88" t="s">
        <v>468</v>
      </c>
      <c r="E4027" t="s">
        <v>203</v>
      </c>
      <c r="F4027" s="88" t="s">
        <v>573</v>
      </c>
      <c r="G4027" s="50" t="s">
        <v>574</v>
      </c>
      <c r="H4027" s="50">
        <v>2</v>
      </c>
      <c r="I4027" s="100">
        <v>6.7391919697301583</v>
      </c>
      <c r="J4027" s="52">
        <v>3834.68</v>
      </c>
      <c r="K4027" s="67">
        <f t="shared" si="252"/>
        <v>517240.53291963408</v>
      </c>
      <c r="L4027" s="95">
        <f>+VLOOKUP(E4027,MARGEN!A:B,2,FALSE)</f>
        <v>0.1</v>
      </c>
      <c r="M4027" s="112">
        <f t="shared" si="249"/>
        <v>51724.053291963413</v>
      </c>
      <c r="N4027" s="113">
        <f t="shared" si="250"/>
        <v>2068.9621316785365</v>
      </c>
      <c r="O4027" s="113">
        <f t="shared" si="251"/>
        <v>463447.51749599213</v>
      </c>
    </row>
    <row r="4028" spans="1:15" x14ac:dyDescent="0.25">
      <c r="A4028" s="13">
        <v>44464</v>
      </c>
      <c r="B4028" s="97">
        <v>20015</v>
      </c>
      <c r="C4028" t="s">
        <v>208</v>
      </c>
      <c r="D4028" t="s">
        <v>468</v>
      </c>
      <c r="E4028" t="s">
        <v>203</v>
      </c>
      <c r="F4028" t="s">
        <v>573</v>
      </c>
      <c r="G4028" s="50" t="s">
        <v>574</v>
      </c>
      <c r="H4028" s="50">
        <v>2</v>
      </c>
      <c r="I4028" s="100">
        <v>6.7391919697301583</v>
      </c>
      <c r="J4028" s="52">
        <v>3834.68</v>
      </c>
      <c r="K4028" s="67">
        <f t="shared" si="252"/>
        <v>517240.53291963408</v>
      </c>
      <c r="L4028" s="95">
        <f>+VLOOKUP(E4028,MARGEN!A:B,2,FALSE)</f>
        <v>0.1</v>
      </c>
      <c r="M4028" s="112">
        <f t="shared" si="249"/>
        <v>51724.053291963413</v>
      </c>
      <c r="N4028" s="113">
        <f t="shared" si="250"/>
        <v>2068.9621316785365</v>
      </c>
      <c r="O4028" s="113">
        <f t="shared" si="251"/>
        <v>463447.51749599213</v>
      </c>
    </row>
    <row r="4029" spans="1:15" x14ac:dyDescent="0.25">
      <c r="A4029" s="13">
        <v>44464</v>
      </c>
      <c r="B4029" s="97">
        <v>20015</v>
      </c>
      <c r="C4029" t="s">
        <v>208</v>
      </c>
      <c r="D4029" t="s">
        <v>469</v>
      </c>
      <c r="E4029" t="s">
        <v>203</v>
      </c>
      <c r="F4029" t="s">
        <v>573</v>
      </c>
      <c r="G4029" s="50" t="s">
        <v>574</v>
      </c>
      <c r="H4029" s="50">
        <v>2</v>
      </c>
      <c r="I4029" s="100">
        <v>6.7391919697301583</v>
      </c>
      <c r="J4029" s="52">
        <v>3834.68</v>
      </c>
      <c r="K4029" s="67">
        <f t="shared" si="252"/>
        <v>517240.53291963408</v>
      </c>
      <c r="L4029" s="95">
        <f>+VLOOKUP(E4029,MARGEN!A:B,2,FALSE)</f>
        <v>0.1</v>
      </c>
      <c r="M4029" s="112">
        <f t="shared" si="249"/>
        <v>51724.053291963413</v>
      </c>
      <c r="N4029" s="113">
        <f t="shared" si="250"/>
        <v>2068.9621316785365</v>
      </c>
      <c r="O4029" s="113">
        <f t="shared" si="251"/>
        <v>463447.51749599213</v>
      </c>
    </row>
    <row r="4030" spans="1:15" x14ac:dyDescent="0.25">
      <c r="A4030" s="43">
        <v>44465</v>
      </c>
      <c r="B4030" s="51">
        <v>20015</v>
      </c>
      <c r="C4030" s="66" t="s">
        <v>208</v>
      </c>
      <c r="D4030" s="66" t="s">
        <v>469</v>
      </c>
      <c r="E4030" t="s">
        <v>203</v>
      </c>
      <c r="F4030" s="50" t="s">
        <v>573</v>
      </c>
      <c r="G4030" s="50" t="s">
        <v>574</v>
      </c>
      <c r="H4030" s="50">
        <v>2</v>
      </c>
      <c r="I4030" s="100">
        <v>6.7391919697301583</v>
      </c>
      <c r="J4030" s="52">
        <v>3834.68</v>
      </c>
      <c r="K4030" s="67">
        <f t="shared" si="252"/>
        <v>517240.53291963408</v>
      </c>
      <c r="L4030" s="95">
        <f>+VLOOKUP(E4030,MARGEN!A:B,2,FALSE)</f>
        <v>0.1</v>
      </c>
      <c r="M4030" s="112">
        <f t="shared" si="249"/>
        <v>51724.053291963413</v>
      </c>
      <c r="N4030" s="113">
        <f t="shared" si="250"/>
        <v>2068.9621316785365</v>
      </c>
      <c r="O4030" s="113">
        <f t="shared" si="251"/>
        <v>463447.51749599213</v>
      </c>
    </row>
    <row r="4031" spans="1:15" x14ac:dyDescent="0.25">
      <c r="A4031" s="43">
        <v>44465</v>
      </c>
      <c r="B4031" s="51">
        <v>20015</v>
      </c>
      <c r="C4031" s="66" t="s">
        <v>208</v>
      </c>
      <c r="D4031" s="66" t="s">
        <v>468</v>
      </c>
      <c r="E4031" t="s">
        <v>203</v>
      </c>
      <c r="F4031" s="50" t="s">
        <v>573</v>
      </c>
      <c r="G4031" s="50" t="s">
        <v>574</v>
      </c>
      <c r="H4031" s="50">
        <v>2</v>
      </c>
      <c r="I4031" s="100">
        <v>6.7391919697301583</v>
      </c>
      <c r="J4031" s="52">
        <v>3834.68</v>
      </c>
      <c r="K4031" s="67">
        <f t="shared" si="252"/>
        <v>517240.53291963408</v>
      </c>
      <c r="L4031" s="95">
        <f>+VLOOKUP(E4031,MARGEN!A:B,2,FALSE)</f>
        <v>0.1</v>
      </c>
      <c r="M4031" s="112">
        <f t="shared" si="249"/>
        <v>51724.053291963413</v>
      </c>
      <c r="N4031" s="113">
        <f t="shared" si="250"/>
        <v>2068.9621316785365</v>
      </c>
      <c r="O4031" s="113">
        <f t="shared" si="251"/>
        <v>463447.51749599213</v>
      </c>
    </row>
    <row r="4032" spans="1:15" x14ac:dyDescent="0.25">
      <c r="A4032" s="43">
        <v>44466</v>
      </c>
      <c r="B4032" s="51">
        <v>20015</v>
      </c>
      <c r="C4032" s="66" t="s">
        <v>208</v>
      </c>
      <c r="D4032" s="66" t="s">
        <v>469</v>
      </c>
      <c r="E4032" t="s">
        <v>203</v>
      </c>
      <c r="F4032" s="50" t="s">
        <v>573</v>
      </c>
      <c r="G4032" s="50" t="s">
        <v>574</v>
      </c>
      <c r="H4032" s="50">
        <v>2</v>
      </c>
      <c r="I4032" s="100">
        <v>6.7391919697301583</v>
      </c>
      <c r="J4032" s="52">
        <v>3834.68</v>
      </c>
      <c r="K4032" s="67">
        <f t="shared" si="252"/>
        <v>517240.53291963408</v>
      </c>
      <c r="L4032" s="95">
        <f>+VLOOKUP(E4032,MARGEN!A:B,2,FALSE)</f>
        <v>0.1</v>
      </c>
      <c r="M4032" s="112">
        <f t="shared" si="249"/>
        <v>51724.053291963413</v>
      </c>
      <c r="N4032" s="113">
        <f t="shared" si="250"/>
        <v>2068.9621316785365</v>
      </c>
      <c r="O4032" s="113">
        <f t="shared" si="251"/>
        <v>463447.51749599213</v>
      </c>
    </row>
    <row r="4033" spans="1:15" x14ac:dyDescent="0.25">
      <c r="A4033" s="43">
        <v>44466</v>
      </c>
      <c r="B4033" s="51">
        <v>20015</v>
      </c>
      <c r="C4033" s="66" t="s">
        <v>208</v>
      </c>
      <c r="D4033" s="66" t="s">
        <v>468</v>
      </c>
      <c r="E4033" t="s">
        <v>203</v>
      </c>
      <c r="F4033" s="50" t="s">
        <v>573</v>
      </c>
      <c r="G4033" s="50" t="s">
        <v>574</v>
      </c>
      <c r="H4033" s="50">
        <v>2</v>
      </c>
      <c r="I4033" s="100">
        <v>6.7391919697301583</v>
      </c>
      <c r="J4033" s="52">
        <v>3834.68</v>
      </c>
      <c r="K4033" s="67">
        <f t="shared" si="252"/>
        <v>517240.53291963408</v>
      </c>
      <c r="L4033" s="95">
        <f>+VLOOKUP(E4033,MARGEN!A:B,2,FALSE)</f>
        <v>0.1</v>
      </c>
      <c r="M4033" s="112">
        <f t="shared" si="249"/>
        <v>51724.053291963413</v>
      </c>
      <c r="N4033" s="113">
        <f t="shared" si="250"/>
        <v>2068.9621316785365</v>
      </c>
      <c r="O4033" s="113">
        <f t="shared" si="251"/>
        <v>463447.51749599213</v>
      </c>
    </row>
    <row r="4034" spans="1:15" x14ac:dyDescent="0.25">
      <c r="A4034" s="43">
        <v>44467</v>
      </c>
      <c r="B4034" s="51">
        <v>20015</v>
      </c>
      <c r="C4034" s="66" t="s">
        <v>208</v>
      </c>
      <c r="D4034" s="66" t="s">
        <v>469</v>
      </c>
      <c r="E4034" t="s">
        <v>203</v>
      </c>
      <c r="F4034" s="50" t="s">
        <v>573</v>
      </c>
      <c r="G4034" s="50" t="s">
        <v>574</v>
      </c>
      <c r="H4034" s="50">
        <v>2</v>
      </c>
      <c r="I4034" s="100">
        <v>6.7391919697301583</v>
      </c>
      <c r="J4034" s="52">
        <v>3834.68</v>
      </c>
      <c r="K4034" s="67">
        <f t="shared" si="252"/>
        <v>517240.53291963408</v>
      </c>
      <c r="L4034" s="95">
        <f>+VLOOKUP(E4034,MARGEN!A:B,2,FALSE)</f>
        <v>0.1</v>
      </c>
      <c r="M4034" s="112">
        <f t="shared" si="249"/>
        <v>51724.053291963413</v>
      </c>
      <c r="N4034" s="113">
        <f t="shared" si="250"/>
        <v>2068.9621316785365</v>
      </c>
      <c r="O4034" s="113">
        <f t="shared" si="251"/>
        <v>463447.51749599213</v>
      </c>
    </row>
    <row r="4035" spans="1:15" x14ac:dyDescent="0.25">
      <c r="A4035" s="43">
        <v>44467</v>
      </c>
      <c r="B4035" s="51">
        <v>20015</v>
      </c>
      <c r="C4035" s="66" t="s">
        <v>208</v>
      </c>
      <c r="D4035" s="66" t="s">
        <v>468</v>
      </c>
      <c r="E4035" t="s">
        <v>203</v>
      </c>
      <c r="F4035" s="50" t="s">
        <v>573</v>
      </c>
      <c r="G4035" s="50" t="s">
        <v>574</v>
      </c>
      <c r="H4035" s="50">
        <v>2</v>
      </c>
      <c r="I4035" s="100">
        <v>6.7391919697301583</v>
      </c>
      <c r="J4035" s="52">
        <v>3834.68</v>
      </c>
      <c r="K4035" s="67">
        <f t="shared" si="252"/>
        <v>517240.53291963408</v>
      </c>
      <c r="L4035" s="95">
        <f>+VLOOKUP(E4035,MARGEN!A:B,2,FALSE)</f>
        <v>0.1</v>
      </c>
      <c r="M4035" s="112">
        <f t="shared" ref="M4035:M4098" si="253">+K4035*L4035</f>
        <v>51724.053291963413</v>
      </c>
      <c r="N4035" s="113">
        <f t="shared" ref="N4035:N4098" si="254">+K4035*4/1000</f>
        <v>2068.9621316785365</v>
      </c>
      <c r="O4035" s="113">
        <f t="shared" ref="O4035:O4098" si="255">+K4035-M4035-N4035</f>
        <v>463447.51749599213</v>
      </c>
    </row>
    <row r="4036" spans="1:15" x14ac:dyDescent="0.25">
      <c r="A4036" s="43">
        <v>44468</v>
      </c>
      <c r="B4036" s="51">
        <v>20015</v>
      </c>
      <c r="C4036" s="66" t="s">
        <v>208</v>
      </c>
      <c r="D4036" s="66" t="s">
        <v>469</v>
      </c>
      <c r="E4036" t="s">
        <v>203</v>
      </c>
      <c r="F4036" s="50" t="s">
        <v>573</v>
      </c>
      <c r="G4036" s="50" t="s">
        <v>574</v>
      </c>
      <c r="H4036" s="50">
        <v>2</v>
      </c>
      <c r="I4036" s="100">
        <v>6.7391919697301583</v>
      </c>
      <c r="J4036" s="52">
        <v>3834.68</v>
      </c>
      <c r="K4036" s="67">
        <f t="shared" si="252"/>
        <v>517240.53291963408</v>
      </c>
      <c r="L4036" s="95">
        <f>+VLOOKUP(E4036,MARGEN!A:B,2,FALSE)</f>
        <v>0.1</v>
      </c>
      <c r="M4036" s="112">
        <f t="shared" si="253"/>
        <v>51724.053291963413</v>
      </c>
      <c r="N4036" s="113">
        <f t="shared" si="254"/>
        <v>2068.9621316785365</v>
      </c>
      <c r="O4036" s="113">
        <f t="shared" si="255"/>
        <v>463447.51749599213</v>
      </c>
    </row>
    <row r="4037" spans="1:15" x14ac:dyDescent="0.25">
      <c r="A4037" s="43">
        <v>44468</v>
      </c>
      <c r="B4037" s="51">
        <v>20015</v>
      </c>
      <c r="C4037" s="66" t="s">
        <v>208</v>
      </c>
      <c r="D4037" s="66" t="s">
        <v>468</v>
      </c>
      <c r="E4037" t="s">
        <v>203</v>
      </c>
      <c r="F4037" s="50" t="s">
        <v>573</v>
      </c>
      <c r="G4037" s="50" t="s">
        <v>574</v>
      </c>
      <c r="H4037" s="50">
        <v>2</v>
      </c>
      <c r="I4037" s="100">
        <v>6.7391919697301583</v>
      </c>
      <c r="J4037" s="52">
        <v>3834.68</v>
      </c>
      <c r="K4037" s="67">
        <f t="shared" si="252"/>
        <v>517240.53291963408</v>
      </c>
      <c r="L4037" s="95">
        <f>+VLOOKUP(E4037,MARGEN!A:B,2,FALSE)</f>
        <v>0.1</v>
      </c>
      <c r="M4037" s="112">
        <f t="shared" si="253"/>
        <v>51724.053291963413</v>
      </c>
      <c r="N4037" s="113">
        <f t="shared" si="254"/>
        <v>2068.9621316785365</v>
      </c>
      <c r="O4037" s="113">
        <f t="shared" si="255"/>
        <v>463447.51749599213</v>
      </c>
    </row>
    <row r="4038" spans="1:15" x14ac:dyDescent="0.25">
      <c r="A4038" s="43">
        <v>44469</v>
      </c>
      <c r="B4038" s="51">
        <v>20015</v>
      </c>
      <c r="C4038" s="66" t="s">
        <v>208</v>
      </c>
      <c r="D4038" s="66" t="s">
        <v>468</v>
      </c>
      <c r="E4038" t="s">
        <v>203</v>
      </c>
      <c r="F4038" s="50" t="s">
        <v>573</v>
      </c>
      <c r="G4038" s="50" t="s">
        <v>574</v>
      </c>
      <c r="H4038" s="50">
        <v>2</v>
      </c>
      <c r="I4038" s="100">
        <v>6.7391919697301583</v>
      </c>
      <c r="J4038" s="52">
        <v>3834.68</v>
      </c>
      <c r="K4038" s="67">
        <f t="shared" si="252"/>
        <v>517240.53291963408</v>
      </c>
      <c r="L4038" s="95">
        <f>+VLOOKUP(E4038,MARGEN!A:B,2,FALSE)</f>
        <v>0.1</v>
      </c>
      <c r="M4038" s="112">
        <f t="shared" si="253"/>
        <v>51724.053291963413</v>
      </c>
      <c r="N4038" s="113">
        <f t="shared" si="254"/>
        <v>2068.9621316785365</v>
      </c>
      <c r="O4038" s="113">
        <f t="shared" si="255"/>
        <v>463447.51749599213</v>
      </c>
    </row>
    <row r="4039" spans="1:15" x14ac:dyDescent="0.25">
      <c r="A4039" s="43">
        <v>44469</v>
      </c>
      <c r="B4039" s="51">
        <v>20015</v>
      </c>
      <c r="C4039" s="66" t="s">
        <v>208</v>
      </c>
      <c r="D4039" s="66" t="s">
        <v>469</v>
      </c>
      <c r="E4039" t="s">
        <v>203</v>
      </c>
      <c r="F4039" s="50" t="s">
        <v>573</v>
      </c>
      <c r="G4039" s="50" t="s">
        <v>574</v>
      </c>
      <c r="H4039" s="50">
        <v>2</v>
      </c>
      <c r="I4039" s="100">
        <v>6.7391919697301583</v>
      </c>
      <c r="J4039" s="52">
        <v>3834.68</v>
      </c>
      <c r="K4039" s="67">
        <f t="shared" si="252"/>
        <v>517240.53291963408</v>
      </c>
      <c r="L4039" s="95">
        <f>+VLOOKUP(E4039,MARGEN!A:B,2,FALSE)</f>
        <v>0.1</v>
      </c>
      <c r="M4039" s="112">
        <f t="shared" si="253"/>
        <v>51724.053291963413</v>
      </c>
      <c r="N4039" s="113">
        <f t="shared" si="254"/>
        <v>2068.9621316785365</v>
      </c>
      <c r="O4039" s="113">
        <f t="shared" si="255"/>
        <v>463447.51749599213</v>
      </c>
    </row>
    <row r="4040" spans="1:15" x14ac:dyDescent="0.25">
      <c r="A4040" s="13">
        <v>44440</v>
      </c>
      <c r="B4040" s="97">
        <v>29564</v>
      </c>
      <c r="C4040" t="s">
        <v>88</v>
      </c>
      <c r="D4040" s="94" t="s">
        <v>393</v>
      </c>
      <c r="E4040" t="s">
        <v>55</v>
      </c>
      <c r="F4040" t="s">
        <v>558</v>
      </c>
      <c r="G4040" s="50" t="s">
        <v>559</v>
      </c>
      <c r="H4040" s="50">
        <v>2</v>
      </c>
      <c r="I4040" s="100">
        <v>6.7391919697301583</v>
      </c>
      <c r="J4040" s="52">
        <v>3834.68</v>
      </c>
      <c r="K4040" s="67">
        <f t="shared" si="252"/>
        <v>764011.94680170191</v>
      </c>
      <c r="L4040" s="95">
        <f>+VLOOKUP(E4040,MARGEN!A:B,2,FALSE)</f>
        <v>0.1</v>
      </c>
      <c r="M4040" s="112">
        <f t="shared" si="253"/>
        <v>76401.1946801702</v>
      </c>
      <c r="N4040" s="113">
        <f t="shared" si="254"/>
        <v>3056.0477872068077</v>
      </c>
      <c r="O4040" s="113">
        <f t="shared" si="255"/>
        <v>684554.70433432492</v>
      </c>
    </row>
    <row r="4041" spans="1:15" x14ac:dyDescent="0.25">
      <c r="A4041" s="13">
        <v>44441</v>
      </c>
      <c r="B4041" s="97">
        <v>29564</v>
      </c>
      <c r="C4041" t="s">
        <v>88</v>
      </c>
      <c r="D4041" s="94" t="s">
        <v>393</v>
      </c>
      <c r="E4041" t="s">
        <v>55</v>
      </c>
      <c r="F4041" t="s">
        <v>558</v>
      </c>
      <c r="G4041" s="50" t="s">
        <v>559</v>
      </c>
      <c r="H4041" s="50">
        <v>2</v>
      </c>
      <c r="I4041" s="100">
        <v>6.7391919697301583</v>
      </c>
      <c r="J4041" s="52">
        <v>3834.68</v>
      </c>
      <c r="K4041" s="67">
        <f t="shared" ref="K4041:K4104" si="256">+B4041*I4041*J4041/1000</f>
        <v>764011.94680170191</v>
      </c>
      <c r="L4041" s="95">
        <f>+VLOOKUP(E4041,MARGEN!A:B,2,FALSE)</f>
        <v>0.1</v>
      </c>
      <c r="M4041" s="112">
        <f t="shared" si="253"/>
        <v>76401.1946801702</v>
      </c>
      <c r="N4041" s="113">
        <f t="shared" si="254"/>
        <v>3056.0477872068077</v>
      </c>
      <c r="O4041" s="113">
        <f t="shared" si="255"/>
        <v>684554.70433432492</v>
      </c>
    </row>
    <row r="4042" spans="1:15" x14ac:dyDescent="0.25">
      <c r="A4042" s="13">
        <v>44442</v>
      </c>
      <c r="B4042" s="97">
        <v>29563</v>
      </c>
      <c r="C4042" t="s">
        <v>88</v>
      </c>
      <c r="D4042" s="94" t="s">
        <v>393</v>
      </c>
      <c r="E4042" t="s">
        <v>55</v>
      </c>
      <c r="F4042" t="s">
        <v>566</v>
      </c>
      <c r="G4042" s="50" t="s">
        <v>559</v>
      </c>
      <c r="H4042" s="50">
        <v>2</v>
      </c>
      <c r="I4042" s="100">
        <v>6.7391919697301583</v>
      </c>
      <c r="J4042" s="52">
        <v>3834.68</v>
      </c>
      <c r="K4042" s="67">
        <f t="shared" si="256"/>
        <v>763986.10415703943</v>
      </c>
      <c r="L4042" s="95">
        <f>+VLOOKUP(E4042,MARGEN!A:B,2,FALSE)</f>
        <v>0.1</v>
      </c>
      <c r="M4042" s="112">
        <f t="shared" si="253"/>
        <v>76398.610415703952</v>
      </c>
      <c r="N4042" s="113">
        <f t="shared" si="254"/>
        <v>3055.9444166281578</v>
      </c>
      <c r="O4042" s="113">
        <f t="shared" si="255"/>
        <v>684531.54932470736</v>
      </c>
    </row>
    <row r="4043" spans="1:15" x14ac:dyDescent="0.25">
      <c r="A4043" s="13">
        <v>44454</v>
      </c>
      <c r="B4043" s="97">
        <v>29562</v>
      </c>
      <c r="C4043" t="s">
        <v>88</v>
      </c>
      <c r="D4043" t="s">
        <v>393</v>
      </c>
      <c r="E4043" t="s">
        <v>55</v>
      </c>
      <c r="F4043" t="s">
        <v>551</v>
      </c>
      <c r="G4043" s="50" t="s">
        <v>205</v>
      </c>
      <c r="H4043" s="50">
        <v>2</v>
      </c>
      <c r="I4043" s="100">
        <v>6.7391919697301583</v>
      </c>
      <c r="J4043" s="52">
        <v>3834.68</v>
      </c>
      <c r="K4043" s="67">
        <f t="shared" si="256"/>
        <v>763960.26151237695</v>
      </c>
      <c r="L4043" s="95">
        <f>+VLOOKUP(E4043,MARGEN!A:B,2,FALSE)</f>
        <v>0.1</v>
      </c>
      <c r="M4043" s="112">
        <f t="shared" si="253"/>
        <v>76396.026151237704</v>
      </c>
      <c r="N4043" s="113">
        <f t="shared" si="254"/>
        <v>3055.8410460495079</v>
      </c>
      <c r="O4043" s="113">
        <f t="shared" si="255"/>
        <v>684508.3943150898</v>
      </c>
    </row>
    <row r="4044" spans="1:15" x14ac:dyDescent="0.25">
      <c r="A4044" s="13">
        <v>44455</v>
      </c>
      <c r="B4044" s="97">
        <v>29562</v>
      </c>
      <c r="C4044" t="s">
        <v>88</v>
      </c>
      <c r="D4044" s="94" t="s">
        <v>393</v>
      </c>
      <c r="E4044" t="s">
        <v>55</v>
      </c>
      <c r="F4044" t="s">
        <v>551</v>
      </c>
      <c r="G4044" s="50" t="s">
        <v>205</v>
      </c>
      <c r="H4044" s="50">
        <v>2</v>
      </c>
      <c r="I4044" s="100">
        <v>6.7391919697301583</v>
      </c>
      <c r="J4044" s="52">
        <v>3834.68</v>
      </c>
      <c r="K4044" s="67">
        <f t="shared" si="256"/>
        <v>763960.26151237695</v>
      </c>
      <c r="L4044" s="95">
        <f>+VLOOKUP(E4044,MARGEN!A:B,2,FALSE)</f>
        <v>0.1</v>
      </c>
      <c r="M4044" s="112">
        <f t="shared" si="253"/>
        <v>76396.026151237704</v>
      </c>
      <c r="N4044" s="113">
        <f t="shared" si="254"/>
        <v>3055.8410460495079</v>
      </c>
      <c r="O4044" s="113">
        <f t="shared" si="255"/>
        <v>684508.3943150898</v>
      </c>
    </row>
    <row r="4045" spans="1:15" x14ac:dyDescent="0.25">
      <c r="A4045" s="13">
        <v>44456</v>
      </c>
      <c r="B4045" s="97">
        <v>29562</v>
      </c>
      <c r="C4045" t="s">
        <v>88</v>
      </c>
      <c r="D4045" s="94" t="s">
        <v>393</v>
      </c>
      <c r="E4045" t="s">
        <v>55</v>
      </c>
      <c r="F4045" t="s">
        <v>551</v>
      </c>
      <c r="G4045" s="50" t="s">
        <v>205</v>
      </c>
      <c r="H4045" s="50">
        <v>2</v>
      </c>
      <c r="I4045" s="100">
        <v>6.7391919697301583</v>
      </c>
      <c r="J4045" s="52">
        <v>3834.68</v>
      </c>
      <c r="K4045" s="67">
        <f t="shared" si="256"/>
        <v>763960.26151237695</v>
      </c>
      <c r="L4045" s="95">
        <f>+VLOOKUP(E4045,MARGEN!A:B,2,FALSE)</f>
        <v>0.1</v>
      </c>
      <c r="M4045" s="112">
        <f t="shared" si="253"/>
        <v>76396.026151237704</v>
      </c>
      <c r="N4045" s="113">
        <f t="shared" si="254"/>
        <v>3055.8410460495079</v>
      </c>
      <c r="O4045" s="113">
        <f t="shared" si="255"/>
        <v>684508.3943150898</v>
      </c>
    </row>
    <row r="4046" spans="1:15" x14ac:dyDescent="0.25">
      <c r="A4046" s="13">
        <v>44457</v>
      </c>
      <c r="B4046" s="97">
        <v>29562</v>
      </c>
      <c r="C4046" t="s">
        <v>88</v>
      </c>
      <c r="D4046" s="94" t="s">
        <v>393</v>
      </c>
      <c r="E4046" t="s">
        <v>55</v>
      </c>
      <c r="F4046" t="s">
        <v>551</v>
      </c>
      <c r="G4046" s="50" t="s">
        <v>205</v>
      </c>
      <c r="H4046" s="50">
        <v>2</v>
      </c>
      <c r="I4046" s="100">
        <v>6.7391919697301583</v>
      </c>
      <c r="J4046" s="52">
        <v>3834.68</v>
      </c>
      <c r="K4046" s="67">
        <f t="shared" si="256"/>
        <v>763960.26151237695</v>
      </c>
      <c r="L4046" s="95">
        <f>+VLOOKUP(E4046,MARGEN!A:B,2,FALSE)</f>
        <v>0.1</v>
      </c>
      <c r="M4046" s="112">
        <f t="shared" si="253"/>
        <v>76396.026151237704</v>
      </c>
      <c r="N4046" s="113">
        <f t="shared" si="254"/>
        <v>3055.8410460495079</v>
      </c>
      <c r="O4046" s="113">
        <f t="shared" si="255"/>
        <v>684508.3943150898</v>
      </c>
    </row>
    <row r="4047" spans="1:15" x14ac:dyDescent="0.25">
      <c r="A4047" s="13">
        <v>44458</v>
      </c>
      <c r="B4047" s="97">
        <v>29564</v>
      </c>
      <c r="C4047" t="s">
        <v>88</v>
      </c>
      <c r="D4047" s="94" t="s">
        <v>393</v>
      </c>
      <c r="E4047" t="s">
        <v>55</v>
      </c>
      <c r="F4047" t="s">
        <v>558</v>
      </c>
      <c r="G4047" s="50" t="s">
        <v>559</v>
      </c>
      <c r="H4047" s="50">
        <v>2</v>
      </c>
      <c r="I4047" s="100">
        <v>6.7391919697301583</v>
      </c>
      <c r="J4047" s="52">
        <v>3834.68</v>
      </c>
      <c r="K4047" s="67">
        <f t="shared" si="256"/>
        <v>764011.94680170191</v>
      </c>
      <c r="L4047" s="95">
        <f>+VLOOKUP(E4047,MARGEN!A:B,2,FALSE)</f>
        <v>0.1</v>
      </c>
      <c r="M4047" s="112">
        <f t="shared" si="253"/>
        <v>76401.1946801702</v>
      </c>
      <c r="N4047" s="113">
        <f t="shared" si="254"/>
        <v>3056.0477872068077</v>
      </c>
      <c r="O4047" s="113">
        <f t="shared" si="255"/>
        <v>684554.70433432492</v>
      </c>
    </row>
    <row r="4048" spans="1:15" x14ac:dyDescent="0.25">
      <c r="A4048" s="13">
        <v>44459</v>
      </c>
      <c r="B4048" s="97">
        <v>29567</v>
      </c>
      <c r="C4048" t="s">
        <v>88</v>
      </c>
      <c r="D4048" s="94" t="s">
        <v>393</v>
      </c>
      <c r="E4048" t="s">
        <v>55</v>
      </c>
      <c r="F4048" t="s">
        <v>573</v>
      </c>
      <c r="G4048" s="50" t="s">
        <v>574</v>
      </c>
      <c r="H4048" s="50">
        <v>2</v>
      </c>
      <c r="I4048" s="100">
        <v>6.7391919697301583</v>
      </c>
      <c r="J4048" s="52">
        <v>3834.68</v>
      </c>
      <c r="K4048" s="67">
        <f t="shared" si="256"/>
        <v>764089.47473568935</v>
      </c>
      <c r="L4048" s="95">
        <f>+VLOOKUP(E4048,MARGEN!A:B,2,FALSE)</f>
        <v>0.1</v>
      </c>
      <c r="M4048" s="112">
        <f t="shared" si="253"/>
        <v>76408.947473568944</v>
      </c>
      <c r="N4048" s="113">
        <f t="shared" si="254"/>
        <v>3056.3578989427574</v>
      </c>
      <c r="O4048" s="113">
        <f t="shared" si="255"/>
        <v>684624.16936317761</v>
      </c>
    </row>
    <row r="4049" spans="1:15" x14ac:dyDescent="0.25">
      <c r="A4049" s="13">
        <v>44460</v>
      </c>
      <c r="B4049" s="97">
        <v>29567</v>
      </c>
      <c r="C4049" t="s">
        <v>88</v>
      </c>
      <c r="D4049" t="s">
        <v>393</v>
      </c>
      <c r="E4049" t="s">
        <v>55</v>
      </c>
      <c r="F4049" t="s">
        <v>573</v>
      </c>
      <c r="G4049" s="50" t="s">
        <v>574</v>
      </c>
      <c r="H4049" s="50">
        <v>2</v>
      </c>
      <c r="I4049" s="100">
        <v>6.7391919697301583</v>
      </c>
      <c r="J4049" s="52">
        <v>3834.68</v>
      </c>
      <c r="K4049" s="67">
        <f t="shared" si="256"/>
        <v>764089.47473568935</v>
      </c>
      <c r="L4049" s="95">
        <f>+VLOOKUP(E4049,MARGEN!A:B,2,FALSE)</f>
        <v>0.1</v>
      </c>
      <c r="M4049" s="112">
        <f t="shared" si="253"/>
        <v>76408.947473568944</v>
      </c>
      <c r="N4049" s="113">
        <f t="shared" si="254"/>
        <v>3056.3578989427574</v>
      </c>
      <c r="O4049" s="113">
        <f t="shared" si="255"/>
        <v>684624.16936317761</v>
      </c>
    </row>
    <row r="4050" spans="1:15" x14ac:dyDescent="0.25">
      <c r="A4050" s="13">
        <v>44461</v>
      </c>
      <c r="B4050" s="97">
        <v>29567</v>
      </c>
      <c r="C4050" t="s">
        <v>88</v>
      </c>
      <c r="D4050" t="s">
        <v>393</v>
      </c>
      <c r="E4050" t="s">
        <v>55</v>
      </c>
      <c r="F4050" t="s">
        <v>573</v>
      </c>
      <c r="G4050" s="50" t="s">
        <v>574</v>
      </c>
      <c r="H4050" s="50">
        <v>2</v>
      </c>
      <c r="I4050" s="100">
        <v>6.7391919697301583</v>
      </c>
      <c r="J4050" s="52">
        <v>3834.68</v>
      </c>
      <c r="K4050" s="67">
        <f t="shared" si="256"/>
        <v>764089.47473568935</v>
      </c>
      <c r="L4050" s="95">
        <f>+VLOOKUP(E4050,MARGEN!A:B,2,FALSE)</f>
        <v>0.1</v>
      </c>
      <c r="M4050" s="112">
        <f t="shared" si="253"/>
        <v>76408.947473568944</v>
      </c>
      <c r="N4050" s="113">
        <f t="shared" si="254"/>
        <v>3056.3578989427574</v>
      </c>
      <c r="O4050" s="113">
        <f t="shared" si="255"/>
        <v>684624.16936317761</v>
      </c>
    </row>
    <row r="4051" spans="1:15" x14ac:dyDescent="0.25">
      <c r="A4051" s="13">
        <v>44462</v>
      </c>
      <c r="B4051" s="97">
        <v>29567</v>
      </c>
      <c r="C4051" t="s">
        <v>88</v>
      </c>
      <c r="D4051" t="s">
        <v>393</v>
      </c>
      <c r="E4051" t="s">
        <v>55</v>
      </c>
      <c r="F4051" t="s">
        <v>573</v>
      </c>
      <c r="G4051" s="50" t="s">
        <v>574</v>
      </c>
      <c r="H4051" s="50">
        <v>2</v>
      </c>
      <c r="I4051" s="100">
        <v>6.7391919697301583</v>
      </c>
      <c r="J4051" s="52">
        <v>3834.68</v>
      </c>
      <c r="K4051" s="67">
        <f t="shared" si="256"/>
        <v>764089.47473568935</v>
      </c>
      <c r="L4051" s="95">
        <f>+VLOOKUP(E4051,MARGEN!A:B,2,FALSE)</f>
        <v>0.1</v>
      </c>
      <c r="M4051" s="112">
        <f t="shared" si="253"/>
        <v>76408.947473568944</v>
      </c>
      <c r="N4051" s="113">
        <f t="shared" si="254"/>
        <v>3056.3578989427574</v>
      </c>
      <c r="O4051" s="113">
        <f t="shared" si="255"/>
        <v>684624.16936317761</v>
      </c>
    </row>
    <row r="4052" spans="1:15" x14ac:dyDescent="0.25">
      <c r="A4052" s="13">
        <v>44463</v>
      </c>
      <c r="B4052" s="97">
        <v>29567</v>
      </c>
      <c r="C4052" t="s">
        <v>88</v>
      </c>
      <c r="D4052" t="s">
        <v>393</v>
      </c>
      <c r="E4052" t="s">
        <v>55</v>
      </c>
      <c r="F4052" t="s">
        <v>573</v>
      </c>
      <c r="G4052" s="50" t="s">
        <v>574</v>
      </c>
      <c r="H4052" s="50">
        <v>2</v>
      </c>
      <c r="I4052" s="100">
        <v>6.7391919697301583</v>
      </c>
      <c r="J4052" s="52">
        <v>3834.68</v>
      </c>
      <c r="K4052" s="67">
        <f t="shared" si="256"/>
        <v>764089.47473568935</v>
      </c>
      <c r="L4052" s="95">
        <f>+VLOOKUP(E4052,MARGEN!A:B,2,FALSE)</f>
        <v>0.1</v>
      </c>
      <c r="M4052" s="112">
        <f t="shared" si="253"/>
        <v>76408.947473568944</v>
      </c>
      <c r="N4052" s="113">
        <f t="shared" si="254"/>
        <v>3056.3578989427574</v>
      </c>
      <c r="O4052" s="113">
        <f t="shared" si="255"/>
        <v>684624.16936317761</v>
      </c>
    </row>
    <row r="4053" spans="1:15" x14ac:dyDescent="0.25">
      <c r="A4053" s="13">
        <v>44464</v>
      </c>
      <c r="B4053" s="97">
        <v>29567</v>
      </c>
      <c r="C4053" t="s">
        <v>88</v>
      </c>
      <c r="D4053" t="s">
        <v>393</v>
      </c>
      <c r="E4053" t="s">
        <v>55</v>
      </c>
      <c r="F4053" t="s">
        <v>573</v>
      </c>
      <c r="G4053" s="50" t="s">
        <v>574</v>
      </c>
      <c r="H4053" s="50">
        <v>2</v>
      </c>
      <c r="I4053" s="100">
        <v>6.7391919697301583</v>
      </c>
      <c r="J4053" s="52">
        <v>3834.68</v>
      </c>
      <c r="K4053" s="67">
        <f t="shared" si="256"/>
        <v>764089.47473568935</v>
      </c>
      <c r="L4053" s="95">
        <f>+VLOOKUP(E4053,MARGEN!A:B,2,FALSE)</f>
        <v>0.1</v>
      </c>
      <c r="M4053" s="112">
        <f t="shared" si="253"/>
        <v>76408.947473568944</v>
      </c>
      <c r="N4053" s="113">
        <f t="shared" si="254"/>
        <v>3056.3578989427574</v>
      </c>
      <c r="O4053" s="113">
        <f t="shared" si="255"/>
        <v>684624.16936317761</v>
      </c>
    </row>
    <row r="4054" spans="1:15" x14ac:dyDescent="0.25">
      <c r="A4054" s="13">
        <v>44465</v>
      </c>
      <c r="B4054" s="97">
        <v>29567</v>
      </c>
      <c r="C4054" t="s">
        <v>88</v>
      </c>
      <c r="D4054" t="s">
        <v>393</v>
      </c>
      <c r="E4054" t="s">
        <v>55</v>
      </c>
      <c r="F4054" t="s">
        <v>573</v>
      </c>
      <c r="G4054" s="50" t="s">
        <v>574</v>
      </c>
      <c r="H4054" s="50">
        <v>2</v>
      </c>
      <c r="I4054" s="100">
        <v>6.7391919697301583</v>
      </c>
      <c r="J4054" s="52">
        <v>3834.68</v>
      </c>
      <c r="K4054" s="67">
        <f t="shared" si="256"/>
        <v>764089.47473568935</v>
      </c>
      <c r="L4054" s="95">
        <f>+VLOOKUP(E4054,MARGEN!A:B,2,FALSE)</f>
        <v>0.1</v>
      </c>
      <c r="M4054" s="112">
        <f t="shared" si="253"/>
        <v>76408.947473568944</v>
      </c>
      <c r="N4054" s="113">
        <f t="shared" si="254"/>
        <v>3056.3578989427574</v>
      </c>
      <c r="O4054" s="113">
        <f t="shared" si="255"/>
        <v>684624.16936317761</v>
      </c>
    </row>
    <row r="4055" spans="1:15" x14ac:dyDescent="0.25">
      <c r="A4055" s="43">
        <v>44466</v>
      </c>
      <c r="B4055" s="51">
        <v>29567</v>
      </c>
      <c r="C4055" s="66" t="s">
        <v>88</v>
      </c>
      <c r="D4055" s="66" t="s">
        <v>393</v>
      </c>
      <c r="E4055" t="s">
        <v>55</v>
      </c>
      <c r="F4055" s="50" t="s">
        <v>573</v>
      </c>
      <c r="G4055" s="50" t="s">
        <v>574</v>
      </c>
      <c r="H4055" s="50">
        <v>2</v>
      </c>
      <c r="I4055" s="100">
        <v>6.7391919697301583</v>
      </c>
      <c r="J4055" s="52">
        <v>3834.68</v>
      </c>
      <c r="K4055" s="67">
        <f t="shared" si="256"/>
        <v>764089.47473568935</v>
      </c>
      <c r="L4055" s="95">
        <f>+VLOOKUP(E4055,MARGEN!A:B,2,FALSE)</f>
        <v>0.1</v>
      </c>
      <c r="M4055" s="112">
        <f t="shared" si="253"/>
        <v>76408.947473568944</v>
      </c>
      <c r="N4055" s="113">
        <f t="shared" si="254"/>
        <v>3056.3578989427574</v>
      </c>
      <c r="O4055" s="113">
        <f t="shared" si="255"/>
        <v>684624.16936317761</v>
      </c>
    </row>
    <row r="4056" spans="1:15" x14ac:dyDescent="0.25">
      <c r="A4056" s="43">
        <v>44467</v>
      </c>
      <c r="B4056" s="51">
        <v>29567</v>
      </c>
      <c r="C4056" s="66" t="s">
        <v>88</v>
      </c>
      <c r="D4056" s="66" t="s">
        <v>393</v>
      </c>
      <c r="E4056" t="s">
        <v>55</v>
      </c>
      <c r="F4056" s="50" t="s">
        <v>573</v>
      </c>
      <c r="G4056" s="50" t="s">
        <v>574</v>
      </c>
      <c r="H4056" s="50">
        <v>2</v>
      </c>
      <c r="I4056" s="100">
        <v>6.7391919697301583</v>
      </c>
      <c r="J4056" s="52">
        <v>3834.68</v>
      </c>
      <c r="K4056" s="67">
        <f t="shared" si="256"/>
        <v>764089.47473568935</v>
      </c>
      <c r="L4056" s="95">
        <f>+VLOOKUP(E4056,MARGEN!A:B,2,FALSE)</f>
        <v>0.1</v>
      </c>
      <c r="M4056" s="112">
        <f t="shared" si="253"/>
        <v>76408.947473568944</v>
      </c>
      <c r="N4056" s="113">
        <f t="shared" si="254"/>
        <v>3056.3578989427574</v>
      </c>
      <c r="O4056" s="113">
        <f t="shared" si="255"/>
        <v>684624.16936317761</v>
      </c>
    </row>
    <row r="4057" spans="1:15" x14ac:dyDescent="0.25">
      <c r="A4057" s="43">
        <v>44468</v>
      </c>
      <c r="B4057" s="51">
        <v>29567</v>
      </c>
      <c r="C4057" s="66" t="s">
        <v>88</v>
      </c>
      <c r="D4057" s="66" t="s">
        <v>393</v>
      </c>
      <c r="E4057" t="s">
        <v>55</v>
      </c>
      <c r="F4057" s="50" t="s">
        <v>573</v>
      </c>
      <c r="G4057" s="50" t="s">
        <v>574</v>
      </c>
      <c r="H4057" s="50">
        <v>2</v>
      </c>
      <c r="I4057" s="100">
        <v>6.7391919697301583</v>
      </c>
      <c r="J4057" s="52">
        <v>3834.68</v>
      </c>
      <c r="K4057" s="67">
        <f t="shared" si="256"/>
        <v>764089.47473568935</v>
      </c>
      <c r="L4057" s="95">
        <f>+VLOOKUP(E4057,MARGEN!A:B,2,FALSE)</f>
        <v>0.1</v>
      </c>
      <c r="M4057" s="112">
        <f t="shared" si="253"/>
        <v>76408.947473568944</v>
      </c>
      <c r="N4057" s="113">
        <f t="shared" si="254"/>
        <v>3056.3578989427574</v>
      </c>
      <c r="O4057" s="113">
        <f t="shared" si="255"/>
        <v>684624.16936317761</v>
      </c>
    </row>
    <row r="4058" spans="1:15" x14ac:dyDescent="0.25">
      <c r="A4058" s="43">
        <v>44469</v>
      </c>
      <c r="B4058" s="51">
        <v>29567</v>
      </c>
      <c r="C4058" s="66" t="s">
        <v>88</v>
      </c>
      <c r="D4058" s="66" t="s">
        <v>393</v>
      </c>
      <c r="E4058" t="s">
        <v>55</v>
      </c>
      <c r="F4058" s="50" t="s">
        <v>573</v>
      </c>
      <c r="G4058" s="50" t="s">
        <v>574</v>
      </c>
      <c r="H4058" s="50">
        <v>2</v>
      </c>
      <c r="I4058" s="100">
        <v>6.7391919697301583</v>
      </c>
      <c r="J4058" s="52">
        <v>3834.68</v>
      </c>
      <c r="K4058" s="67">
        <f t="shared" si="256"/>
        <v>764089.47473568935</v>
      </c>
      <c r="L4058" s="95">
        <f>+VLOOKUP(E4058,MARGEN!A:B,2,FALSE)</f>
        <v>0.1</v>
      </c>
      <c r="M4058" s="112">
        <f t="shared" si="253"/>
        <v>76408.947473568944</v>
      </c>
      <c r="N4058" s="113">
        <f t="shared" si="254"/>
        <v>3056.3578989427574</v>
      </c>
      <c r="O4058" s="113">
        <f t="shared" si="255"/>
        <v>684624.16936317761</v>
      </c>
    </row>
    <row r="4059" spans="1:15" x14ac:dyDescent="0.25">
      <c r="A4059" s="43">
        <v>44443</v>
      </c>
      <c r="B4059" s="51">
        <v>21839</v>
      </c>
      <c r="C4059" s="66" t="s">
        <v>84</v>
      </c>
      <c r="D4059" s="66" t="s">
        <v>410</v>
      </c>
      <c r="E4059" t="s">
        <v>66</v>
      </c>
      <c r="F4059" s="50" t="s">
        <v>573</v>
      </c>
      <c r="G4059" s="50" t="s">
        <v>574</v>
      </c>
      <c r="H4059" s="50">
        <v>2</v>
      </c>
      <c r="I4059" s="100">
        <v>6.7391919697301583</v>
      </c>
      <c r="J4059" s="52">
        <v>3834.68</v>
      </c>
      <c r="K4059" s="67">
        <f t="shared" si="256"/>
        <v>564377.5167840065</v>
      </c>
      <c r="L4059" s="95">
        <f>+VLOOKUP(E4059,MARGEN!A:B,2,FALSE)</f>
        <v>0.1</v>
      </c>
      <c r="M4059" s="112">
        <f t="shared" si="253"/>
        <v>56437.751678400651</v>
      </c>
      <c r="N4059" s="113">
        <f t="shared" si="254"/>
        <v>2257.510067136026</v>
      </c>
      <c r="O4059" s="113">
        <f t="shared" si="255"/>
        <v>505682.2550384698</v>
      </c>
    </row>
    <row r="4060" spans="1:15" x14ac:dyDescent="0.25">
      <c r="A4060" s="43">
        <v>44443</v>
      </c>
      <c r="B4060" s="51">
        <v>12959</v>
      </c>
      <c r="C4060" s="66" t="s">
        <v>84</v>
      </c>
      <c r="D4060" s="66" t="s">
        <v>548</v>
      </c>
      <c r="E4060" t="s">
        <v>66</v>
      </c>
      <c r="F4060" s="50" t="s">
        <v>573</v>
      </c>
      <c r="G4060" s="50" t="s">
        <v>574</v>
      </c>
      <c r="H4060" s="50">
        <v>2</v>
      </c>
      <c r="I4060" s="100">
        <v>6.7391919697301583</v>
      </c>
      <c r="J4060" s="52">
        <v>3834.68</v>
      </c>
      <c r="K4060" s="67">
        <f t="shared" si="256"/>
        <v>334894.83218114107</v>
      </c>
      <c r="L4060" s="95">
        <f>+VLOOKUP(E4060,MARGEN!A:B,2,FALSE)</f>
        <v>0.1</v>
      </c>
      <c r="M4060" s="112">
        <f t="shared" si="253"/>
        <v>33489.48321811411</v>
      </c>
      <c r="N4060" s="113">
        <f t="shared" si="254"/>
        <v>1339.5793287245642</v>
      </c>
      <c r="O4060" s="113">
        <f t="shared" si="255"/>
        <v>300065.76963430236</v>
      </c>
    </row>
    <row r="4061" spans="1:15" x14ac:dyDescent="0.25">
      <c r="A4061" s="43">
        <v>44444</v>
      </c>
      <c r="B4061" s="51">
        <v>21839</v>
      </c>
      <c r="C4061" s="66" t="s">
        <v>84</v>
      </c>
      <c r="D4061" s="66" t="s">
        <v>410</v>
      </c>
      <c r="E4061" t="s">
        <v>66</v>
      </c>
      <c r="F4061" s="50" t="s">
        <v>573</v>
      </c>
      <c r="G4061" s="50" t="s">
        <v>574</v>
      </c>
      <c r="H4061" s="50">
        <v>2</v>
      </c>
      <c r="I4061" s="100">
        <v>6.7391919697301583</v>
      </c>
      <c r="J4061" s="52">
        <v>3834.68</v>
      </c>
      <c r="K4061" s="67">
        <f t="shared" si="256"/>
        <v>564377.5167840065</v>
      </c>
      <c r="L4061" s="95">
        <f>+VLOOKUP(E4061,MARGEN!A:B,2,FALSE)</f>
        <v>0.1</v>
      </c>
      <c r="M4061" s="112">
        <f t="shared" si="253"/>
        <v>56437.751678400651</v>
      </c>
      <c r="N4061" s="113">
        <f t="shared" si="254"/>
        <v>2257.510067136026</v>
      </c>
      <c r="O4061" s="113">
        <f t="shared" si="255"/>
        <v>505682.2550384698</v>
      </c>
    </row>
    <row r="4062" spans="1:15" x14ac:dyDescent="0.25">
      <c r="A4062" s="43">
        <v>44444</v>
      </c>
      <c r="B4062" s="51">
        <v>12959</v>
      </c>
      <c r="C4062" s="66" t="s">
        <v>84</v>
      </c>
      <c r="D4062" s="66" t="s">
        <v>548</v>
      </c>
      <c r="E4062" t="s">
        <v>66</v>
      </c>
      <c r="F4062" s="50" t="s">
        <v>573</v>
      </c>
      <c r="G4062" s="50" t="s">
        <v>574</v>
      </c>
      <c r="H4062" s="50">
        <v>2</v>
      </c>
      <c r="I4062" s="100">
        <v>6.7391919697301583</v>
      </c>
      <c r="J4062" s="52">
        <v>3834.68</v>
      </c>
      <c r="K4062" s="67">
        <f t="shared" si="256"/>
        <v>334894.83218114107</v>
      </c>
      <c r="L4062" s="95">
        <f>+VLOOKUP(E4062,MARGEN!A:B,2,FALSE)</f>
        <v>0.1</v>
      </c>
      <c r="M4062" s="112">
        <f t="shared" si="253"/>
        <v>33489.48321811411</v>
      </c>
      <c r="N4062" s="113">
        <f t="shared" si="254"/>
        <v>1339.5793287245642</v>
      </c>
      <c r="O4062" s="113">
        <f t="shared" si="255"/>
        <v>300065.76963430236</v>
      </c>
    </row>
    <row r="4063" spans="1:15" x14ac:dyDescent="0.25">
      <c r="A4063" s="43">
        <v>44445</v>
      </c>
      <c r="B4063" s="51">
        <v>21839</v>
      </c>
      <c r="C4063" s="66" t="s">
        <v>84</v>
      </c>
      <c r="D4063" s="66" t="s">
        <v>410</v>
      </c>
      <c r="E4063" t="s">
        <v>66</v>
      </c>
      <c r="F4063" s="50" t="s">
        <v>573</v>
      </c>
      <c r="G4063" s="50" t="s">
        <v>574</v>
      </c>
      <c r="H4063" s="50">
        <v>2</v>
      </c>
      <c r="I4063" s="100">
        <v>6.7391919697301583</v>
      </c>
      <c r="J4063" s="52">
        <v>3834.68</v>
      </c>
      <c r="K4063" s="67">
        <f t="shared" si="256"/>
        <v>564377.5167840065</v>
      </c>
      <c r="L4063" s="95">
        <f>+VLOOKUP(E4063,MARGEN!A:B,2,FALSE)</f>
        <v>0.1</v>
      </c>
      <c r="M4063" s="112">
        <f t="shared" si="253"/>
        <v>56437.751678400651</v>
      </c>
      <c r="N4063" s="113">
        <f t="shared" si="254"/>
        <v>2257.510067136026</v>
      </c>
      <c r="O4063" s="113">
        <f t="shared" si="255"/>
        <v>505682.2550384698</v>
      </c>
    </row>
    <row r="4064" spans="1:15" x14ac:dyDescent="0.25">
      <c r="A4064" s="43">
        <v>44445</v>
      </c>
      <c r="B4064" s="51">
        <v>12959</v>
      </c>
      <c r="C4064" s="66" t="s">
        <v>84</v>
      </c>
      <c r="D4064" s="66" t="s">
        <v>548</v>
      </c>
      <c r="E4064" t="s">
        <v>66</v>
      </c>
      <c r="F4064" s="50" t="s">
        <v>573</v>
      </c>
      <c r="G4064" s="50" t="s">
        <v>574</v>
      </c>
      <c r="H4064" s="50">
        <v>2</v>
      </c>
      <c r="I4064" s="100">
        <v>6.7391919697301583</v>
      </c>
      <c r="J4064" s="52">
        <v>3834.68</v>
      </c>
      <c r="K4064" s="67">
        <f t="shared" si="256"/>
        <v>334894.83218114107</v>
      </c>
      <c r="L4064" s="95">
        <f>+VLOOKUP(E4064,MARGEN!A:B,2,FALSE)</f>
        <v>0.1</v>
      </c>
      <c r="M4064" s="112">
        <f t="shared" si="253"/>
        <v>33489.48321811411</v>
      </c>
      <c r="N4064" s="113">
        <f t="shared" si="254"/>
        <v>1339.5793287245642</v>
      </c>
      <c r="O4064" s="113">
        <f t="shared" si="255"/>
        <v>300065.76963430236</v>
      </c>
    </row>
    <row r="4065" spans="1:15" x14ac:dyDescent="0.25">
      <c r="A4065" s="13">
        <v>44446</v>
      </c>
      <c r="B4065" s="97">
        <v>12958</v>
      </c>
      <c r="C4065" t="s">
        <v>84</v>
      </c>
      <c r="D4065" s="94" t="s">
        <v>548</v>
      </c>
      <c r="E4065" t="s">
        <v>66</v>
      </c>
      <c r="F4065" t="s">
        <v>557</v>
      </c>
      <c r="G4065" s="50" t="s">
        <v>205</v>
      </c>
      <c r="H4065" s="50">
        <v>2</v>
      </c>
      <c r="I4065" s="100">
        <v>6.7391919697301583</v>
      </c>
      <c r="J4065" s="52">
        <v>3834.68</v>
      </c>
      <c r="K4065" s="67">
        <f t="shared" si="256"/>
        <v>334868.98953647859</v>
      </c>
      <c r="L4065" s="95">
        <f>+VLOOKUP(E4065,MARGEN!A:B,2,FALSE)</f>
        <v>0.1</v>
      </c>
      <c r="M4065" s="112">
        <f t="shared" si="253"/>
        <v>33486.898953647862</v>
      </c>
      <c r="N4065" s="113">
        <f t="shared" si="254"/>
        <v>1339.4759581459143</v>
      </c>
      <c r="O4065" s="113">
        <f t="shared" si="255"/>
        <v>300042.61462468479</v>
      </c>
    </row>
    <row r="4066" spans="1:15" x14ac:dyDescent="0.25">
      <c r="A4066" s="13">
        <v>44447</v>
      </c>
      <c r="B4066" s="97">
        <v>12958</v>
      </c>
      <c r="C4066" t="s">
        <v>84</v>
      </c>
      <c r="D4066" s="94" t="s">
        <v>548</v>
      </c>
      <c r="E4066" t="s">
        <v>66</v>
      </c>
      <c r="F4066" t="s">
        <v>558</v>
      </c>
      <c r="G4066" s="50" t="s">
        <v>559</v>
      </c>
      <c r="H4066" s="50">
        <v>2</v>
      </c>
      <c r="I4066" s="100">
        <v>6.7391919697301583</v>
      </c>
      <c r="J4066" s="52">
        <v>3834.68</v>
      </c>
      <c r="K4066" s="67">
        <f t="shared" si="256"/>
        <v>334868.98953647859</v>
      </c>
      <c r="L4066" s="95">
        <f>+VLOOKUP(E4066,MARGEN!A:B,2,FALSE)</f>
        <v>0.1</v>
      </c>
      <c r="M4066" s="112">
        <f t="shared" si="253"/>
        <v>33486.898953647862</v>
      </c>
      <c r="N4066" s="113">
        <f t="shared" si="254"/>
        <v>1339.4759581459143</v>
      </c>
      <c r="O4066" s="113">
        <f t="shared" si="255"/>
        <v>300042.61462468479</v>
      </c>
    </row>
    <row r="4067" spans="1:15" x14ac:dyDescent="0.25">
      <c r="A4067" s="13">
        <v>44448</v>
      </c>
      <c r="B4067" s="97">
        <v>21836</v>
      </c>
      <c r="C4067" t="s">
        <v>84</v>
      </c>
      <c r="D4067" s="94" t="s">
        <v>410</v>
      </c>
      <c r="E4067" t="s">
        <v>66</v>
      </c>
      <c r="F4067" t="s">
        <v>557</v>
      </c>
      <c r="G4067" s="50" t="s">
        <v>205</v>
      </c>
      <c r="H4067" s="50">
        <v>2</v>
      </c>
      <c r="I4067" s="100">
        <v>6.7391919697301583</v>
      </c>
      <c r="J4067" s="52">
        <v>3834.68</v>
      </c>
      <c r="K4067" s="67">
        <f t="shared" si="256"/>
        <v>564299.98885001906</v>
      </c>
      <c r="L4067" s="95">
        <f>+VLOOKUP(E4067,MARGEN!A:B,2,FALSE)</f>
        <v>0.1</v>
      </c>
      <c r="M4067" s="112">
        <f t="shared" si="253"/>
        <v>56429.998885001907</v>
      </c>
      <c r="N4067" s="113">
        <f t="shared" si="254"/>
        <v>2257.1999554000763</v>
      </c>
      <c r="O4067" s="113">
        <f t="shared" si="255"/>
        <v>505612.79000961705</v>
      </c>
    </row>
    <row r="4068" spans="1:15" x14ac:dyDescent="0.25">
      <c r="A4068" s="13">
        <v>44448</v>
      </c>
      <c r="B4068" s="97">
        <v>12958</v>
      </c>
      <c r="C4068" t="s">
        <v>84</v>
      </c>
      <c r="D4068" s="94" t="s">
        <v>548</v>
      </c>
      <c r="E4068" t="s">
        <v>66</v>
      </c>
      <c r="F4068" t="s">
        <v>557</v>
      </c>
      <c r="G4068" s="50" t="s">
        <v>205</v>
      </c>
      <c r="H4068" s="50">
        <v>2</v>
      </c>
      <c r="I4068" s="100">
        <v>6.7391919697301583</v>
      </c>
      <c r="J4068" s="52">
        <v>3834.68</v>
      </c>
      <c r="K4068" s="67">
        <f t="shared" si="256"/>
        <v>334868.98953647859</v>
      </c>
      <c r="L4068" s="95">
        <f>+VLOOKUP(E4068,MARGEN!A:B,2,FALSE)</f>
        <v>0.1</v>
      </c>
      <c r="M4068" s="112">
        <f t="shared" si="253"/>
        <v>33486.898953647862</v>
      </c>
      <c r="N4068" s="113">
        <f t="shared" si="254"/>
        <v>1339.4759581459143</v>
      </c>
      <c r="O4068" s="113">
        <f t="shared" si="255"/>
        <v>300042.61462468479</v>
      </c>
    </row>
    <row r="4069" spans="1:15" x14ac:dyDescent="0.25">
      <c r="A4069" s="13">
        <v>44449</v>
      </c>
      <c r="B4069" s="97">
        <v>21839</v>
      </c>
      <c r="C4069" t="s">
        <v>84</v>
      </c>
      <c r="D4069" s="94" t="s">
        <v>410</v>
      </c>
      <c r="E4069" t="s">
        <v>66</v>
      </c>
      <c r="F4069" t="s">
        <v>573</v>
      </c>
      <c r="G4069" s="50" t="s">
        <v>574</v>
      </c>
      <c r="H4069" s="50">
        <v>2</v>
      </c>
      <c r="I4069" s="100">
        <v>6.7391919697301583</v>
      </c>
      <c r="J4069" s="52">
        <v>3834.68</v>
      </c>
      <c r="K4069" s="67">
        <f t="shared" si="256"/>
        <v>564377.5167840065</v>
      </c>
      <c r="L4069" s="95">
        <f>+VLOOKUP(E4069,MARGEN!A:B,2,FALSE)</f>
        <v>0.1</v>
      </c>
      <c r="M4069" s="112">
        <f t="shared" si="253"/>
        <v>56437.751678400651</v>
      </c>
      <c r="N4069" s="113">
        <f t="shared" si="254"/>
        <v>2257.510067136026</v>
      </c>
      <c r="O4069" s="113">
        <f t="shared" si="255"/>
        <v>505682.2550384698</v>
      </c>
    </row>
    <row r="4070" spans="1:15" x14ac:dyDescent="0.25">
      <c r="A4070" s="13">
        <v>44449</v>
      </c>
      <c r="B4070" s="97">
        <v>12959</v>
      </c>
      <c r="C4070" t="s">
        <v>84</v>
      </c>
      <c r="D4070" s="94" t="s">
        <v>548</v>
      </c>
      <c r="E4070" t="s">
        <v>66</v>
      </c>
      <c r="F4070" t="s">
        <v>573</v>
      </c>
      <c r="G4070" s="50" t="s">
        <v>574</v>
      </c>
      <c r="H4070" s="50">
        <v>2</v>
      </c>
      <c r="I4070" s="100">
        <v>6.7391919697301583</v>
      </c>
      <c r="J4070" s="52">
        <v>3834.68</v>
      </c>
      <c r="K4070" s="67">
        <f t="shared" si="256"/>
        <v>334894.83218114107</v>
      </c>
      <c r="L4070" s="95">
        <f>+VLOOKUP(E4070,MARGEN!A:B,2,FALSE)</f>
        <v>0.1</v>
      </c>
      <c r="M4070" s="112">
        <f t="shared" si="253"/>
        <v>33489.48321811411</v>
      </c>
      <c r="N4070" s="113">
        <f t="shared" si="254"/>
        <v>1339.5793287245642</v>
      </c>
      <c r="O4070" s="113">
        <f t="shared" si="255"/>
        <v>300065.76963430236</v>
      </c>
    </row>
    <row r="4071" spans="1:15" x14ac:dyDescent="0.25">
      <c r="A4071" s="13">
        <v>44450</v>
      </c>
      <c r="B4071" s="97">
        <v>21839</v>
      </c>
      <c r="C4071" t="s">
        <v>84</v>
      </c>
      <c r="D4071" s="94" t="s">
        <v>410</v>
      </c>
      <c r="E4071" t="s">
        <v>66</v>
      </c>
      <c r="F4071" t="s">
        <v>573</v>
      </c>
      <c r="G4071" s="50" t="s">
        <v>574</v>
      </c>
      <c r="H4071" s="50">
        <v>2</v>
      </c>
      <c r="I4071" s="100">
        <v>6.7391919697301583</v>
      </c>
      <c r="J4071" s="52">
        <v>3834.68</v>
      </c>
      <c r="K4071" s="67">
        <f t="shared" si="256"/>
        <v>564377.5167840065</v>
      </c>
      <c r="L4071" s="95">
        <f>+VLOOKUP(E4071,MARGEN!A:B,2,FALSE)</f>
        <v>0.1</v>
      </c>
      <c r="M4071" s="112">
        <f t="shared" si="253"/>
        <v>56437.751678400651</v>
      </c>
      <c r="N4071" s="113">
        <f t="shared" si="254"/>
        <v>2257.510067136026</v>
      </c>
      <c r="O4071" s="113">
        <f t="shared" si="255"/>
        <v>505682.2550384698</v>
      </c>
    </row>
    <row r="4072" spans="1:15" x14ac:dyDescent="0.25">
      <c r="A4072" s="13">
        <v>44450</v>
      </c>
      <c r="B4072" s="97">
        <v>12959</v>
      </c>
      <c r="C4072" t="s">
        <v>84</v>
      </c>
      <c r="D4072" s="94" t="s">
        <v>548</v>
      </c>
      <c r="E4072" t="s">
        <v>66</v>
      </c>
      <c r="F4072" t="s">
        <v>573</v>
      </c>
      <c r="G4072" s="50" t="s">
        <v>574</v>
      </c>
      <c r="H4072" s="50">
        <v>2</v>
      </c>
      <c r="I4072" s="100">
        <v>6.7391919697301583</v>
      </c>
      <c r="J4072" s="52">
        <v>3834.68</v>
      </c>
      <c r="K4072" s="67">
        <f t="shared" si="256"/>
        <v>334894.83218114107</v>
      </c>
      <c r="L4072" s="95">
        <f>+VLOOKUP(E4072,MARGEN!A:B,2,FALSE)</f>
        <v>0.1</v>
      </c>
      <c r="M4072" s="112">
        <f t="shared" si="253"/>
        <v>33489.48321811411</v>
      </c>
      <c r="N4072" s="113">
        <f t="shared" si="254"/>
        <v>1339.5793287245642</v>
      </c>
      <c r="O4072" s="113">
        <f t="shared" si="255"/>
        <v>300065.76963430236</v>
      </c>
    </row>
    <row r="4073" spans="1:15" x14ac:dyDescent="0.25">
      <c r="A4073" s="13">
        <v>44451</v>
      </c>
      <c r="B4073" s="97">
        <v>21836</v>
      </c>
      <c r="C4073" t="s">
        <v>84</v>
      </c>
      <c r="D4073" s="94" t="s">
        <v>410</v>
      </c>
      <c r="E4073" t="s">
        <v>66</v>
      </c>
      <c r="F4073" t="s">
        <v>566</v>
      </c>
      <c r="G4073" s="50" t="s">
        <v>559</v>
      </c>
      <c r="H4073" s="50">
        <v>2</v>
      </c>
      <c r="I4073" s="100">
        <v>6.7391919697301583</v>
      </c>
      <c r="J4073" s="52">
        <v>3834.68</v>
      </c>
      <c r="K4073" s="67">
        <f t="shared" si="256"/>
        <v>564299.98885001906</v>
      </c>
      <c r="L4073" s="95">
        <f>+VLOOKUP(E4073,MARGEN!A:B,2,FALSE)</f>
        <v>0.1</v>
      </c>
      <c r="M4073" s="112">
        <f t="shared" si="253"/>
        <v>56429.998885001907</v>
      </c>
      <c r="N4073" s="113">
        <f t="shared" si="254"/>
        <v>2257.1999554000763</v>
      </c>
      <c r="O4073" s="113">
        <f t="shared" si="255"/>
        <v>505612.79000961705</v>
      </c>
    </row>
    <row r="4074" spans="1:15" x14ac:dyDescent="0.25">
      <c r="A4074" s="13">
        <v>44451</v>
      </c>
      <c r="B4074" s="97">
        <v>12958</v>
      </c>
      <c r="C4074" t="s">
        <v>84</v>
      </c>
      <c r="D4074" s="94" t="s">
        <v>548</v>
      </c>
      <c r="E4074" t="s">
        <v>66</v>
      </c>
      <c r="F4074" t="s">
        <v>566</v>
      </c>
      <c r="G4074" s="50" t="s">
        <v>559</v>
      </c>
      <c r="H4074" s="50">
        <v>2</v>
      </c>
      <c r="I4074" s="100">
        <v>6.7391919697301583</v>
      </c>
      <c r="J4074" s="52">
        <v>3834.68</v>
      </c>
      <c r="K4074" s="67">
        <f t="shared" si="256"/>
        <v>334868.98953647859</v>
      </c>
      <c r="L4074" s="95">
        <f>+VLOOKUP(E4074,MARGEN!A:B,2,FALSE)</f>
        <v>0.1</v>
      </c>
      <c r="M4074" s="112">
        <f t="shared" si="253"/>
        <v>33486.898953647862</v>
      </c>
      <c r="N4074" s="113">
        <f t="shared" si="254"/>
        <v>1339.4759581459143</v>
      </c>
      <c r="O4074" s="113">
        <f t="shared" si="255"/>
        <v>300042.61462468479</v>
      </c>
    </row>
    <row r="4075" spans="1:15" x14ac:dyDescent="0.25">
      <c r="A4075" s="13">
        <v>44452</v>
      </c>
      <c r="B4075" s="97">
        <v>21836</v>
      </c>
      <c r="C4075" t="s">
        <v>84</v>
      </c>
      <c r="D4075" s="94" t="s">
        <v>410</v>
      </c>
      <c r="E4075" t="s">
        <v>66</v>
      </c>
      <c r="F4075" t="s">
        <v>566</v>
      </c>
      <c r="G4075" s="50" t="s">
        <v>559</v>
      </c>
      <c r="H4075" s="50">
        <v>2</v>
      </c>
      <c r="I4075" s="100">
        <v>6.7391919697301583</v>
      </c>
      <c r="J4075" s="52">
        <v>3834.68</v>
      </c>
      <c r="K4075" s="67">
        <f t="shared" si="256"/>
        <v>564299.98885001906</v>
      </c>
      <c r="L4075" s="95">
        <f>+VLOOKUP(E4075,MARGEN!A:B,2,FALSE)</f>
        <v>0.1</v>
      </c>
      <c r="M4075" s="112">
        <f t="shared" si="253"/>
        <v>56429.998885001907</v>
      </c>
      <c r="N4075" s="113">
        <f t="shared" si="254"/>
        <v>2257.1999554000763</v>
      </c>
      <c r="O4075" s="113">
        <f t="shared" si="255"/>
        <v>505612.79000961705</v>
      </c>
    </row>
    <row r="4076" spans="1:15" x14ac:dyDescent="0.25">
      <c r="A4076" s="13">
        <v>44452</v>
      </c>
      <c r="B4076" s="97">
        <v>12958</v>
      </c>
      <c r="C4076" t="s">
        <v>84</v>
      </c>
      <c r="D4076" s="94" t="s">
        <v>548</v>
      </c>
      <c r="E4076" t="s">
        <v>66</v>
      </c>
      <c r="F4076" t="s">
        <v>566</v>
      </c>
      <c r="G4076" s="50" t="s">
        <v>559</v>
      </c>
      <c r="H4076" s="50">
        <v>2</v>
      </c>
      <c r="I4076" s="100">
        <v>6.7391919697301583</v>
      </c>
      <c r="J4076" s="52">
        <v>3834.68</v>
      </c>
      <c r="K4076" s="67">
        <f t="shared" si="256"/>
        <v>334868.98953647859</v>
      </c>
      <c r="L4076" s="95">
        <f>+VLOOKUP(E4076,MARGEN!A:B,2,FALSE)</f>
        <v>0.1</v>
      </c>
      <c r="M4076" s="112">
        <f t="shared" si="253"/>
        <v>33486.898953647862</v>
      </c>
      <c r="N4076" s="113">
        <f t="shared" si="254"/>
        <v>1339.4759581459143</v>
      </c>
      <c r="O4076" s="113">
        <f t="shared" si="255"/>
        <v>300042.61462468479</v>
      </c>
    </row>
    <row r="4077" spans="1:15" x14ac:dyDescent="0.25">
      <c r="A4077" s="13">
        <v>44453</v>
      </c>
      <c r="B4077" s="97">
        <v>21836</v>
      </c>
      <c r="C4077" t="s">
        <v>84</v>
      </c>
      <c r="D4077" s="94" t="s">
        <v>410</v>
      </c>
      <c r="E4077" t="s">
        <v>66</v>
      </c>
      <c r="F4077" t="s">
        <v>566</v>
      </c>
      <c r="G4077" s="50" t="s">
        <v>559</v>
      </c>
      <c r="H4077" s="50">
        <v>2</v>
      </c>
      <c r="I4077" s="100">
        <v>6.7391919697301583</v>
      </c>
      <c r="J4077" s="52">
        <v>3834.68</v>
      </c>
      <c r="K4077" s="67">
        <f t="shared" si="256"/>
        <v>564299.98885001906</v>
      </c>
      <c r="L4077" s="95">
        <f>+VLOOKUP(E4077,MARGEN!A:B,2,FALSE)</f>
        <v>0.1</v>
      </c>
      <c r="M4077" s="112">
        <f t="shared" si="253"/>
        <v>56429.998885001907</v>
      </c>
      <c r="N4077" s="113">
        <f t="shared" si="254"/>
        <v>2257.1999554000763</v>
      </c>
      <c r="O4077" s="113">
        <f t="shared" si="255"/>
        <v>505612.79000961705</v>
      </c>
    </row>
    <row r="4078" spans="1:15" x14ac:dyDescent="0.25">
      <c r="A4078" s="13">
        <v>44453</v>
      </c>
      <c r="B4078" s="97">
        <v>12958</v>
      </c>
      <c r="C4078" t="s">
        <v>84</v>
      </c>
      <c r="D4078" s="94" t="s">
        <v>548</v>
      </c>
      <c r="E4078" t="s">
        <v>66</v>
      </c>
      <c r="F4078" t="s">
        <v>566</v>
      </c>
      <c r="G4078" s="50" t="s">
        <v>559</v>
      </c>
      <c r="H4078" s="50">
        <v>2</v>
      </c>
      <c r="I4078" s="100">
        <v>6.7391919697301583</v>
      </c>
      <c r="J4078" s="52">
        <v>3834.68</v>
      </c>
      <c r="K4078" s="67">
        <f t="shared" si="256"/>
        <v>334868.98953647859</v>
      </c>
      <c r="L4078" s="95">
        <f>+VLOOKUP(E4078,MARGEN!A:B,2,FALSE)</f>
        <v>0.1</v>
      </c>
      <c r="M4078" s="112">
        <f t="shared" si="253"/>
        <v>33486.898953647862</v>
      </c>
      <c r="N4078" s="113">
        <f t="shared" si="254"/>
        <v>1339.4759581459143</v>
      </c>
      <c r="O4078" s="113">
        <f t="shared" si="255"/>
        <v>300042.61462468479</v>
      </c>
    </row>
    <row r="4079" spans="1:15" x14ac:dyDescent="0.25">
      <c r="A4079" s="13">
        <v>44461</v>
      </c>
      <c r="B4079" s="97">
        <v>21839</v>
      </c>
      <c r="C4079" t="s">
        <v>84</v>
      </c>
      <c r="D4079" t="s">
        <v>410</v>
      </c>
      <c r="E4079" t="s">
        <v>66</v>
      </c>
      <c r="F4079" t="s">
        <v>573</v>
      </c>
      <c r="G4079" s="50" t="s">
        <v>574</v>
      </c>
      <c r="H4079" s="50">
        <v>2</v>
      </c>
      <c r="I4079" s="100">
        <v>6.7391919697301583</v>
      </c>
      <c r="J4079" s="52">
        <v>3834.68</v>
      </c>
      <c r="K4079" s="67">
        <f t="shared" si="256"/>
        <v>564377.5167840065</v>
      </c>
      <c r="L4079" s="95">
        <f>+VLOOKUP(E4079,MARGEN!A:B,2,FALSE)</f>
        <v>0.1</v>
      </c>
      <c r="M4079" s="112">
        <f t="shared" si="253"/>
        <v>56437.751678400651</v>
      </c>
      <c r="N4079" s="113">
        <f t="shared" si="254"/>
        <v>2257.510067136026</v>
      </c>
      <c r="O4079" s="113">
        <f t="shared" si="255"/>
        <v>505682.2550384698</v>
      </c>
    </row>
    <row r="4080" spans="1:15" x14ac:dyDescent="0.25">
      <c r="A4080" s="13">
        <v>44461</v>
      </c>
      <c r="B4080" s="97">
        <v>12959</v>
      </c>
      <c r="C4080" t="s">
        <v>84</v>
      </c>
      <c r="D4080" t="s">
        <v>548</v>
      </c>
      <c r="E4080" t="s">
        <v>66</v>
      </c>
      <c r="F4080" t="s">
        <v>573</v>
      </c>
      <c r="G4080" s="50" t="s">
        <v>574</v>
      </c>
      <c r="H4080" s="50">
        <v>2</v>
      </c>
      <c r="I4080" s="100">
        <v>6.7391919697301583</v>
      </c>
      <c r="J4080" s="52">
        <v>3834.68</v>
      </c>
      <c r="K4080" s="67">
        <f t="shared" si="256"/>
        <v>334894.83218114107</v>
      </c>
      <c r="L4080" s="95">
        <f>+VLOOKUP(E4080,MARGEN!A:B,2,FALSE)</f>
        <v>0.1</v>
      </c>
      <c r="M4080" s="112">
        <f t="shared" si="253"/>
        <v>33489.48321811411</v>
      </c>
      <c r="N4080" s="113">
        <f t="shared" si="254"/>
        <v>1339.5793287245642</v>
      </c>
      <c r="O4080" s="113">
        <f t="shared" si="255"/>
        <v>300065.76963430236</v>
      </c>
    </row>
    <row r="4081" spans="1:15" x14ac:dyDescent="0.25">
      <c r="A4081" s="13">
        <v>44462</v>
      </c>
      <c r="B4081" s="97">
        <v>21839</v>
      </c>
      <c r="C4081" t="s">
        <v>84</v>
      </c>
      <c r="D4081" t="s">
        <v>410</v>
      </c>
      <c r="E4081" t="s">
        <v>66</v>
      </c>
      <c r="F4081" t="s">
        <v>573</v>
      </c>
      <c r="G4081" s="50" t="s">
        <v>574</v>
      </c>
      <c r="H4081" s="50">
        <v>2</v>
      </c>
      <c r="I4081" s="100">
        <v>6.7391919697301583</v>
      </c>
      <c r="J4081" s="52">
        <v>3834.68</v>
      </c>
      <c r="K4081" s="67">
        <f t="shared" si="256"/>
        <v>564377.5167840065</v>
      </c>
      <c r="L4081" s="95">
        <f>+VLOOKUP(E4081,MARGEN!A:B,2,FALSE)</f>
        <v>0.1</v>
      </c>
      <c r="M4081" s="112">
        <f t="shared" si="253"/>
        <v>56437.751678400651</v>
      </c>
      <c r="N4081" s="113">
        <f t="shared" si="254"/>
        <v>2257.510067136026</v>
      </c>
      <c r="O4081" s="113">
        <f t="shared" si="255"/>
        <v>505682.2550384698</v>
      </c>
    </row>
    <row r="4082" spans="1:15" x14ac:dyDescent="0.25">
      <c r="A4082" s="13">
        <v>44462</v>
      </c>
      <c r="B4082" s="97">
        <v>12959</v>
      </c>
      <c r="C4082" t="s">
        <v>84</v>
      </c>
      <c r="D4082" t="s">
        <v>548</v>
      </c>
      <c r="E4082" t="s">
        <v>66</v>
      </c>
      <c r="F4082" t="s">
        <v>573</v>
      </c>
      <c r="G4082" s="50" t="s">
        <v>574</v>
      </c>
      <c r="H4082" s="50">
        <v>2</v>
      </c>
      <c r="I4082" s="100">
        <v>6.7391919697301583</v>
      </c>
      <c r="J4082" s="52">
        <v>3834.68</v>
      </c>
      <c r="K4082" s="67">
        <f t="shared" si="256"/>
        <v>334894.83218114107</v>
      </c>
      <c r="L4082" s="95">
        <f>+VLOOKUP(E4082,MARGEN!A:B,2,FALSE)</f>
        <v>0.1</v>
      </c>
      <c r="M4082" s="112">
        <f t="shared" si="253"/>
        <v>33489.48321811411</v>
      </c>
      <c r="N4082" s="113">
        <f t="shared" si="254"/>
        <v>1339.5793287245642</v>
      </c>
      <c r="O4082" s="113">
        <f t="shared" si="255"/>
        <v>300065.76963430236</v>
      </c>
    </row>
    <row r="4083" spans="1:15" x14ac:dyDescent="0.25">
      <c r="A4083" s="13">
        <v>44463</v>
      </c>
      <c r="B4083" s="97">
        <v>21839</v>
      </c>
      <c r="C4083" t="s">
        <v>84</v>
      </c>
      <c r="D4083" t="s">
        <v>410</v>
      </c>
      <c r="E4083" t="s">
        <v>66</v>
      </c>
      <c r="F4083" t="s">
        <v>573</v>
      </c>
      <c r="G4083" s="50" t="s">
        <v>574</v>
      </c>
      <c r="H4083" s="50">
        <v>2</v>
      </c>
      <c r="I4083" s="100">
        <v>6.7391919697301583</v>
      </c>
      <c r="J4083" s="52">
        <v>3834.68</v>
      </c>
      <c r="K4083" s="67">
        <f t="shared" si="256"/>
        <v>564377.5167840065</v>
      </c>
      <c r="L4083" s="95">
        <f>+VLOOKUP(E4083,MARGEN!A:B,2,FALSE)</f>
        <v>0.1</v>
      </c>
      <c r="M4083" s="112">
        <f t="shared" si="253"/>
        <v>56437.751678400651</v>
      </c>
      <c r="N4083" s="113">
        <f t="shared" si="254"/>
        <v>2257.510067136026</v>
      </c>
      <c r="O4083" s="113">
        <f t="shared" si="255"/>
        <v>505682.2550384698</v>
      </c>
    </row>
    <row r="4084" spans="1:15" x14ac:dyDescent="0.25">
      <c r="A4084" s="43">
        <v>44463</v>
      </c>
      <c r="B4084" s="97">
        <v>12959</v>
      </c>
      <c r="C4084" s="88" t="s">
        <v>84</v>
      </c>
      <c r="D4084" s="88" t="s">
        <v>548</v>
      </c>
      <c r="E4084" t="s">
        <v>66</v>
      </c>
      <c r="F4084" s="88" t="s">
        <v>573</v>
      </c>
      <c r="G4084" s="50" t="s">
        <v>574</v>
      </c>
      <c r="H4084" s="50">
        <v>2</v>
      </c>
      <c r="I4084" s="100">
        <v>6.7391919697301583</v>
      </c>
      <c r="J4084" s="52">
        <v>3834.68</v>
      </c>
      <c r="K4084" s="67">
        <f t="shared" si="256"/>
        <v>334894.83218114107</v>
      </c>
      <c r="L4084" s="95">
        <f>+VLOOKUP(E4084,MARGEN!A:B,2,FALSE)</f>
        <v>0.1</v>
      </c>
      <c r="M4084" s="112">
        <f t="shared" si="253"/>
        <v>33489.48321811411</v>
      </c>
      <c r="N4084" s="113">
        <f t="shared" si="254"/>
        <v>1339.5793287245642</v>
      </c>
      <c r="O4084" s="113">
        <f t="shared" si="255"/>
        <v>300065.76963430236</v>
      </c>
    </row>
    <row r="4085" spans="1:15" x14ac:dyDescent="0.25">
      <c r="A4085" s="13">
        <v>44464</v>
      </c>
      <c r="B4085" s="97">
        <v>21839</v>
      </c>
      <c r="C4085" t="s">
        <v>84</v>
      </c>
      <c r="D4085" t="s">
        <v>410</v>
      </c>
      <c r="E4085" t="s">
        <v>66</v>
      </c>
      <c r="F4085" t="s">
        <v>573</v>
      </c>
      <c r="G4085" s="50" t="s">
        <v>574</v>
      </c>
      <c r="H4085" s="50">
        <v>2</v>
      </c>
      <c r="I4085" s="100">
        <v>6.7391919697301583</v>
      </c>
      <c r="J4085" s="52">
        <v>3834.68</v>
      </c>
      <c r="K4085" s="67">
        <f t="shared" si="256"/>
        <v>564377.5167840065</v>
      </c>
      <c r="L4085" s="95">
        <f>+VLOOKUP(E4085,MARGEN!A:B,2,FALSE)</f>
        <v>0.1</v>
      </c>
      <c r="M4085" s="112">
        <f t="shared" si="253"/>
        <v>56437.751678400651</v>
      </c>
      <c r="N4085" s="113">
        <f t="shared" si="254"/>
        <v>2257.510067136026</v>
      </c>
      <c r="O4085" s="113">
        <f t="shared" si="255"/>
        <v>505682.2550384698</v>
      </c>
    </row>
    <row r="4086" spans="1:15" x14ac:dyDescent="0.25">
      <c r="A4086" s="13">
        <v>44464</v>
      </c>
      <c r="B4086" s="97">
        <v>12959</v>
      </c>
      <c r="C4086" t="s">
        <v>84</v>
      </c>
      <c r="D4086" t="s">
        <v>548</v>
      </c>
      <c r="E4086" t="s">
        <v>66</v>
      </c>
      <c r="F4086" t="s">
        <v>573</v>
      </c>
      <c r="G4086" s="50" t="s">
        <v>574</v>
      </c>
      <c r="H4086" s="50">
        <v>2</v>
      </c>
      <c r="I4086" s="100">
        <v>6.7391919697301583</v>
      </c>
      <c r="J4086" s="52">
        <v>3834.68</v>
      </c>
      <c r="K4086" s="67">
        <f t="shared" si="256"/>
        <v>334894.83218114107</v>
      </c>
      <c r="L4086" s="95">
        <f>+VLOOKUP(E4086,MARGEN!A:B,2,FALSE)</f>
        <v>0.1</v>
      </c>
      <c r="M4086" s="112">
        <f t="shared" si="253"/>
        <v>33489.48321811411</v>
      </c>
      <c r="N4086" s="113">
        <f t="shared" si="254"/>
        <v>1339.5793287245642</v>
      </c>
      <c r="O4086" s="113">
        <f t="shared" si="255"/>
        <v>300065.76963430236</v>
      </c>
    </row>
    <row r="4087" spans="1:15" x14ac:dyDescent="0.25">
      <c r="A4087" s="43">
        <v>44465</v>
      </c>
      <c r="B4087" s="51">
        <v>21839</v>
      </c>
      <c r="C4087" s="66" t="s">
        <v>84</v>
      </c>
      <c r="D4087" s="66" t="s">
        <v>410</v>
      </c>
      <c r="E4087" t="s">
        <v>66</v>
      </c>
      <c r="F4087" s="50" t="s">
        <v>573</v>
      </c>
      <c r="G4087" s="50" t="s">
        <v>574</v>
      </c>
      <c r="H4087" s="50">
        <v>2</v>
      </c>
      <c r="I4087" s="100">
        <v>6.7391919697301583</v>
      </c>
      <c r="J4087" s="52">
        <v>3834.68</v>
      </c>
      <c r="K4087" s="67">
        <f t="shared" si="256"/>
        <v>564377.5167840065</v>
      </c>
      <c r="L4087" s="95">
        <f>+VLOOKUP(E4087,MARGEN!A:B,2,FALSE)</f>
        <v>0.1</v>
      </c>
      <c r="M4087" s="112">
        <f t="shared" si="253"/>
        <v>56437.751678400651</v>
      </c>
      <c r="N4087" s="113">
        <f t="shared" si="254"/>
        <v>2257.510067136026</v>
      </c>
      <c r="O4087" s="113">
        <f t="shared" si="255"/>
        <v>505682.2550384698</v>
      </c>
    </row>
    <row r="4088" spans="1:15" x14ac:dyDescent="0.25">
      <c r="A4088" s="43">
        <v>44465</v>
      </c>
      <c r="B4088" s="51">
        <v>12959</v>
      </c>
      <c r="C4088" s="66" t="s">
        <v>84</v>
      </c>
      <c r="D4088" s="66" t="s">
        <v>548</v>
      </c>
      <c r="E4088" t="s">
        <v>66</v>
      </c>
      <c r="F4088" s="50" t="s">
        <v>573</v>
      </c>
      <c r="G4088" s="50" t="s">
        <v>574</v>
      </c>
      <c r="H4088" s="50">
        <v>2</v>
      </c>
      <c r="I4088" s="100">
        <v>6.7391919697301583</v>
      </c>
      <c r="J4088" s="52">
        <v>3834.68</v>
      </c>
      <c r="K4088" s="67">
        <f t="shared" si="256"/>
        <v>334894.83218114107</v>
      </c>
      <c r="L4088" s="95">
        <f>+VLOOKUP(E4088,MARGEN!A:B,2,FALSE)</f>
        <v>0.1</v>
      </c>
      <c r="M4088" s="112">
        <f t="shared" si="253"/>
        <v>33489.48321811411</v>
      </c>
      <c r="N4088" s="113">
        <f t="shared" si="254"/>
        <v>1339.5793287245642</v>
      </c>
      <c r="O4088" s="113">
        <f t="shared" si="255"/>
        <v>300065.76963430236</v>
      </c>
    </row>
    <row r="4089" spans="1:15" x14ac:dyDescent="0.25">
      <c r="A4089" s="43">
        <v>44466</v>
      </c>
      <c r="B4089" s="51">
        <v>21839</v>
      </c>
      <c r="C4089" s="66" t="s">
        <v>84</v>
      </c>
      <c r="D4089" s="66" t="s">
        <v>410</v>
      </c>
      <c r="E4089" t="s">
        <v>66</v>
      </c>
      <c r="F4089" s="50" t="s">
        <v>573</v>
      </c>
      <c r="G4089" s="50" t="s">
        <v>574</v>
      </c>
      <c r="H4089" s="50">
        <v>2</v>
      </c>
      <c r="I4089" s="100">
        <v>6.7391919697301583</v>
      </c>
      <c r="J4089" s="52">
        <v>3834.68</v>
      </c>
      <c r="K4089" s="67">
        <f t="shared" si="256"/>
        <v>564377.5167840065</v>
      </c>
      <c r="L4089" s="95">
        <f>+VLOOKUP(E4089,MARGEN!A:B,2,FALSE)</f>
        <v>0.1</v>
      </c>
      <c r="M4089" s="112">
        <f t="shared" si="253"/>
        <v>56437.751678400651</v>
      </c>
      <c r="N4089" s="113">
        <f t="shared" si="254"/>
        <v>2257.510067136026</v>
      </c>
      <c r="O4089" s="113">
        <f t="shared" si="255"/>
        <v>505682.2550384698</v>
      </c>
    </row>
    <row r="4090" spans="1:15" x14ac:dyDescent="0.25">
      <c r="A4090" s="43">
        <v>44466</v>
      </c>
      <c r="B4090" s="51">
        <v>12959</v>
      </c>
      <c r="C4090" s="66" t="s">
        <v>84</v>
      </c>
      <c r="D4090" s="66" t="s">
        <v>548</v>
      </c>
      <c r="E4090" t="s">
        <v>66</v>
      </c>
      <c r="F4090" s="50" t="s">
        <v>573</v>
      </c>
      <c r="G4090" s="50" t="s">
        <v>574</v>
      </c>
      <c r="H4090" s="50">
        <v>2</v>
      </c>
      <c r="I4090" s="100">
        <v>6.7391919697301583</v>
      </c>
      <c r="J4090" s="52">
        <v>3834.68</v>
      </c>
      <c r="K4090" s="67">
        <f t="shared" si="256"/>
        <v>334894.83218114107</v>
      </c>
      <c r="L4090" s="95">
        <f>+VLOOKUP(E4090,MARGEN!A:B,2,FALSE)</f>
        <v>0.1</v>
      </c>
      <c r="M4090" s="112">
        <f t="shared" si="253"/>
        <v>33489.48321811411</v>
      </c>
      <c r="N4090" s="113">
        <f t="shared" si="254"/>
        <v>1339.5793287245642</v>
      </c>
      <c r="O4090" s="113">
        <f t="shared" si="255"/>
        <v>300065.76963430236</v>
      </c>
    </row>
    <row r="4091" spans="1:15" x14ac:dyDescent="0.25">
      <c r="A4091" s="13">
        <v>44467</v>
      </c>
      <c r="B4091" s="97">
        <v>21835</v>
      </c>
      <c r="C4091" t="s">
        <v>84</v>
      </c>
      <c r="D4091" s="94" t="s">
        <v>410</v>
      </c>
      <c r="E4091" t="s">
        <v>66</v>
      </c>
      <c r="F4091" t="s">
        <v>551</v>
      </c>
      <c r="G4091" s="50" t="s">
        <v>205</v>
      </c>
      <c r="H4091" s="50">
        <v>2</v>
      </c>
      <c r="I4091" s="100">
        <v>6.7391919697301583</v>
      </c>
      <c r="J4091" s="52">
        <v>3834.68</v>
      </c>
      <c r="K4091" s="67">
        <f t="shared" si="256"/>
        <v>564274.14620535658</v>
      </c>
      <c r="L4091" s="95">
        <f>+VLOOKUP(E4091,MARGEN!A:B,2,FALSE)</f>
        <v>0.1</v>
      </c>
      <c r="M4091" s="112">
        <f t="shared" si="253"/>
        <v>56427.414620535659</v>
      </c>
      <c r="N4091" s="113">
        <f t="shared" si="254"/>
        <v>2257.0965848214264</v>
      </c>
      <c r="O4091" s="113">
        <f t="shared" si="255"/>
        <v>505589.63499999949</v>
      </c>
    </row>
    <row r="4092" spans="1:15" x14ac:dyDescent="0.25">
      <c r="A4092" s="13">
        <v>44467</v>
      </c>
      <c r="B4092" s="97">
        <v>12957</v>
      </c>
      <c r="C4092" t="s">
        <v>84</v>
      </c>
      <c r="D4092" s="94" t="s">
        <v>548</v>
      </c>
      <c r="E4092" t="s">
        <v>66</v>
      </c>
      <c r="F4092" t="s">
        <v>551</v>
      </c>
      <c r="G4092" s="50" t="s">
        <v>205</v>
      </c>
      <c r="H4092" s="50">
        <v>2</v>
      </c>
      <c r="I4092" s="100">
        <v>6.7391919697301583</v>
      </c>
      <c r="J4092" s="52">
        <v>3834.68</v>
      </c>
      <c r="K4092" s="67">
        <f t="shared" si="256"/>
        <v>334843.14689181605</v>
      </c>
      <c r="L4092" s="95">
        <f>+VLOOKUP(E4092,MARGEN!A:B,2,FALSE)</f>
        <v>0.1</v>
      </c>
      <c r="M4092" s="112">
        <f t="shared" si="253"/>
        <v>33484.314689181607</v>
      </c>
      <c r="N4092" s="113">
        <f t="shared" si="254"/>
        <v>1339.3725875672642</v>
      </c>
      <c r="O4092" s="113">
        <f t="shared" si="255"/>
        <v>300019.45961506717</v>
      </c>
    </row>
    <row r="4093" spans="1:15" x14ac:dyDescent="0.25">
      <c r="A4093" s="13">
        <v>44468</v>
      </c>
      <c r="B4093" s="51">
        <v>21835</v>
      </c>
      <c r="C4093" s="66" t="s">
        <v>84</v>
      </c>
      <c r="D4093" s="66" t="s">
        <v>410</v>
      </c>
      <c r="E4093" t="s">
        <v>66</v>
      </c>
      <c r="F4093" s="50" t="s">
        <v>551</v>
      </c>
      <c r="G4093" s="50" t="s">
        <v>205</v>
      </c>
      <c r="H4093" s="50">
        <v>2</v>
      </c>
      <c r="I4093" s="100">
        <v>6.7391919697301583</v>
      </c>
      <c r="J4093" s="52">
        <v>3834.68</v>
      </c>
      <c r="K4093" s="67">
        <f t="shared" si="256"/>
        <v>564274.14620535658</v>
      </c>
      <c r="L4093" s="95">
        <f>+VLOOKUP(E4093,MARGEN!A:B,2,FALSE)</f>
        <v>0.1</v>
      </c>
      <c r="M4093" s="112">
        <f t="shared" si="253"/>
        <v>56427.414620535659</v>
      </c>
      <c r="N4093" s="113">
        <f t="shared" si="254"/>
        <v>2257.0965848214264</v>
      </c>
      <c r="O4093" s="113">
        <f t="shared" si="255"/>
        <v>505589.63499999949</v>
      </c>
    </row>
    <row r="4094" spans="1:15" x14ac:dyDescent="0.25">
      <c r="A4094" s="13">
        <v>44468</v>
      </c>
      <c r="B4094" s="97">
        <v>12957</v>
      </c>
      <c r="C4094" t="s">
        <v>84</v>
      </c>
      <c r="D4094" s="94" t="s">
        <v>548</v>
      </c>
      <c r="E4094" t="s">
        <v>66</v>
      </c>
      <c r="F4094" t="s">
        <v>551</v>
      </c>
      <c r="G4094" s="50" t="s">
        <v>205</v>
      </c>
      <c r="H4094" s="50">
        <v>2</v>
      </c>
      <c r="I4094" s="100">
        <v>6.7391919697301583</v>
      </c>
      <c r="J4094" s="52">
        <v>3834.68</v>
      </c>
      <c r="K4094" s="67">
        <f t="shared" si="256"/>
        <v>334843.14689181605</v>
      </c>
      <c r="L4094" s="95">
        <f>+VLOOKUP(E4094,MARGEN!A:B,2,FALSE)</f>
        <v>0.1</v>
      </c>
      <c r="M4094" s="112">
        <f t="shared" si="253"/>
        <v>33484.314689181607</v>
      </c>
      <c r="N4094" s="113">
        <f t="shared" si="254"/>
        <v>1339.3725875672642</v>
      </c>
      <c r="O4094" s="113">
        <f t="shared" si="255"/>
        <v>300019.45961506717</v>
      </c>
    </row>
    <row r="4095" spans="1:15" x14ac:dyDescent="0.25">
      <c r="A4095" s="13">
        <v>44469</v>
      </c>
      <c r="B4095" s="97">
        <v>21836</v>
      </c>
      <c r="C4095" t="s">
        <v>84</v>
      </c>
      <c r="D4095" s="94" t="s">
        <v>410</v>
      </c>
      <c r="E4095" t="s">
        <v>66</v>
      </c>
      <c r="F4095" t="s">
        <v>566</v>
      </c>
      <c r="G4095" s="50" t="s">
        <v>559</v>
      </c>
      <c r="H4095" s="50">
        <v>2</v>
      </c>
      <c r="I4095" s="100">
        <v>6.7391919697301583</v>
      </c>
      <c r="J4095" s="52">
        <v>3834.68</v>
      </c>
      <c r="K4095" s="67">
        <f t="shared" si="256"/>
        <v>564299.98885001906</v>
      </c>
      <c r="L4095" s="95">
        <f>+VLOOKUP(E4095,MARGEN!A:B,2,FALSE)</f>
        <v>0.1</v>
      </c>
      <c r="M4095" s="112">
        <f t="shared" si="253"/>
        <v>56429.998885001907</v>
      </c>
      <c r="N4095" s="113">
        <f t="shared" si="254"/>
        <v>2257.1999554000763</v>
      </c>
      <c r="O4095" s="113">
        <f t="shared" si="255"/>
        <v>505612.79000961705</v>
      </c>
    </row>
    <row r="4096" spans="1:15" x14ac:dyDescent="0.25">
      <c r="A4096" s="13">
        <v>44469</v>
      </c>
      <c r="B4096" s="97">
        <v>12958</v>
      </c>
      <c r="C4096" t="s">
        <v>84</v>
      </c>
      <c r="D4096" s="94" t="s">
        <v>548</v>
      </c>
      <c r="E4096" t="s">
        <v>66</v>
      </c>
      <c r="F4096" t="s">
        <v>566</v>
      </c>
      <c r="G4096" s="50" t="s">
        <v>559</v>
      </c>
      <c r="H4096" s="50">
        <v>2</v>
      </c>
      <c r="I4096" s="100">
        <v>6.7391919697301583</v>
      </c>
      <c r="J4096" s="52">
        <v>3834.68</v>
      </c>
      <c r="K4096" s="67">
        <f t="shared" si="256"/>
        <v>334868.98953647859</v>
      </c>
      <c r="L4096" s="95">
        <f>+VLOOKUP(E4096,MARGEN!A:B,2,FALSE)</f>
        <v>0.1</v>
      </c>
      <c r="M4096" s="112">
        <f t="shared" si="253"/>
        <v>33486.898953647862</v>
      </c>
      <c r="N4096" s="113">
        <f t="shared" si="254"/>
        <v>1339.4759581459143</v>
      </c>
      <c r="O4096" s="113">
        <f t="shared" si="255"/>
        <v>300042.61462468479</v>
      </c>
    </row>
    <row r="4097" spans="1:15" x14ac:dyDescent="0.25">
      <c r="A4097" s="13">
        <v>44446</v>
      </c>
      <c r="B4097" s="97">
        <v>12899</v>
      </c>
      <c r="C4097" t="s">
        <v>112</v>
      </c>
      <c r="D4097" s="94" t="s">
        <v>472</v>
      </c>
      <c r="E4097" t="s">
        <v>25</v>
      </c>
      <c r="F4097" t="s">
        <v>572</v>
      </c>
      <c r="G4097" s="50" t="s">
        <v>243</v>
      </c>
      <c r="H4097" s="50">
        <v>2</v>
      </c>
      <c r="I4097" s="100">
        <v>6.7391919697301583</v>
      </c>
      <c r="J4097" s="52">
        <v>3834.68</v>
      </c>
      <c r="K4097" s="67">
        <f t="shared" si="256"/>
        <v>333344.27350139199</v>
      </c>
      <c r="L4097" s="95">
        <f>+VLOOKUP(E4097,MARGEN!A:B,2,FALSE)</f>
        <v>0.1</v>
      </c>
      <c r="M4097" s="112">
        <f t="shared" si="253"/>
        <v>33334.427350139202</v>
      </c>
      <c r="N4097" s="113">
        <f t="shared" si="254"/>
        <v>1333.3770940055679</v>
      </c>
      <c r="O4097" s="113">
        <f t="shared" si="255"/>
        <v>298676.46905724722</v>
      </c>
    </row>
    <row r="4098" spans="1:15" x14ac:dyDescent="0.25">
      <c r="A4098" s="13">
        <v>44446</v>
      </c>
      <c r="B4098" s="97">
        <v>4603</v>
      </c>
      <c r="C4098" t="s">
        <v>111</v>
      </c>
      <c r="D4098" s="94" t="s">
        <v>471</v>
      </c>
      <c r="E4098" t="s">
        <v>25</v>
      </c>
      <c r="F4098" t="s">
        <v>572</v>
      </c>
      <c r="G4098" s="50" t="s">
        <v>243</v>
      </c>
      <c r="H4098" s="50">
        <v>2</v>
      </c>
      <c r="I4098" s="100">
        <v>6.7391919697301583</v>
      </c>
      <c r="J4098" s="52">
        <v>3834.68</v>
      </c>
      <c r="K4098" s="67">
        <f t="shared" si="256"/>
        <v>118953.69338141773</v>
      </c>
      <c r="L4098" s="95">
        <f>+VLOOKUP(E4098,MARGEN!A:B,2,FALSE)</f>
        <v>0.1</v>
      </c>
      <c r="M4098" s="112">
        <f t="shared" si="253"/>
        <v>11895.369338141774</v>
      </c>
      <c r="N4098" s="113">
        <f t="shared" si="254"/>
        <v>475.81477352567094</v>
      </c>
      <c r="O4098" s="113">
        <f t="shared" si="255"/>
        <v>106582.5092697503</v>
      </c>
    </row>
    <row r="4099" spans="1:15" x14ac:dyDescent="0.25">
      <c r="A4099" s="13">
        <v>44447</v>
      </c>
      <c r="B4099" s="97">
        <v>4607</v>
      </c>
      <c r="C4099" t="s">
        <v>111</v>
      </c>
      <c r="D4099" s="94" t="s">
        <v>471</v>
      </c>
      <c r="E4099" t="s">
        <v>25</v>
      </c>
      <c r="F4099" t="s">
        <v>558</v>
      </c>
      <c r="G4099" s="50" t="s">
        <v>559</v>
      </c>
      <c r="H4099" s="50">
        <v>2</v>
      </c>
      <c r="I4099" s="100">
        <v>6.7391919697301583</v>
      </c>
      <c r="J4099" s="52">
        <v>3834.68</v>
      </c>
      <c r="K4099" s="67">
        <f t="shared" si="256"/>
        <v>119057.06396006768</v>
      </c>
      <c r="L4099" s="95">
        <f>+VLOOKUP(E4099,MARGEN!A:B,2,FALSE)</f>
        <v>0.1</v>
      </c>
      <c r="M4099" s="112">
        <f t="shared" ref="M4099:M4118" si="257">+K4099*L4099</f>
        <v>11905.706396006768</v>
      </c>
      <c r="N4099" s="113">
        <f t="shared" ref="N4099:N4118" si="258">+K4099*4/1000</f>
        <v>476.22825584027072</v>
      </c>
      <c r="O4099" s="113">
        <f t="shared" ref="O4099:O4118" si="259">+K4099-M4099-N4099</f>
        <v>106675.12930822065</v>
      </c>
    </row>
    <row r="4100" spans="1:15" x14ac:dyDescent="0.25">
      <c r="A4100" s="13">
        <v>44446</v>
      </c>
      <c r="B4100" s="97">
        <v>35869</v>
      </c>
      <c r="C4100" t="s">
        <v>167</v>
      </c>
      <c r="D4100" s="94" t="s">
        <v>403</v>
      </c>
      <c r="E4100" t="s">
        <v>37</v>
      </c>
      <c r="F4100" t="s">
        <v>572</v>
      </c>
      <c r="G4100" s="50" t="s">
        <v>243</v>
      </c>
      <c r="H4100" s="50">
        <v>2</v>
      </c>
      <c r="I4100" s="100">
        <v>6.7391919697301583</v>
      </c>
      <c r="J4100" s="52">
        <v>3834.68</v>
      </c>
      <c r="K4100" s="67">
        <f t="shared" si="256"/>
        <v>926949.82139866892</v>
      </c>
      <c r="L4100" s="95">
        <f>+VLOOKUP(E4100,MARGEN!A:B,2,FALSE)</f>
        <v>0.1</v>
      </c>
      <c r="M4100" s="112">
        <f t="shared" si="257"/>
        <v>92694.982139866901</v>
      </c>
      <c r="N4100" s="113">
        <f t="shared" si="258"/>
        <v>3707.7992855946759</v>
      </c>
      <c r="O4100" s="113">
        <f t="shared" si="259"/>
        <v>830547.03997320728</v>
      </c>
    </row>
    <row r="4101" spans="1:15" x14ac:dyDescent="0.25">
      <c r="A4101" s="13">
        <v>44447</v>
      </c>
      <c r="B4101" s="97">
        <v>35898</v>
      </c>
      <c r="C4101" t="s">
        <v>167</v>
      </c>
      <c r="D4101" s="94" t="s">
        <v>403</v>
      </c>
      <c r="E4101" t="s">
        <v>37</v>
      </c>
      <c r="F4101" t="s">
        <v>557</v>
      </c>
      <c r="G4101" s="50" t="s">
        <v>205</v>
      </c>
      <c r="H4101" s="50">
        <v>2</v>
      </c>
      <c r="I4101" s="100">
        <v>6.7391919697301583</v>
      </c>
      <c r="J4101" s="52">
        <v>3834.68</v>
      </c>
      <c r="K4101" s="67">
        <f t="shared" si="256"/>
        <v>927699.25809388084</v>
      </c>
      <c r="L4101" s="95">
        <f>+VLOOKUP(E4101,MARGEN!A:B,2,FALSE)</f>
        <v>0.1</v>
      </c>
      <c r="M4101" s="112">
        <f t="shared" si="257"/>
        <v>92769.925809388093</v>
      </c>
      <c r="N4101" s="113">
        <f t="shared" si="258"/>
        <v>3710.7970323755235</v>
      </c>
      <c r="O4101" s="113">
        <f t="shared" si="259"/>
        <v>831218.53525211732</v>
      </c>
    </row>
    <row r="4102" spans="1:15" x14ac:dyDescent="0.25">
      <c r="A4102" s="13">
        <v>44448</v>
      </c>
      <c r="B4102" s="97">
        <v>35897</v>
      </c>
      <c r="C4102" t="s">
        <v>167</v>
      </c>
      <c r="D4102" s="94" t="s">
        <v>403</v>
      </c>
      <c r="E4102" t="s">
        <v>37</v>
      </c>
      <c r="F4102" t="s">
        <v>551</v>
      </c>
      <c r="G4102" s="50" t="s">
        <v>205</v>
      </c>
      <c r="H4102" s="50">
        <v>2</v>
      </c>
      <c r="I4102" s="100">
        <v>6.7391919697301583</v>
      </c>
      <c r="J4102" s="52">
        <v>3834.68</v>
      </c>
      <c r="K4102" s="67">
        <f t="shared" si="256"/>
        <v>927673.41544921836</v>
      </c>
      <c r="L4102" s="95">
        <f>+VLOOKUP(E4102,MARGEN!A:B,2,FALSE)</f>
        <v>0.1</v>
      </c>
      <c r="M4102" s="112">
        <f t="shared" si="257"/>
        <v>92767.341544921845</v>
      </c>
      <c r="N4102" s="113">
        <f t="shared" si="258"/>
        <v>3710.6936617968736</v>
      </c>
      <c r="O4102" s="113">
        <f t="shared" si="259"/>
        <v>831195.38024249964</v>
      </c>
    </row>
    <row r="4103" spans="1:15" x14ac:dyDescent="0.25">
      <c r="A4103" s="13">
        <v>44454</v>
      </c>
      <c r="B4103" s="97">
        <v>35897</v>
      </c>
      <c r="C4103" t="s">
        <v>167</v>
      </c>
      <c r="D4103" s="94" t="s">
        <v>403</v>
      </c>
      <c r="E4103" t="s">
        <v>37</v>
      </c>
      <c r="F4103" t="s">
        <v>551</v>
      </c>
      <c r="G4103" s="50" t="s">
        <v>205</v>
      </c>
      <c r="H4103" s="50">
        <v>2</v>
      </c>
      <c r="I4103" s="100">
        <v>6.7391919697301583</v>
      </c>
      <c r="J4103" s="52">
        <v>3834.68</v>
      </c>
      <c r="K4103" s="67">
        <f t="shared" si="256"/>
        <v>927673.41544921836</v>
      </c>
      <c r="L4103" s="95">
        <f>+VLOOKUP(E4103,MARGEN!A:B,2,FALSE)</f>
        <v>0.1</v>
      </c>
      <c r="M4103" s="112">
        <f t="shared" si="257"/>
        <v>92767.341544921845</v>
      </c>
      <c r="N4103" s="113">
        <f t="shared" si="258"/>
        <v>3710.6936617968736</v>
      </c>
      <c r="O4103" s="113">
        <f t="shared" si="259"/>
        <v>831195.38024249964</v>
      </c>
    </row>
    <row r="4104" spans="1:15" x14ac:dyDescent="0.25">
      <c r="A4104" s="13">
        <v>44455</v>
      </c>
      <c r="B4104" s="97">
        <v>35898</v>
      </c>
      <c r="C4104" t="s">
        <v>167</v>
      </c>
      <c r="D4104" s="94" t="s">
        <v>403</v>
      </c>
      <c r="E4104" t="s">
        <v>37</v>
      </c>
      <c r="F4104" t="s">
        <v>566</v>
      </c>
      <c r="G4104" s="50" t="s">
        <v>559</v>
      </c>
      <c r="H4104" s="50">
        <v>2</v>
      </c>
      <c r="I4104" s="100">
        <v>6.7391919697301583</v>
      </c>
      <c r="J4104" s="52">
        <v>3834.68</v>
      </c>
      <c r="K4104" s="67">
        <f t="shared" si="256"/>
        <v>927699.25809388084</v>
      </c>
      <c r="L4104" s="95">
        <f>+VLOOKUP(E4104,MARGEN!A:B,2,FALSE)</f>
        <v>0.1</v>
      </c>
      <c r="M4104" s="112">
        <f t="shared" si="257"/>
        <v>92769.925809388093</v>
      </c>
      <c r="N4104" s="113">
        <f t="shared" si="258"/>
        <v>3710.7970323755235</v>
      </c>
      <c r="O4104" s="113">
        <f t="shared" si="259"/>
        <v>831218.53525211732</v>
      </c>
    </row>
    <row r="4105" spans="1:15" x14ac:dyDescent="0.25">
      <c r="A4105" s="13">
        <v>44456</v>
      </c>
      <c r="B4105" s="97">
        <v>35898</v>
      </c>
      <c r="C4105" t="s">
        <v>167</v>
      </c>
      <c r="D4105" s="94" t="s">
        <v>403</v>
      </c>
      <c r="E4105" t="s">
        <v>37</v>
      </c>
      <c r="F4105" t="s">
        <v>566</v>
      </c>
      <c r="G4105" s="50" t="s">
        <v>559</v>
      </c>
      <c r="H4105" s="50">
        <v>2</v>
      </c>
      <c r="I4105" s="100">
        <v>6.7391919697301583</v>
      </c>
      <c r="J4105" s="52">
        <v>3834.68</v>
      </c>
      <c r="K4105" s="67">
        <f t="shared" ref="K4105:K4118" si="260">+B4105*I4105*J4105/1000</f>
        <v>927699.25809388084</v>
      </c>
      <c r="L4105" s="95">
        <f>+VLOOKUP(E4105,MARGEN!A:B,2,FALSE)</f>
        <v>0.1</v>
      </c>
      <c r="M4105" s="112">
        <f t="shared" si="257"/>
        <v>92769.925809388093</v>
      </c>
      <c r="N4105" s="113">
        <f t="shared" si="258"/>
        <v>3710.7970323755235</v>
      </c>
      <c r="O4105" s="113">
        <f t="shared" si="259"/>
        <v>831218.53525211732</v>
      </c>
    </row>
    <row r="4106" spans="1:15" x14ac:dyDescent="0.25">
      <c r="A4106" s="13">
        <v>44457</v>
      </c>
      <c r="B4106" s="97">
        <v>35898</v>
      </c>
      <c r="C4106" t="s">
        <v>167</v>
      </c>
      <c r="D4106" s="94" t="s">
        <v>403</v>
      </c>
      <c r="E4106" t="s">
        <v>37</v>
      </c>
      <c r="F4106" t="s">
        <v>566</v>
      </c>
      <c r="G4106" s="50" t="s">
        <v>559</v>
      </c>
      <c r="H4106" s="50">
        <v>2</v>
      </c>
      <c r="I4106" s="100">
        <v>6.7391919697301583</v>
      </c>
      <c r="J4106" s="52">
        <v>3834.68</v>
      </c>
      <c r="K4106" s="67">
        <f t="shared" si="260"/>
        <v>927699.25809388084</v>
      </c>
      <c r="L4106" s="95">
        <f>+VLOOKUP(E4106,MARGEN!A:B,2,FALSE)</f>
        <v>0.1</v>
      </c>
      <c r="M4106" s="112">
        <f t="shared" si="257"/>
        <v>92769.925809388093</v>
      </c>
      <c r="N4106" s="113">
        <f t="shared" si="258"/>
        <v>3710.7970323755235</v>
      </c>
      <c r="O4106" s="113">
        <f t="shared" si="259"/>
        <v>831218.53525211732</v>
      </c>
    </row>
    <row r="4107" spans="1:15" x14ac:dyDescent="0.25">
      <c r="A4107" s="13">
        <v>44458</v>
      </c>
      <c r="B4107" s="97">
        <v>35898</v>
      </c>
      <c r="C4107" t="s">
        <v>167</v>
      </c>
      <c r="D4107" s="94" t="s">
        <v>403</v>
      </c>
      <c r="E4107" t="s">
        <v>37</v>
      </c>
      <c r="F4107" t="s">
        <v>566</v>
      </c>
      <c r="G4107" s="50" t="s">
        <v>559</v>
      </c>
      <c r="H4107" s="50">
        <v>2</v>
      </c>
      <c r="I4107" s="100">
        <v>6.7391919697301583</v>
      </c>
      <c r="J4107" s="52">
        <v>3834.68</v>
      </c>
      <c r="K4107" s="67">
        <f t="shared" si="260"/>
        <v>927699.25809388084</v>
      </c>
      <c r="L4107" s="95">
        <f>+VLOOKUP(E4107,MARGEN!A:B,2,FALSE)</f>
        <v>0.1</v>
      </c>
      <c r="M4107" s="112">
        <f t="shared" si="257"/>
        <v>92769.925809388093</v>
      </c>
      <c r="N4107" s="113">
        <f t="shared" si="258"/>
        <v>3710.7970323755235</v>
      </c>
      <c r="O4107" s="113">
        <f t="shared" si="259"/>
        <v>831218.53525211732</v>
      </c>
    </row>
    <row r="4108" spans="1:15" x14ac:dyDescent="0.25">
      <c r="A4108" s="13">
        <v>44459</v>
      </c>
      <c r="B4108" s="97">
        <v>35903</v>
      </c>
      <c r="C4108" t="s">
        <v>167</v>
      </c>
      <c r="D4108" s="94" t="s">
        <v>403</v>
      </c>
      <c r="E4108" t="s">
        <v>37</v>
      </c>
      <c r="F4108" t="s">
        <v>573</v>
      </c>
      <c r="G4108" s="50" t="s">
        <v>574</v>
      </c>
      <c r="H4108" s="50">
        <v>2</v>
      </c>
      <c r="I4108" s="100">
        <v>6.7391919697301583</v>
      </c>
      <c r="J4108" s="52">
        <v>3834.68</v>
      </c>
      <c r="K4108" s="67">
        <f t="shared" si="260"/>
        <v>927828.47131719324</v>
      </c>
      <c r="L4108" s="95">
        <f>+VLOOKUP(E4108,MARGEN!A:B,2,FALSE)</f>
        <v>0.1</v>
      </c>
      <c r="M4108" s="112">
        <f t="shared" si="257"/>
        <v>92782.847131719333</v>
      </c>
      <c r="N4108" s="113">
        <f t="shared" si="258"/>
        <v>3711.313885268773</v>
      </c>
      <c r="O4108" s="113">
        <f t="shared" si="259"/>
        <v>831334.31030020514</v>
      </c>
    </row>
    <row r="4109" spans="1:15" x14ac:dyDescent="0.25">
      <c r="A4109" s="13">
        <v>44460</v>
      </c>
      <c r="B4109" s="97">
        <v>35903</v>
      </c>
      <c r="C4109" t="s">
        <v>167</v>
      </c>
      <c r="D4109" s="94" t="s">
        <v>403</v>
      </c>
      <c r="E4109" t="s">
        <v>37</v>
      </c>
      <c r="F4109" t="s">
        <v>573</v>
      </c>
      <c r="G4109" s="50" t="s">
        <v>574</v>
      </c>
      <c r="H4109" s="50">
        <v>2</v>
      </c>
      <c r="I4109" s="100">
        <v>6.7391919697301583</v>
      </c>
      <c r="J4109" s="52">
        <v>3834.68</v>
      </c>
      <c r="K4109" s="67">
        <f t="shared" si="260"/>
        <v>927828.47131719324</v>
      </c>
      <c r="L4109" s="95">
        <f>+VLOOKUP(E4109,MARGEN!A:B,2,FALSE)</f>
        <v>0.1</v>
      </c>
      <c r="M4109" s="112">
        <f t="shared" si="257"/>
        <v>92782.847131719333</v>
      </c>
      <c r="N4109" s="113">
        <f t="shared" si="258"/>
        <v>3711.313885268773</v>
      </c>
      <c r="O4109" s="113">
        <f t="shared" si="259"/>
        <v>831334.31030020514</v>
      </c>
    </row>
    <row r="4110" spans="1:15" x14ac:dyDescent="0.25">
      <c r="A4110" s="13">
        <v>44461</v>
      </c>
      <c r="B4110" s="97">
        <v>35903</v>
      </c>
      <c r="C4110" t="s">
        <v>167</v>
      </c>
      <c r="D4110" t="s">
        <v>403</v>
      </c>
      <c r="E4110" t="s">
        <v>37</v>
      </c>
      <c r="F4110" t="s">
        <v>573</v>
      </c>
      <c r="G4110" s="50" t="s">
        <v>574</v>
      </c>
      <c r="H4110" s="50">
        <v>2</v>
      </c>
      <c r="I4110" s="100">
        <v>6.7391919697301583</v>
      </c>
      <c r="J4110" s="52">
        <v>3834.68</v>
      </c>
      <c r="K4110" s="67">
        <f t="shared" si="260"/>
        <v>927828.47131719324</v>
      </c>
      <c r="L4110" s="95">
        <f>+VLOOKUP(E4110,MARGEN!A:B,2,FALSE)</f>
        <v>0.1</v>
      </c>
      <c r="M4110" s="112">
        <f t="shared" si="257"/>
        <v>92782.847131719333</v>
      </c>
      <c r="N4110" s="113">
        <f t="shared" si="258"/>
        <v>3711.313885268773</v>
      </c>
      <c r="O4110" s="113">
        <f t="shared" si="259"/>
        <v>831334.31030020514</v>
      </c>
    </row>
    <row r="4111" spans="1:15" x14ac:dyDescent="0.25">
      <c r="A4111" s="13">
        <v>44462</v>
      </c>
      <c r="B4111" s="97">
        <v>35898</v>
      </c>
      <c r="C4111" t="s">
        <v>167</v>
      </c>
      <c r="D4111" t="s">
        <v>403</v>
      </c>
      <c r="E4111" t="s">
        <v>37</v>
      </c>
      <c r="F4111" t="s">
        <v>566</v>
      </c>
      <c r="G4111" s="50" t="s">
        <v>574</v>
      </c>
      <c r="H4111" s="50">
        <v>2</v>
      </c>
      <c r="I4111" s="100">
        <v>6.7391919697301583</v>
      </c>
      <c r="J4111" s="52">
        <v>3834.68</v>
      </c>
      <c r="K4111" s="67">
        <f t="shared" si="260"/>
        <v>927699.25809388084</v>
      </c>
      <c r="L4111" s="95">
        <f>+VLOOKUP(E4111,MARGEN!A:B,2,FALSE)</f>
        <v>0.1</v>
      </c>
      <c r="M4111" s="112">
        <f t="shared" si="257"/>
        <v>92769.925809388093</v>
      </c>
      <c r="N4111" s="113">
        <f t="shared" si="258"/>
        <v>3710.7970323755235</v>
      </c>
      <c r="O4111" s="113">
        <f t="shared" si="259"/>
        <v>831218.53525211732</v>
      </c>
    </row>
    <row r="4112" spans="1:15" x14ac:dyDescent="0.25">
      <c r="A4112" s="43">
        <v>44463</v>
      </c>
      <c r="B4112" s="51">
        <v>35903</v>
      </c>
      <c r="C4112" s="66" t="s">
        <v>167</v>
      </c>
      <c r="D4112" s="66" t="s">
        <v>403</v>
      </c>
      <c r="E4112" t="s">
        <v>37</v>
      </c>
      <c r="F4112" s="50" t="s">
        <v>573</v>
      </c>
      <c r="G4112" s="50" t="s">
        <v>574</v>
      </c>
      <c r="H4112" s="50">
        <v>2</v>
      </c>
      <c r="I4112" s="100">
        <v>6.7391919697301583</v>
      </c>
      <c r="J4112" s="52">
        <v>3834.68</v>
      </c>
      <c r="K4112" s="67">
        <f t="shared" si="260"/>
        <v>927828.47131719324</v>
      </c>
      <c r="L4112" s="95">
        <f>+VLOOKUP(E4112,MARGEN!A:B,2,FALSE)</f>
        <v>0.1</v>
      </c>
      <c r="M4112" s="112">
        <f t="shared" si="257"/>
        <v>92782.847131719333</v>
      </c>
      <c r="N4112" s="113">
        <f t="shared" si="258"/>
        <v>3711.313885268773</v>
      </c>
      <c r="O4112" s="113">
        <f t="shared" si="259"/>
        <v>831334.31030020514</v>
      </c>
    </row>
    <row r="4113" spans="1:15" x14ac:dyDescent="0.25">
      <c r="A4113" s="13">
        <v>44464</v>
      </c>
      <c r="B4113" s="97">
        <v>35903</v>
      </c>
      <c r="C4113" t="s">
        <v>167</v>
      </c>
      <c r="D4113" t="s">
        <v>403</v>
      </c>
      <c r="E4113" t="s">
        <v>37</v>
      </c>
      <c r="F4113" t="s">
        <v>573</v>
      </c>
      <c r="G4113" s="50" t="s">
        <v>574</v>
      </c>
      <c r="H4113" s="50">
        <v>2</v>
      </c>
      <c r="I4113" s="100">
        <v>6.7391919697301583</v>
      </c>
      <c r="J4113" s="52">
        <v>3834.68</v>
      </c>
      <c r="K4113" s="67">
        <f t="shared" si="260"/>
        <v>927828.47131719324</v>
      </c>
      <c r="L4113" s="95">
        <f>+VLOOKUP(E4113,MARGEN!A:B,2,FALSE)</f>
        <v>0.1</v>
      </c>
      <c r="M4113" s="112">
        <f t="shared" si="257"/>
        <v>92782.847131719333</v>
      </c>
      <c r="N4113" s="113">
        <f t="shared" si="258"/>
        <v>3711.313885268773</v>
      </c>
      <c r="O4113" s="113">
        <f t="shared" si="259"/>
        <v>831334.31030020514</v>
      </c>
    </row>
    <row r="4114" spans="1:15" x14ac:dyDescent="0.25">
      <c r="A4114" s="43">
        <v>44465</v>
      </c>
      <c r="B4114" s="51">
        <v>35903</v>
      </c>
      <c r="C4114" s="66" t="s">
        <v>167</v>
      </c>
      <c r="D4114" s="66" t="s">
        <v>403</v>
      </c>
      <c r="E4114" t="s">
        <v>37</v>
      </c>
      <c r="F4114" s="50" t="s">
        <v>573</v>
      </c>
      <c r="G4114" s="50" t="s">
        <v>574</v>
      </c>
      <c r="H4114" s="50">
        <v>2</v>
      </c>
      <c r="I4114" s="100">
        <v>6.7391919697301583</v>
      </c>
      <c r="J4114" s="52">
        <v>3834.68</v>
      </c>
      <c r="K4114" s="67">
        <f t="shared" si="260"/>
        <v>927828.47131719324</v>
      </c>
      <c r="L4114" s="95">
        <f>+VLOOKUP(E4114,MARGEN!A:B,2,FALSE)</f>
        <v>0.1</v>
      </c>
      <c r="M4114" s="112">
        <f t="shared" si="257"/>
        <v>92782.847131719333</v>
      </c>
      <c r="N4114" s="113">
        <f t="shared" si="258"/>
        <v>3711.313885268773</v>
      </c>
      <c r="O4114" s="113">
        <f t="shared" si="259"/>
        <v>831334.31030020514</v>
      </c>
    </row>
    <row r="4115" spans="1:15" x14ac:dyDescent="0.25">
      <c r="A4115" s="43">
        <v>44466</v>
      </c>
      <c r="B4115" s="51">
        <v>35903</v>
      </c>
      <c r="C4115" s="66" t="s">
        <v>167</v>
      </c>
      <c r="D4115" s="66" t="s">
        <v>403</v>
      </c>
      <c r="E4115" t="s">
        <v>37</v>
      </c>
      <c r="F4115" s="50" t="s">
        <v>573</v>
      </c>
      <c r="G4115" s="50" t="s">
        <v>574</v>
      </c>
      <c r="H4115" s="50">
        <v>2</v>
      </c>
      <c r="I4115" s="100">
        <v>6.7391919697301583</v>
      </c>
      <c r="J4115" s="52">
        <v>3834.68</v>
      </c>
      <c r="K4115" s="67">
        <f t="shared" si="260"/>
        <v>927828.47131719324</v>
      </c>
      <c r="L4115" s="95">
        <f>+VLOOKUP(E4115,MARGEN!A:B,2,FALSE)</f>
        <v>0.1</v>
      </c>
      <c r="M4115" s="112">
        <f t="shared" si="257"/>
        <v>92782.847131719333</v>
      </c>
      <c r="N4115" s="113">
        <f t="shared" si="258"/>
        <v>3711.313885268773</v>
      </c>
      <c r="O4115" s="113">
        <f t="shared" si="259"/>
        <v>831334.31030020514</v>
      </c>
    </row>
    <row r="4116" spans="1:15" x14ac:dyDescent="0.25">
      <c r="A4116" s="43">
        <v>44467</v>
      </c>
      <c r="B4116" s="51">
        <v>35903</v>
      </c>
      <c r="C4116" s="66" t="s">
        <v>167</v>
      </c>
      <c r="D4116" s="66" t="s">
        <v>403</v>
      </c>
      <c r="E4116" t="s">
        <v>37</v>
      </c>
      <c r="F4116" s="50" t="s">
        <v>573</v>
      </c>
      <c r="G4116" s="50" t="s">
        <v>574</v>
      </c>
      <c r="H4116" s="50">
        <v>2</v>
      </c>
      <c r="I4116" s="100">
        <v>6.7391919697301583</v>
      </c>
      <c r="J4116" s="52">
        <v>3834.68</v>
      </c>
      <c r="K4116" s="67">
        <f t="shared" si="260"/>
        <v>927828.47131719324</v>
      </c>
      <c r="L4116" s="95">
        <f>+VLOOKUP(E4116,MARGEN!A:B,2,FALSE)</f>
        <v>0.1</v>
      </c>
      <c r="M4116" s="112">
        <f t="shared" si="257"/>
        <v>92782.847131719333</v>
      </c>
      <c r="N4116" s="113">
        <f t="shared" si="258"/>
        <v>3711.313885268773</v>
      </c>
      <c r="O4116" s="113">
        <f t="shared" si="259"/>
        <v>831334.31030020514</v>
      </c>
    </row>
    <row r="4117" spans="1:15" x14ac:dyDescent="0.25">
      <c r="A4117" s="43">
        <v>44468</v>
      </c>
      <c r="B4117" s="51">
        <v>35903</v>
      </c>
      <c r="C4117" s="66" t="s">
        <v>167</v>
      </c>
      <c r="D4117" s="66" t="s">
        <v>403</v>
      </c>
      <c r="E4117" t="s">
        <v>37</v>
      </c>
      <c r="F4117" s="50" t="s">
        <v>573</v>
      </c>
      <c r="G4117" s="50" t="s">
        <v>574</v>
      </c>
      <c r="H4117" s="50">
        <v>2</v>
      </c>
      <c r="I4117" s="100">
        <v>6.7391919697301583</v>
      </c>
      <c r="J4117" s="52">
        <v>3834.68</v>
      </c>
      <c r="K4117" s="67">
        <f t="shared" si="260"/>
        <v>927828.47131719324</v>
      </c>
      <c r="L4117" s="95">
        <f>+VLOOKUP(E4117,MARGEN!A:B,2,FALSE)</f>
        <v>0.1</v>
      </c>
      <c r="M4117" s="112">
        <f t="shared" si="257"/>
        <v>92782.847131719333</v>
      </c>
      <c r="N4117" s="113">
        <f t="shared" si="258"/>
        <v>3711.313885268773</v>
      </c>
      <c r="O4117" s="113">
        <f t="shared" si="259"/>
        <v>831334.31030020514</v>
      </c>
    </row>
    <row r="4118" spans="1:15" x14ac:dyDescent="0.25">
      <c r="A4118" s="13">
        <v>44447</v>
      </c>
      <c r="B4118" s="97">
        <v>21698</v>
      </c>
      <c r="C4118" t="s">
        <v>236</v>
      </c>
      <c r="D4118" s="94" t="s">
        <v>482</v>
      </c>
      <c r="E4118" t="s">
        <v>232</v>
      </c>
      <c r="F4118" t="s">
        <v>572</v>
      </c>
      <c r="G4118" s="50" t="s">
        <v>243</v>
      </c>
      <c r="H4118" s="50">
        <v>2</v>
      </c>
      <c r="I4118" s="100">
        <v>6.7391919697301583</v>
      </c>
      <c r="J4118" s="52">
        <v>3834.68</v>
      </c>
      <c r="K4118" s="67">
        <f t="shared" si="260"/>
        <v>560733.70388659614</v>
      </c>
      <c r="L4118" s="95">
        <f>+VLOOKUP(E4118,MARGEN!A:B,2,FALSE)</f>
        <v>0.1</v>
      </c>
      <c r="M4118" s="112">
        <f t="shared" si="257"/>
        <v>56073.370388659619</v>
      </c>
      <c r="N4118" s="113">
        <f t="shared" si="258"/>
        <v>2242.9348155463845</v>
      </c>
      <c r="O4118" s="113">
        <f t="shared" si="259"/>
        <v>502417.39868239011</v>
      </c>
    </row>
  </sheetData>
  <autoFilter ref="A1:O4118" xr:uid="{AD62609F-222D-4E13-895C-D8743C2BC3EA}"/>
  <sortState xmlns:xlrd2="http://schemas.microsoft.com/office/spreadsheetml/2017/richdata2" ref="A2:K4118">
    <sortCondition ref="E2:E4118"/>
    <sortCondition ref="A2:A4118"/>
    <sortCondition descending="1" ref="B2:B4118"/>
  </sortState>
  <phoneticPr fontId="7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3E4E9-7111-4428-9CB1-6137BEC2DC19}">
  <sheetPr codeName="Hoja8">
    <tabColor rgb="FF00B050"/>
  </sheetPr>
  <dimension ref="A1:M136"/>
  <sheetViews>
    <sheetView showGridLines="0" topLeftCell="E1" zoomScale="80" zoomScaleNormal="80" workbookViewId="0">
      <selection activeCell="J5" sqref="J5"/>
    </sheetView>
  </sheetViews>
  <sheetFormatPr baseColWidth="10" defaultColWidth="11.42578125" defaultRowHeight="12.75" x14ac:dyDescent="0.2"/>
  <cols>
    <col min="1" max="1" width="2.140625" style="3" bestFit="1" customWidth="1"/>
    <col min="2" max="2" width="52.85546875" style="3" bestFit="1" customWidth="1"/>
    <col min="3" max="3" width="34.28515625" style="3" bestFit="1" customWidth="1"/>
    <col min="4" max="4" width="22.42578125" style="3" bestFit="1" customWidth="1"/>
    <col min="5" max="5" width="18.7109375" style="3" bestFit="1" customWidth="1"/>
    <col min="6" max="6" width="21.28515625" style="3" bestFit="1" customWidth="1"/>
    <col min="7" max="7" width="16.42578125" style="3" bestFit="1" customWidth="1"/>
    <col min="8" max="8" width="20.42578125" style="3" bestFit="1" customWidth="1"/>
    <col min="9" max="9" width="12.85546875" style="3" bestFit="1" customWidth="1"/>
    <col min="10" max="10" width="17.42578125" style="3" bestFit="1" customWidth="1"/>
    <col min="11" max="11" width="10.7109375" style="89" bestFit="1" customWidth="1"/>
    <col min="12" max="12" width="9.85546875" style="3" bestFit="1" customWidth="1"/>
    <col min="13" max="13" width="16" style="3" bestFit="1" customWidth="1"/>
    <col min="14" max="16384" width="11.42578125" style="3"/>
  </cols>
  <sheetData>
    <row r="1" spans="1:13" ht="15.75" thickBot="1" x14ac:dyDescent="0.3">
      <c r="B1" s="41" t="s">
        <v>214</v>
      </c>
      <c r="C1" s="42">
        <v>44440</v>
      </c>
    </row>
    <row r="2" spans="1:13" ht="15" x14ac:dyDescent="0.25">
      <c r="B2" s="43"/>
      <c r="C2" s="43"/>
    </row>
    <row r="3" spans="1:13" x14ac:dyDescent="0.2">
      <c r="B3" s="1" t="s">
        <v>0</v>
      </c>
      <c r="C3" s="7">
        <v>1</v>
      </c>
    </row>
    <row r="5" spans="1:13" x14ac:dyDescent="0.2">
      <c r="B5" s="69" t="s">
        <v>12</v>
      </c>
      <c r="C5" s="69" t="s">
        <v>2</v>
      </c>
      <c r="D5" s="69" t="s">
        <v>13</v>
      </c>
      <c r="E5" s="69" t="s">
        <v>19</v>
      </c>
      <c r="F5" s="69" t="s">
        <v>22</v>
      </c>
      <c r="G5" s="69" t="s">
        <v>21</v>
      </c>
      <c r="H5" s="69" t="s">
        <v>20</v>
      </c>
      <c r="I5" s="69" t="s">
        <v>23</v>
      </c>
      <c r="J5" s="69" t="s">
        <v>24</v>
      </c>
      <c r="K5" s="90" t="s">
        <v>63</v>
      </c>
      <c r="L5" s="90" t="s">
        <v>555</v>
      </c>
      <c r="M5" s="90" t="s">
        <v>556</v>
      </c>
    </row>
    <row r="6" spans="1:13" x14ac:dyDescent="0.2">
      <c r="A6" s="46"/>
      <c r="B6" s="68">
        <v>1</v>
      </c>
      <c r="C6" s="68" t="s">
        <v>62</v>
      </c>
      <c r="D6" s="70">
        <f>+VLOOKUP(Table1[[#This Row],[Clientes]],MARGEN!A:B,2,FALSE)</f>
        <v>0.1</v>
      </c>
      <c r="E6" s="71">
        <f>SUMIFS(Manual_Certificados!$B:$B,Manual_Certificados!$E:$E,Plantilla_Certificados!$C6)</f>
        <v>986892</v>
      </c>
      <c r="F6" s="71">
        <f>+SUMIFS(Manual_Certificados!K:K,Manual_Certificados!E:E,Plantilla_Certificados!C6)</f>
        <v>25503899.276248977</v>
      </c>
      <c r="G6" s="72">
        <f>F6*D6</f>
        <v>2550389.927624898</v>
      </c>
      <c r="H6" s="71">
        <f>F6-G6</f>
        <v>22953509.34862408</v>
      </c>
      <c r="I6" s="71">
        <f>+F6*4/1000</f>
        <v>102015.5971049959</v>
      </c>
      <c r="J6" s="103">
        <f>F6-G6-I6</f>
        <v>22851493.751519084</v>
      </c>
      <c r="K6" s="91">
        <f>+IFERROR(VLOOKUP(C6,#REF!,32,FALSE),0)</f>
        <v>0</v>
      </c>
      <c r="L6" s="102"/>
      <c r="M6" s="102"/>
    </row>
    <row r="7" spans="1:13" x14ac:dyDescent="0.2">
      <c r="A7" s="46"/>
      <c r="B7" s="68">
        <f>+B6+1</f>
        <v>2</v>
      </c>
      <c r="C7" s="68" t="s">
        <v>204</v>
      </c>
      <c r="D7" s="70">
        <f>+VLOOKUP(Table1[[#This Row],[Clientes]],MARGEN!A:B,2,FALSE)</f>
        <v>0.1</v>
      </c>
      <c r="E7" s="71">
        <f>SUMIFS(Manual_Certificados!$B:$B,Manual_Certificados!$E:$E,Plantilla_Certificados!$C7)</f>
        <v>929403</v>
      </c>
      <c r="F7" s="71">
        <f>+SUMIFS(Manual_Certificados!K:K,Manual_Certificados!E:E,Plantilla_Certificados!C7)</f>
        <v>24018231.47724741</v>
      </c>
      <c r="G7" s="72">
        <f t="shared" ref="G7:G56" si="0">F7*D7</f>
        <v>2401823.1477247411</v>
      </c>
      <c r="H7" s="71">
        <f t="shared" ref="H7:H56" si="1">F7-G7</f>
        <v>21616408.329522669</v>
      </c>
      <c r="I7" s="71">
        <f t="shared" ref="I7:I58" si="2">+F7*4/1000</f>
        <v>96072.925908989637</v>
      </c>
      <c r="J7" s="71">
        <f t="shared" ref="J7:J56" si="3">F7-G7-I7</f>
        <v>21520335.403613679</v>
      </c>
      <c r="K7" s="91">
        <f>+IFERROR(VLOOKUP(C7,#REF!,32,FALSE),0)</f>
        <v>0</v>
      </c>
      <c r="L7" s="102"/>
      <c r="M7" s="102"/>
    </row>
    <row r="8" spans="1:13" x14ac:dyDescent="0.2">
      <c r="A8" s="46"/>
      <c r="B8" s="68">
        <f t="shared" ref="B8:B58" si="4">+B7+1</f>
        <v>3</v>
      </c>
      <c r="C8" s="68" t="s">
        <v>41</v>
      </c>
      <c r="D8" s="70">
        <f>+VLOOKUP(Table1[[#This Row],[Clientes]],MARGEN!A:B,2,FALSE)</f>
        <v>0.09</v>
      </c>
      <c r="E8" s="71">
        <f>SUMIFS(Manual_Certificados!$B:$B,Manual_Certificados!$E:$E,Plantilla_Certificados!$C8)</f>
        <v>1727784</v>
      </c>
      <c r="F8" s="71">
        <f>+SUMIFS(Manual_Certificados!K:K,Manual_Certificados!E:E,Plantilla_Certificados!C8)</f>
        <v>44650507.965526775</v>
      </c>
      <c r="G8" s="72">
        <f t="shared" si="0"/>
        <v>4018545.7168974094</v>
      </c>
      <c r="H8" s="71">
        <f t="shared" si="1"/>
        <v>40631962.248629361</v>
      </c>
      <c r="I8" s="71">
        <f t="shared" si="2"/>
        <v>178602.03186210711</v>
      </c>
      <c r="J8" s="71">
        <f t="shared" si="3"/>
        <v>40453360.216767251</v>
      </c>
      <c r="K8" s="91">
        <f>+IFERROR(VLOOKUP(C8,#REF!,32,FALSE),0)</f>
        <v>0</v>
      </c>
      <c r="L8" s="102"/>
      <c r="M8" s="102"/>
    </row>
    <row r="9" spans="1:13" x14ac:dyDescent="0.2">
      <c r="A9" s="46"/>
      <c r="B9" s="68">
        <f t="shared" si="4"/>
        <v>4</v>
      </c>
      <c r="C9" s="68" t="s">
        <v>59</v>
      </c>
      <c r="D9" s="70">
        <f>+VLOOKUP(Table1[[#This Row],[Clientes]],MARGEN!A:B,2,FALSE)</f>
        <v>0.09</v>
      </c>
      <c r="E9" s="71">
        <f>SUMIFS(Manual_Certificados!$B:$B,Manual_Certificados!$E:$E,Plantilla_Certificados!$C9)</f>
        <v>494776</v>
      </c>
      <c r="F9" s="71">
        <f>+SUMIFS(Manual_Certificados!K:K,Manual_Certificados!E:E,Plantilla_Certificados!C9)</f>
        <v>12786320.355525604</v>
      </c>
      <c r="G9" s="72">
        <f t="shared" si="0"/>
        <v>1150768.8319973042</v>
      </c>
      <c r="H9" s="71">
        <f t="shared" si="1"/>
        <v>11635551.5235283</v>
      </c>
      <c r="I9" s="71">
        <f t="shared" si="2"/>
        <v>51145.281422102416</v>
      </c>
      <c r="J9" s="71">
        <f t="shared" si="3"/>
        <v>11584406.242106197</v>
      </c>
      <c r="K9" s="91">
        <f>+IFERROR(VLOOKUP(C9,#REF!,32,FALSE),0)</f>
        <v>0</v>
      </c>
      <c r="L9" s="102"/>
      <c r="M9" s="102"/>
    </row>
    <row r="10" spans="1:13" x14ac:dyDescent="0.2">
      <c r="A10" s="46"/>
      <c r="B10" s="68">
        <f t="shared" si="4"/>
        <v>5</v>
      </c>
      <c r="C10" s="68" t="s">
        <v>252</v>
      </c>
      <c r="D10" s="70">
        <f>+VLOOKUP(Table1[[#This Row],[Clientes]],MARGEN!A:B,2,FALSE)</f>
        <v>0.1</v>
      </c>
      <c r="E10" s="71">
        <f>SUMIFS(Manual_Certificados!$B:$B,Manual_Certificados!$E:$E,Plantilla_Certificados!$C10)</f>
        <v>475144</v>
      </c>
      <c r="F10" s="71">
        <f>+SUMIFS(Manual_Certificados!K:K,Manual_Certificados!E:E,Plantilla_Certificados!C10)</f>
        <v>12278977.555511704</v>
      </c>
      <c r="G10" s="72">
        <f t="shared" si="0"/>
        <v>1227897.7555511703</v>
      </c>
      <c r="H10" s="71">
        <f t="shared" si="1"/>
        <v>11051079.799960533</v>
      </c>
      <c r="I10" s="71">
        <f t="shared" si="2"/>
        <v>49115.910222046812</v>
      </c>
      <c r="J10" s="71">
        <f t="shared" si="3"/>
        <v>11001963.889738487</v>
      </c>
      <c r="K10" s="91">
        <f>+IFERROR(VLOOKUP(C10,#REF!,32,FALSE),0)</f>
        <v>0</v>
      </c>
      <c r="L10" s="102"/>
      <c r="M10" s="102"/>
    </row>
    <row r="11" spans="1:13" x14ac:dyDescent="0.2">
      <c r="A11" s="46"/>
      <c r="B11" s="68">
        <f t="shared" si="4"/>
        <v>6</v>
      </c>
      <c r="C11" s="68" t="s">
        <v>34</v>
      </c>
      <c r="D11" s="70">
        <f>+VLOOKUP(Table1[[#This Row],[Clientes]],MARGEN!A:B,2,FALSE)</f>
        <v>0.1</v>
      </c>
      <c r="E11" s="71">
        <f>SUMIFS(Manual_Certificados!$B:$B,Manual_Certificados!$E:$E,Plantilla_Certificados!$C11)</f>
        <v>480088</v>
      </c>
      <c r="F11" s="71">
        <f>+SUMIFS(Manual_Certificados!K:K,Manual_Certificados!E:E,Plantilla_Certificados!C11)</f>
        <v>12406743.590723027</v>
      </c>
      <c r="G11" s="72">
        <f t="shared" si="0"/>
        <v>1240674.3590723027</v>
      </c>
      <c r="H11" s="71">
        <f t="shared" si="1"/>
        <v>11166069.231650723</v>
      </c>
      <c r="I11" s="71">
        <f t="shared" si="2"/>
        <v>49626.974362892106</v>
      </c>
      <c r="J11" s="71">
        <f t="shared" si="3"/>
        <v>11116442.25728783</v>
      </c>
      <c r="K11" s="91">
        <f>+IFERROR(VLOOKUP(C11,#REF!,32,FALSE),0)</f>
        <v>0</v>
      </c>
      <c r="L11" s="102"/>
      <c r="M11" s="102"/>
    </row>
    <row r="12" spans="1:13" x14ac:dyDescent="0.2">
      <c r="A12" s="46"/>
      <c r="B12" s="68">
        <f t="shared" si="4"/>
        <v>7</v>
      </c>
      <c r="C12" s="68" t="s">
        <v>502</v>
      </c>
      <c r="D12" s="70">
        <f>+VLOOKUP(Table1[[#This Row],[Clientes]],MARGEN!A:B,2,FALSE)</f>
        <v>0.1</v>
      </c>
      <c r="E12" s="71">
        <f>SUMIFS(Manual_Certificados!$B:$B,Manual_Certificados!$E:$E,Plantilla_Certificados!$C12)</f>
        <v>46696</v>
      </c>
      <c r="F12" s="71">
        <f>+SUMIFS(Manual_Certificados!K:K,Manual_Certificados!E:E,Plantilla_Certificados!C12)</f>
        <v>1206748.1351593921</v>
      </c>
      <c r="G12" s="72">
        <f t="shared" si="0"/>
        <v>120674.81351593923</v>
      </c>
      <c r="H12" s="71">
        <f t="shared" si="1"/>
        <v>1086073.3216434529</v>
      </c>
      <c r="I12" s="71">
        <f t="shared" si="2"/>
        <v>4826.9925406375687</v>
      </c>
      <c r="J12" s="71">
        <f t="shared" si="3"/>
        <v>1081246.3291028154</v>
      </c>
      <c r="K12" s="91">
        <f>+IFERROR(VLOOKUP(C12,#REF!,32,FALSE),0)</f>
        <v>0</v>
      </c>
      <c r="L12" s="102"/>
      <c r="M12" s="102"/>
    </row>
    <row r="13" spans="1:13" x14ac:dyDescent="0.2">
      <c r="A13" s="46"/>
      <c r="B13" s="68">
        <f t="shared" si="4"/>
        <v>8</v>
      </c>
      <c r="C13" s="68" t="s">
        <v>42</v>
      </c>
      <c r="D13" s="70">
        <f>+VLOOKUP(Table1[[#This Row],[Clientes]],MARGEN!A:B,2,FALSE)</f>
        <v>0.1</v>
      </c>
      <c r="E13" s="71">
        <f>SUMIFS(Manual_Certificados!$B:$B,Manual_Certificados!$E:$E,Plantilla_Certificados!$C13)</f>
        <v>479940</v>
      </c>
      <c r="F13" s="71">
        <f>+SUMIFS(Manual_Certificados!K:K,Manual_Certificados!E:E,Plantilla_Certificados!C13)</f>
        <v>16563746.872800006</v>
      </c>
      <c r="G13" s="72">
        <f t="shared" si="0"/>
        <v>1656374.6872800007</v>
      </c>
      <c r="H13" s="71">
        <f t="shared" si="1"/>
        <v>14907372.185520004</v>
      </c>
      <c r="I13" s="71">
        <f t="shared" si="2"/>
        <v>66254.987491200023</v>
      </c>
      <c r="J13" s="71">
        <f t="shared" si="3"/>
        <v>14841117.198028805</v>
      </c>
      <c r="K13" s="91">
        <f>+IFERROR(VLOOKUP(C13,#REF!,32,FALSE),0)</f>
        <v>0</v>
      </c>
      <c r="L13" s="102"/>
      <c r="M13" s="102"/>
    </row>
    <row r="14" spans="1:13" s="46" customFormat="1" x14ac:dyDescent="0.2">
      <c r="B14" s="68">
        <f t="shared" si="4"/>
        <v>9</v>
      </c>
      <c r="C14" s="68" t="s">
        <v>161</v>
      </c>
      <c r="D14" s="70">
        <f>+VLOOKUP(Table1[[#This Row],[Clientes]],MARGEN!A:B,2,FALSE)</f>
        <v>0.1</v>
      </c>
      <c r="E14" s="71">
        <f>SUMIFS(Manual_Certificados!$B:$B,Manual_Certificados!$E:$E,Plantilla_Certificados!$C14)</f>
        <v>537332</v>
      </c>
      <c r="F14" s="71">
        <f>+SUMIFS(Manual_Certificados!K:K,Manual_Certificados!E:E,Plantilla_Certificados!C14)</f>
        <v>13485465.349975795</v>
      </c>
      <c r="G14" s="72">
        <f t="shared" si="0"/>
        <v>1348546.5349975796</v>
      </c>
      <c r="H14" s="71">
        <f t="shared" si="1"/>
        <v>12136918.814978216</v>
      </c>
      <c r="I14" s="71">
        <f t="shared" si="2"/>
        <v>53941.86139990318</v>
      </c>
      <c r="J14" s="71">
        <f t="shared" si="3"/>
        <v>12082976.953578312</v>
      </c>
      <c r="K14" s="91">
        <f>+IFERROR(VLOOKUP(C14,#REF!,32,FALSE),0)</f>
        <v>0</v>
      </c>
      <c r="L14" s="102"/>
      <c r="M14" s="102"/>
    </row>
    <row r="15" spans="1:13" x14ac:dyDescent="0.2">
      <c r="B15" s="68">
        <f t="shared" si="4"/>
        <v>10</v>
      </c>
      <c r="C15" s="68" t="s">
        <v>230</v>
      </c>
      <c r="D15" s="70">
        <f>+VLOOKUP(Table1[[#This Row],[Clientes]],MARGEN!A:B,2,FALSE)</f>
        <v>0.1</v>
      </c>
      <c r="E15" s="71">
        <f>SUMIFS(Manual_Certificados!$B:$B,Manual_Certificados!$E:$E,Plantilla_Certificados!$C15)</f>
        <v>91178</v>
      </c>
      <c r="F15" s="71">
        <f>+SUMIFS(Manual_Certificados!K:K,Manual_Certificados!E:E,Plantilla_Certificados!C15)</f>
        <v>2356280.6550360429</v>
      </c>
      <c r="G15" s="72">
        <f t="shared" si="0"/>
        <v>235628.0655036043</v>
      </c>
      <c r="H15" s="71">
        <f t="shared" si="1"/>
        <v>2120652.5895324387</v>
      </c>
      <c r="I15" s="71">
        <f t="shared" si="2"/>
        <v>9425.1226201441714</v>
      </c>
      <c r="J15" s="71">
        <f t="shared" si="3"/>
        <v>2111227.4669122943</v>
      </c>
      <c r="K15" s="91">
        <f>+IFERROR(VLOOKUP(C15,#REF!,32,FALSE),0)</f>
        <v>0</v>
      </c>
      <c r="L15" s="102"/>
      <c r="M15" s="102"/>
    </row>
    <row r="16" spans="1:13" x14ac:dyDescent="0.2">
      <c r="B16" s="68">
        <f t="shared" si="4"/>
        <v>11</v>
      </c>
      <c r="C16" s="98" t="s">
        <v>70</v>
      </c>
      <c r="D16" s="70">
        <f>+VLOOKUP(Table1[[#This Row],[Clientes]],MARGEN!A:B,2,FALSE)</f>
        <v>0.1</v>
      </c>
      <c r="E16" s="71">
        <f>SUMIFS(Manual_Certificados!$B:$B,Manual_Certificados!$E:$E,Plantilla_Certificados!$C16)</f>
        <v>40934</v>
      </c>
      <c r="F16" s="71">
        <f>+SUMIFS(Manual_Certificados!K:K,Manual_Certificados!E:E,Plantilla_Certificados!C16)</f>
        <v>1057842.8166141545</v>
      </c>
      <c r="G16" s="72">
        <f t="shared" si="0"/>
        <v>105784.28166141546</v>
      </c>
      <c r="H16" s="71">
        <f t="shared" si="1"/>
        <v>952058.53495273902</v>
      </c>
      <c r="I16" s="71">
        <f t="shared" si="2"/>
        <v>4231.3712664566183</v>
      </c>
      <c r="J16" s="71">
        <f t="shared" si="3"/>
        <v>947827.16368628235</v>
      </c>
      <c r="K16" s="91">
        <f>+IFERROR(VLOOKUP(C16,#REF!,32,FALSE),0)</f>
        <v>0</v>
      </c>
      <c r="L16" s="102"/>
      <c r="M16" s="102"/>
    </row>
    <row r="17" spans="1:13" x14ac:dyDescent="0.2">
      <c r="B17" s="68">
        <f t="shared" si="4"/>
        <v>12</v>
      </c>
      <c r="C17" s="98" t="s">
        <v>54</v>
      </c>
      <c r="D17" s="70">
        <f>+VLOOKUP(Table1[[#This Row],[Clientes]],MARGEN!A:B,2,FALSE)</f>
        <v>0.1</v>
      </c>
      <c r="E17" s="71">
        <f>SUMIFS(Manual_Certificados!$B:$B,Manual_Certificados!$E:$E,Plantilla_Certificados!$C17)</f>
        <v>343615</v>
      </c>
      <c r="F17" s="71">
        <f>+SUMIFS(Manual_Certificados!K:K,Manual_Certificados!E:E,Plantilla_Certificados!C17)</f>
        <v>8879920.3456997294</v>
      </c>
      <c r="G17" s="72">
        <f t="shared" si="0"/>
        <v>887992.03456997301</v>
      </c>
      <c r="H17" s="71">
        <f t="shared" si="1"/>
        <v>7991928.3111297563</v>
      </c>
      <c r="I17" s="71">
        <f t="shared" si="2"/>
        <v>35519.681382798917</v>
      </c>
      <c r="J17" s="71">
        <f t="shared" si="3"/>
        <v>7956408.6297469577</v>
      </c>
      <c r="K17" s="91">
        <f>+IFERROR(VLOOKUP(C17,#REF!,32,FALSE),0)</f>
        <v>0</v>
      </c>
      <c r="L17" s="102"/>
      <c r="M17" s="102"/>
    </row>
    <row r="18" spans="1:13" x14ac:dyDescent="0.2">
      <c r="B18" s="68">
        <f t="shared" si="4"/>
        <v>13</v>
      </c>
      <c r="C18" s="98" t="s">
        <v>1</v>
      </c>
      <c r="D18" s="70">
        <f>+VLOOKUP(Table1[[#This Row],[Clientes]],MARGEN!A:B,2,FALSE)</f>
        <v>0.1</v>
      </c>
      <c r="E18" s="71">
        <f>SUMIFS(Manual_Certificados!$B:$B,Manual_Certificados!$E:$E,Plantilla_Certificados!$C18)</f>
        <v>6581449</v>
      </c>
      <c r="F18" s="71">
        <f>+SUMIFS(Manual_Certificados!K:K,Manual_Certificados!E:E,Plantilla_Certificados!C18)</f>
        <v>170082047.87126625</v>
      </c>
      <c r="G18" s="72">
        <f t="shared" si="0"/>
        <v>17008204.787126627</v>
      </c>
      <c r="H18" s="71">
        <f t="shared" si="1"/>
        <v>153073843.08413962</v>
      </c>
      <c r="I18" s="71">
        <f t="shared" si="2"/>
        <v>680328.19148506504</v>
      </c>
      <c r="J18" s="71">
        <f t="shared" si="3"/>
        <v>152393514.89265454</v>
      </c>
      <c r="K18" s="91">
        <f>+IFERROR(VLOOKUP(C18,#REF!,32,FALSE),0)</f>
        <v>0</v>
      </c>
      <c r="L18" s="102"/>
      <c r="M18" s="102"/>
    </row>
    <row r="19" spans="1:13" x14ac:dyDescent="0.2">
      <c r="A19" s="46"/>
      <c r="B19" s="68">
        <f t="shared" si="4"/>
        <v>14</v>
      </c>
      <c r="C19" s="68" t="s">
        <v>39</v>
      </c>
      <c r="D19" s="70">
        <f>+VLOOKUP(Table1[[#This Row],[Clientes]],MARGEN!A:B,2,FALSE)</f>
        <v>0.1</v>
      </c>
      <c r="E19" s="71">
        <f>SUMIFS(Manual_Certificados!$B:$B,Manual_Certificados!$E:$E,Plantilla_Certificados!$C19)</f>
        <v>183711</v>
      </c>
      <c r="F19" s="71">
        <f>+SUMIFS(Manual_Certificados!K:K,Manual_Certificados!E:E,Plantilla_Certificados!C19)</f>
        <v>4747578.0935897529</v>
      </c>
      <c r="G19" s="72">
        <f t="shared" si="0"/>
        <v>474757.80935897533</v>
      </c>
      <c r="H19" s="71">
        <f t="shared" si="1"/>
        <v>4272820.284230778</v>
      </c>
      <c r="I19" s="71">
        <f t="shared" si="2"/>
        <v>18990.312374359011</v>
      </c>
      <c r="J19" s="71">
        <f t="shared" si="3"/>
        <v>4253829.971856419</v>
      </c>
      <c r="K19" s="91">
        <f>+IFERROR(VLOOKUP(C19,#REF!,32,FALSE),0)</f>
        <v>0</v>
      </c>
      <c r="L19" s="102"/>
      <c r="M19" s="102"/>
    </row>
    <row r="20" spans="1:13" x14ac:dyDescent="0.2">
      <c r="A20" s="46"/>
      <c r="B20" s="68">
        <f t="shared" si="4"/>
        <v>15</v>
      </c>
      <c r="C20" s="98" t="s">
        <v>253</v>
      </c>
      <c r="D20" s="70">
        <f>+VLOOKUP(Table1[[#This Row],[Clientes]],MARGEN!A:B,2,FALSE)</f>
        <v>0.1</v>
      </c>
      <c r="E20" s="71">
        <f>SUMIFS(Manual_Certificados!$B:$B,Manual_Certificados!$E:$E,Plantilla_Certificados!$C20)</f>
        <v>177518</v>
      </c>
      <c r="F20" s="71">
        <f>+SUMIFS(Manual_Certificados!K:K,Manual_Certificados!E:E,Plantilla_Certificados!C20)</f>
        <v>4587534.5951949852</v>
      </c>
      <c r="G20" s="72">
        <f t="shared" si="0"/>
        <v>458753.45951949852</v>
      </c>
      <c r="H20" s="71">
        <f t="shared" si="1"/>
        <v>4128781.1356754866</v>
      </c>
      <c r="I20" s="71">
        <f t="shared" si="2"/>
        <v>18350.138380779939</v>
      </c>
      <c r="J20" s="71">
        <f t="shared" si="3"/>
        <v>4110430.9972947068</v>
      </c>
      <c r="K20" s="91">
        <f>+IFERROR(VLOOKUP(C20,#REF!,32,FALSE),0)</f>
        <v>0</v>
      </c>
      <c r="L20" s="102"/>
      <c r="M20" s="102"/>
    </row>
    <row r="21" spans="1:13" x14ac:dyDescent="0.2">
      <c r="A21" s="46"/>
      <c r="B21" s="68">
        <f t="shared" si="4"/>
        <v>16</v>
      </c>
      <c r="C21" s="68" t="s">
        <v>26</v>
      </c>
      <c r="D21" s="70">
        <f>+VLOOKUP(Table1[[#This Row],[Clientes]],MARGEN!A:B,2,FALSE)</f>
        <v>0.08</v>
      </c>
      <c r="E21" s="71">
        <f>SUMIFS(Manual_Certificados!$B:$B,Manual_Certificados!$E:$E,Plantilla_Certificados!$C21)</f>
        <v>9383216</v>
      </c>
      <c r="F21" s="71">
        <f>+SUMIFS(Manual_Certificados!K:K,Manual_Certificados!E:E,Plantilla_Certificados!C21)</f>
        <v>242487116.87934235</v>
      </c>
      <c r="G21" s="72">
        <f t="shared" si="0"/>
        <v>19398969.350347389</v>
      </c>
      <c r="H21" s="71">
        <f t="shared" si="1"/>
        <v>223088147.52899495</v>
      </c>
      <c r="I21" s="71">
        <f t="shared" si="2"/>
        <v>969948.46751736943</v>
      </c>
      <c r="J21" s="71">
        <f t="shared" si="3"/>
        <v>222118199.06147757</v>
      </c>
      <c r="K21" s="91">
        <f>+IFERROR(VLOOKUP(C21,#REF!,32,FALSE),0)</f>
        <v>0</v>
      </c>
      <c r="L21" s="102"/>
      <c r="M21" s="102"/>
    </row>
    <row r="22" spans="1:13" x14ac:dyDescent="0.2">
      <c r="A22" s="46"/>
      <c r="B22" s="68">
        <f t="shared" si="4"/>
        <v>17</v>
      </c>
      <c r="C22" s="68" t="s">
        <v>254</v>
      </c>
      <c r="D22" s="70">
        <f>+VLOOKUP(Table1[[#This Row],[Clientes]],MARGEN!A:B,2,FALSE)</f>
        <v>0.1</v>
      </c>
      <c r="E22" s="71">
        <f>SUMIFS(Manual_Certificados!$B:$B,Manual_Certificados!$E:$E,Plantilla_Certificados!$C22)</f>
        <v>1211109</v>
      </c>
      <c r="F22" s="71">
        <f>+SUMIFS(Manual_Certificados!K:K,Manual_Certificados!E:E,Plantilla_Certificados!C22)</f>
        <v>31298259.53453736</v>
      </c>
      <c r="G22" s="72">
        <f t="shared" si="0"/>
        <v>3129825.9534537364</v>
      </c>
      <c r="H22" s="71">
        <f t="shared" si="1"/>
        <v>28168433.581083626</v>
      </c>
      <c r="I22" s="71">
        <f t="shared" si="2"/>
        <v>125193.03813814944</v>
      </c>
      <c r="J22" s="71">
        <f t="shared" si="3"/>
        <v>28043240.542945474</v>
      </c>
      <c r="K22" s="91">
        <f>+IFERROR(VLOOKUP(C22,#REF!,32,FALSE),0)</f>
        <v>0</v>
      </c>
      <c r="L22" s="102"/>
      <c r="M22" s="102"/>
    </row>
    <row r="23" spans="1:13" x14ac:dyDescent="0.2">
      <c r="A23" s="46"/>
      <c r="B23" s="68">
        <f t="shared" si="4"/>
        <v>18</v>
      </c>
      <c r="C23" s="68" t="s">
        <v>36</v>
      </c>
      <c r="D23" s="70">
        <f>+VLOOKUP(Table1[[#This Row],[Clientes]],MARGEN!A:B,2,FALSE)</f>
        <v>0.1</v>
      </c>
      <c r="E23" s="71">
        <f>SUMIFS(Manual_Certificados!$B:$B,Manual_Certificados!$E:$E,Plantilla_Certificados!$C23)</f>
        <v>1529844</v>
      </c>
      <c r="F23" s="71">
        <f>+SUMIFS(Manual_Certificados!K:K,Manual_Certificados!E:E,Plantilla_Certificados!C23)</f>
        <v>39535214.881034456</v>
      </c>
      <c r="G23" s="72">
        <f t="shared" si="0"/>
        <v>3953521.4881034456</v>
      </c>
      <c r="H23" s="71">
        <f t="shared" si="1"/>
        <v>35581693.392931014</v>
      </c>
      <c r="I23" s="71">
        <f t="shared" si="2"/>
        <v>158140.85952413784</v>
      </c>
      <c r="J23" s="71">
        <f t="shared" si="3"/>
        <v>35423552.533406876</v>
      </c>
      <c r="K23" s="91">
        <f>+IFERROR(VLOOKUP(C23,#REF!,32,FALSE),0)</f>
        <v>0</v>
      </c>
      <c r="L23" s="102"/>
      <c r="M23" s="102"/>
    </row>
    <row r="24" spans="1:13" x14ac:dyDescent="0.2">
      <c r="A24" s="46"/>
      <c r="B24" s="68">
        <f t="shared" si="4"/>
        <v>19</v>
      </c>
      <c r="C24" s="68" t="s">
        <v>27</v>
      </c>
      <c r="D24" s="70">
        <f>+VLOOKUP(Table1[[#This Row],[Clientes]],MARGEN!A:B,2,FALSE)</f>
        <v>0.1</v>
      </c>
      <c r="E24" s="71">
        <f>SUMIFS(Manual_Certificados!$B:$B,Manual_Certificados!$E:$E,Plantilla_Certificados!$C24)</f>
        <v>230875</v>
      </c>
      <c r="F24" s="71">
        <f>+SUMIFS(Manual_Certificados!K:K,Manual_Certificados!E:E,Plantilla_Certificados!C24)</f>
        <v>5966420.5864511896</v>
      </c>
      <c r="G24" s="72">
        <f t="shared" si="0"/>
        <v>596642.05864511896</v>
      </c>
      <c r="H24" s="71">
        <f t="shared" si="1"/>
        <v>5369778.5278060706</v>
      </c>
      <c r="I24" s="71">
        <f t="shared" si="2"/>
        <v>23865.682345804758</v>
      </c>
      <c r="J24" s="71">
        <f t="shared" si="3"/>
        <v>5345912.8454602659</v>
      </c>
      <c r="K24" s="91">
        <f>+IFERROR(VLOOKUP(C24,#REF!,32,FALSE),0)</f>
        <v>0</v>
      </c>
      <c r="L24" s="102"/>
      <c r="M24" s="102"/>
    </row>
    <row r="25" spans="1:13" x14ac:dyDescent="0.2">
      <c r="A25" s="46"/>
      <c r="B25" s="68">
        <f t="shared" si="4"/>
        <v>20</v>
      </c>
      <c r="C25" s="98" t="s">
        <v>44</v>
      </c>
      <c r="D25" s="70">
        <f>+VLOOKUP(Table1[[#This Row],[Clientes]],MARGEN!A:B,2,FALSE)</f>
        <v>0.09</v>
      </c>
      <c r="E25" s="71">
        <f>SUMIFS(Manual_Certificados!$B:$B,Manual_Certificados!$E:$E,Plantilla_Certificados!$C25)</f>
        <v>109952</v>
      </c>
      <c r="F25" s="71">
        <f>+SUMIFS(Manual_Certificados!K:K,Manual_Certificados!E:E,Plantilla_Certificados!C25)</f>
        <v>2841450.4659295334</v>
      </c>
      <c r="G25" s="72">
        <f t="shared" si="0"/>
        <v>255730.54193365798</v>
      </c>
      <c r="H25" s="71">
        <f t="shared" si="1"/>
        <v>2585719.9239958753</v>
      </c>
      <c r="I25" s="71">
        <f t="shared" si="2"/>
        <v>11365.801863718134</v>
      </c>
      <c r="J25" s="71">
        <f t="shared" si="3"/>
        <v>2574354.122132157</v>
      </c>
      <c r="K25" s="91">
        <f>+IFERROR(VLOOKUP(C25,#REF!,32,FALSE),0)</f>
        <v>0</v>
      </c>
      <c r="L25" s="102"/>
      <c r="M25" s="102"/>
    </row>
    <row r="26" spans="1:13" x14ac:dyDescent="0.2">
      <c r="A26" s="46"/>
      <c r="B26" s="68">
        <f t="shared" si="4"/>
        <v>21</v>
      </c>
      <c r="C26" s="68" t="s">
        <v>48</v>
      </c>
      <c r="D26" s="70">
        <f>+VLOOKUP(Table1[[#This Row],[Clientes]],MARGEN!A:B,2,FALSE)</f>
        <v>0.09</v>
      </c>
      <c r="E26" s="71">
        <f>SUMIFS(Manual_Certificados!$B:$B,Manual_Certificados!$E:$E,Plantilla_Certificados!$C26)</f>
        <v>669400</v>
      </c>
      <c r="F26" s="71">
        <f>+SUMIFS(Manual_Certificados!K:K,Manual_Certificados!E:E,Plantilla_Certificados!C26)</f>
        <v>17299066.337067351</v>
      </c>
      <c r="G26" s="72">
        <f t="shared" si="0"/>
        <v>1556915.9703360614</v>
      </c>
      <c r="H26" s="71">
        <f t="shared" si="1"/>
        <v>15742150.36673129</v>
      </c>
      <c r="I26" s="71">
        <f t="shared" si="2"/>
        <v>69196.2653482694</v>
      </c>
      <c r="J26" s="71">
        <f t="shared" si="3"/>
        <v>15672954.101383021</v>
      </c>
      <c r="K26" s="91">
        <f>+IFERROR(VLOOKUP(C26,#REF!,32,FALSE),0)</f>
        <v>0</v>
      </c>
      <c r="L26" s="102"/>
      <c r="M26" s="102"/>
    </row>
    <row r="27" spans="1:13" x14ac:dyDescent="0.2">
      <c r="A27" s="46"/>
      <c r="B27" s="68">
        <f t="shared" si="4"/>
        <v>22</v>
      </c>
      <c r="C27" s="68" t="s">
        <v>229</v>
      </c>
      <c r="D27" s="70">
        <f>+VLOOKUP(Table1[[#This Row],[Clientes]],MARGEN!A:B,2,FALSE)</f>
        <v>0.1</v>
      </c>
      <c r="E27" s="71">
        <f>SUMIFS(Manual_Certificados!$B:$B,Manual_Certificados!$E:$E,Plantilla_Certificados!$C27)</f>
        <v>1648773</v>
      </c>
      <c r="F27" s="71">
        <f>+SUMIFS(Manual_Certificados!K:K,Manual_Certificados!E:E,Plantilla_Certificados!C27)</f>
        <v>42608654.768099129</v>
      </c>
      <c r="G27" s="72">
        <f t="shared" si="0"/>
        <v>4260865.4768099133</v>
      </c>
      <c r="H27" s="71">
        <f t="shared" si="1"/>
        <v>38347789.291289218</v>
      </c>
      <c r="I27" s="71">
        <f t="shared" si="2"/>
        <v>170434.61907239651</v>
      </c>
      <c r="J27" s="71">
        <f t="shared" si="3"/>
        <v>38177354.672216818</v>
      </c>
      <c r="K27" s="91">
        <f>+IFERROR(VLOOKUP(C27,#REF!,32,FALSE),0)</f>
        <v>0</v>
      </c>
      <c r="L27" s="102"/>
      <c r="M27" s="102"/>
    </row>
    <row r="28" spans="1:13" x14ac:dyDescent="0.2">
      <c r="A28" s="46"/>
      <c r="B28" s="68">
        <f t="shared" si="4"/>
        <v>23</v>
      </c>
      <c r="C28" s="68" t="s">
        <v>60</v>
      </c>
      <c r="D28" s="70">
        <f>+VLOOKUP(Table1[[#This Row],[Clientes]],MARGEN!A:B,2,FALSE)</f>
        <v>0.1</v>
      </c>
      <c r="E28" s="71">
        <f>SUMIFS(Manual_Certificados!$B:$B,Manual_Certificados!$E:$E,Plantilla_Certificados!$C28)</f>
        <v>530325</v>
      </c>
      <c r="F28" s="71">
        <f>+SUMIFS(Manual_Certificados!K:K,Manual_Certificados!E:E,Plantilla_Certificados!C28)</f>
        <v>13705000.530632274</v>
      </c>
      <c r="G28" s="72">
        <f t="shared" si="0"/>
        <v>1370500.0530632276</v>
      </c>
      <c r="H28" s="71">
        <f t="shared" si="1"/>
        <v>12334500.477569047</v>
      </c>
      <c r="I28" s="71">
        <f t="shared" si="2"/>
        <v>54820.002122529098</v>
      </c>
      <c r="J28" s="71">
        <f t="shared" si="3"/>
        <v>12279680.475446519</v>
      </c>
      <c r="K28" s="91">
        <f>+IFERROR(VLOOKUP(C28,#REF!,32,FALSE),0)</f>
        <v>0</v>
      </c>
      <c r="L28" s="102"/>
      <c r="M28" s="102"/>
    </row>
    <row r="29" spans="1:13" x14ac:dyDescent="0.2">
      <c r="A29" s="46"/>
      <c r="B29" s="68">
        <f t="shared" si="4"/>
        <v>24</v>
      </c>
      <c r="C29" s="68" t="s">
        <v>571</v>
      </c>
      <c r="D29" s="70">
        <f>+VLOOKUP(Table1[[#This Row],[Clientes]],MARGEN!A:B,2,FALSE)</f>
        <v>0.1</v>
      </c>
      <c r="E29" s="71">
        <f>SUMIFS(Manual_Certificados!$B:$B,Manual_Certificados!$E:$E,Plantilla_Certificados!$C29)</f>
        <v>91418</v>
      </c>
      <c r="F29" s="71">
        <f>+SUMIFS(Manual_Certificados!K:K,Manual_Certificados!E:E,Plantilla_Certificados!C29)</f>
        <v>2362482.8897550395</v>
      </c>
      <c r="G29" s="72">
        <f t="shared" si="0"/>
        <v>236248.28897550397</v>
      </c>
      <c r="H29" s="71">
        <f t="shared" si="1"/>
        <v>2126234.6007795357</v>
      </c>
      <c r="I29" s="71">
        <f t="shared" si="2"/>
        <v>9449.9315590201586</v>
      </c>
      <c r="J29" s="71">
        <f t="shared" si="3"/>
        <v>2116784.6692205155</v>
      </c>
      <c r="K29" s="91">
        <f>+IFERROR(VLOOKUP(C29,#REF!,32,FALSE),0)</f>
        <v>0</v>
      </c>
      <c r="L29" s="102"/>
      <c r="M29" s="102"/>
    </row>
    <row r="30" spans="1:13" x14ac:dyDescent="0.2">
      <c r="A30" s="46"/>
      <c r="B30" s="68">
        <f t="shared" si="4"/>
        <v>25</v>
      </c>
      <c r="C30" s="68" t="s">
        <v>256</v>
      </c>
      <c r="D30" s="70">
        <f>+VLOOKUP(Table1[[#This Row],[Clientes]],MARGEN!A:B,2,FALSE)</f>
        <v>0.1</v>
      </c>
      <c r="E30" s="71">
        <f>SUMIFS(Manual_Certificados!$B:$B,Manual_Certificados!$E:$E,Plantilla_Certificados!$C30)</f>
        <v>103898</v>
      </c>
      <c r="F30" s="71">
        <f>+SUMIFS(Manual_Certificados!K:K,Manual_Certificados!E:E,Plantilla_Certificados!C30)</f>
        <v>2684999.0951428502</v>
      </c>
      <c r="G30" s="72">
        <f t="shared" si="0"/>
        <v>268499.90951428504</v>
      </c>
      <c r="H30" s="71">
        <f t="shared" si="1"/>
        <v>2416499.185628565</v>
      </c>
      <c r="I30" s="71">
        <f t="shared" si="2"/>
        <v>10739.996380571401</v>
      </c>
      <c r="J30" s="71">
        <f t="shared" si="3"/>
        <v>2405759.1892479938</v>
      </c>
      <c r="K30" s="91">
        <f>+IFERROR(VLOOKUP(C30,#REF!,32,FALSE),0)</f>
        <v>0</v>
      </c>
      <c r="L30" s="102"/>
      <c r="M30" s="102"/>
    </row>
    <row r="31" spans="1:13" x14ac:dyDescent="0.2">
      <c r="A31" s="46"/>
      <c r="B31" s="68">
        <f t="shared" si="4"/>
        <v>26</v>
      </c>
      <c r="C31" s="68" t="s">
        <v>228</v>
      </c>
      <c r="D31" s="70">
        <f>+VLOOKUP(Table1[[#This Row],[Clientes]],MARGEN!A:B,2,FALSE)</f>
        <v>0.1</v>
      </c>
      <c r="E31" s="71">
        <f>SUMIFS(Manual_Certificados!$B:$B,Manual_Certificados!$E:$E,Plantilla_Certificados!$C31)</f>
        <v>132843</v>
      </c>
      <c r="F31" s="71">
        <f>+SUMIFS(Manual_Certificados!K:K,Manual_Certificados!E:E,Plantilla_Certificados!C31)</f>
        <v>3433014.444898474</v>
      </c>
      <c r="G31" s="72">
        <f t="shared" si="0"/>
        <v>343301.4444898474</v>
      </c>
      <c r="H31" s="71">
        <f t="shared" si="1"/>
        <v>3089713.0004086266</v>
      </c>
      <c r="I31" s="71">
        <f t="shared" si="2"/>
        <v>13732.057779593895</v>
      </c>
      <c r="J31" s="71">
        <f t="shared" si="3"/>
        <v>3075980.9426290328</v>
      </c>
      <c r="K31" s="91">
        <f>+IFERROR(VLOOKUP(C31,#REF!,32,FALSE),0)</f>
        <v>0</v>
      </c>
      <c r="L31" s="102"/>
      <c r="M31" s="102"/>
    </row>
    <row r="32" spans="1:13" x14ac:dyDescent="0.2">
      <c r="A32" s="46"/>
      <c r="B32" s="68">
        <f t="shared" si="4"/>
        <v>27</v>
      </c>
      <c r="C32" s="68" t="s">
        <v>257</v>
      </c>
      <c r="D32" s="70">
        <f>+VLOOKUP(Table1[[#This Row],[Clientes]],MARGEN!A:B,2,FALSE)</f>
        <v>0.1</v>
      </c>
      <c r="E32" s="71">
        <f>SUMIFS(Manual_Certificados!$B:$B,Manual_Certificados!$E:$E,Plantilla_Certificados!$C32)</f>
        <v>80235</v>
      </c>
      <c r="F32" s="71">
        <f>+SUMIFS(Manual_Certificados!K:K,Manual_Certificados!E:E,Plantilla_Certificados!C32)</f>
        <v>2073484.594494472</v>
      </c>
      <c r="G32" s="72">
        <f t="shared" ref="G32" si="5">F32*D32</f>
        <v>207348.45944944723</v>
      </c>
      <c r="H32" s="71">
        <f t="shared" ref="H32" si="6">F32-G32</f>
        <v>1866136.1350450248</v>
      </c>
      <c r="I32" s="71">
        <f t="shared" ref="I32" si="7">+F32*4/1000</f>
        <v>8293.9383779778873</v>
      </c>
      <c r="J32" s="71">
        <f t="shared" ref="J32" si="8">F32-G32-I32</f>
        <v>1857842.196667047</v>
      </c>
      <c r="K32" s="91">
        <f>+IFERROR(VLOOKUP(C32,#REF!,32,FALSE),0)</f>
        <v>0</v>
      </c>
      <c r="L32" s="102"/>
      <c r="M32" s="102"/>
    </row>
    <row r="33" spans="1:13" x14ac:dyDescent="0.2">
      <c r="A33" s="46"/>
      <c r="B33" s="68">
        <f t="shared" si="4"/>
        <v>28</v>
      </c>
      <c r="C33" s="68" t="s">
        <v>69</v>
      </c>
      <c r="D33" s="70">
        <f>+VLOOKUP(Table1[[#This Row],[Clientes]],MARGEN!A:B,2,FALSE)</f>
        <v>0.1</v>
      </c>
      <c r="E33" s="71">
        <f>SUMIFS(Manual_Certificados!$B:$B,Manual_Certificados!$E:$E,Plantilla_Certificados!$C33)</f>
        <v>315231</v>
      </c>
      <c r="F33" s="71">
        <f>+SUMIFS(Manual_Certificados!K:K,Manual_Certificados!E:E,Plantilla_Certificados!C33)</f>
        <v>8146402.7195997592</v>
      </c>
      <c r="G33" s="72">
        <f t="shared" si="0"/>
        <v>814640.27195997594</v>
      </c>
      <c r="H33" s="71">
        <f t="shared" si="1"/>
        <v>7331762.4476397829</v>
      </c>
      <c r="I33" s="71">
        <f t="shared" si="2"/>
        <v>32585.610878399038</v>
      </c>
      <c r="J33" s="71">
        <f t="shared" si="3"/>
        <v>7299176.8367613843</v>
      </c>
      <c r="K33" s="91">
        <f>+IFERROR(VLOOKUP(C33,#REF!,32,FALSE),0)</f>
        <v>0</v>
      </c>
      <c r="L33" s="102"/>
      <c r="M33" s="102"/>
    </row>
    <row r="34" spans="1:13" x14ac:dyDescent="0.2">
      <c r="A34" s="46"/>
      <c r="B34" s="68">
        <f t="shared" si="4"/>
        <v>29</v>
      </c>
      <c r="C34" s="68" t="s">
        <v>240</v>
      </c>
      <c r="D34" s="70">
        <f>+VLOOKUP(Table1[[#This Row],[Clientes]],MARGEN!A:B,2,FALSE)</f>
        <v>0.1</v>
      </c>
      <c r="E34" s="71">
        <f>SUMIFS(Manual_Certificados!$B:$B,Manual_Certificados!$E:$E,Plantilla_Certificados!$C34)</f>
        <v>1213000</v>
      </c>
      <c r="F34" s="71">
        <f>+SUMIFS(Manual_Certificados!K:K,Manual_Certificados!E:E,Plantilla_Certificados!C34)</f>
        <v>31347127.975594111</v>
      </c>
      <c r="G34" s="72">
        <f t="shared" si="0"/>
        <v>3134712.7975594113</v>
      </c>
      <c r="H34" s="71">
        <f t="shared" si="1"/>
        <v>28212415.1780347</v>
      </c>
      <c r="I34" s="71">
        <f t="shared" si="2"/>
        <v>125388.51190237644</v>
      </c>
      <c r="J34" s="71">
        <f t="shared" si="3"/>
        <v>28087026.666132323</v>
      </c>
      <c r="K34" s="91">
        <f>+IFERROR(VLOOKUP(C34,#REF!,32,FALSE),0)</f>
        <v>0</v>
      </c>
      <c r="L34" s="102"/>
      <c r="M34" s="102"/>
    </row>
    <row r="35" spans="1:13" x14ac:dyDescent="0.2">
      <c r="A35" s="46"/>
      <c r="B35" s="68">
        <f t="shared" si="4"/>
        <v>30</v>
      </c>
      <c r="C35" s="68" t="s">
        <v>64</v>
      </c>
      <c r="D35" s="70">
        <f>+VLOOKUP(Table1[[#This Row],[Clientes]],MARGEN!A:B,2,FALSE)</f>
        <v>0.1</v>
      </c>
      <c r="E35" s="71">
        <f>SUMIFS(Manual_Certificados!$B:$B,Manual_Certificados!$E:$E,Plantilla_Certificados!$C35)</f>
        <v>3719571</v>
      </c>
      <c r="F35" s="71">
        <f>+SUMIFS(Manual_Certificados!K:K,Manual_Certificados!E:E,Plantilla_Certificados!C35)</f>
        <v>96123551.649883419</v>
      </c>
      <c r="G35" s="72">
        <f t="shared" si="0"/>
        <v>9612355.1649883427</v>
      </c>
      <c r="H35" s="71">
        <f t="shared" si="1"/>
        <v>86511196.48489508</v>
      </c>
      <c r="I35" s="71">
        <f t="shared" si="2"/>
        <v>384494.20659953367</v>
      </c>
      <c r="J35" s="71">
        <f t="shared" si="3"/>
        <v>86126702.278295547</v>
      </c>
      <c r="K35" s="91">
        <f>+IFERROR(VLOOKUP(C35,#REF!,32,FALSE),0)</f>
        <v>0</v>
      </c>
      <c r="L35" s="102"/>
      <c r="M35" s="102"/>
    </row>
    <row r="36" spans="1:13" x14ac:dyDescent="0.2">
      <c r="A36" s="46"/>
      <c r="B36" s="68">
        <f t="shared" si="4"/>
        <v>31</v>
      </c>
      <c r="C36" s="68" t="s">
        <v>258</v>
      </c>
      <c r="D36" s="70">
        <f>+VLOOKUP(Table1[[#This Row],[Clientes]],MARGEN!A:B,2,FALSE)</f>
        <v>0.1</v>
      </c>
      <c r="E36" s="71">
        <f>SUMIFS(Manual_Certificados!$B:$B,Manual_Certificados!$E:$E,Plantilla_Certificados!$C36)</f>
        <v>2289392</v>
      </c>
      <c r="F36" s="71">
        <f>+SUMIFS(Manual_Certificados!K:K,Manual_Certificados!E:E,Plantilla_Certificados!C36)</f>
        <v>59163943.94913549</v>
      </c>
      <c r="G36" s="72">
        <f t="shared" si="0"/>
        <v>5916394.3949135495</v>
      </c>
      <c r="H36" s="71">
        <f t="shared" si="1"/>
        <v>53247549.554221943</v>
      </c>
      <c r="I36" s="71">
        <f t="shared" si="2"/>
        <v>236655.77579654197</v>
      </c>
      <c r="J36" s="71">
        <f t="shared" si="3"/>
        <v>53010893.778425403</v>
      </c>
      <c r="K36" s="91">
        <f>+IFERROR(VLOOKUP(C36,#REF!,32,FALSE),0)</f>
        <v>0</v>
      </c>
      <c r="L36" s="102"/>
      <c r="M36" s="102"/>
    </row>
    <row r="37" spans="1:13" x14ac:dyDescent="0.2">
      <c r="A37" s="46"/>
      <c r="B37" s="68">
        <f t="shared" si="4"/>
        <v>32</v>
      </c>
      <c r="C37" s="68" t="s">
        <v>53</v>
      </c>
      <c r="D37" s="70">
        <f>+VLOOKUP(Table1[[#This Row],[Clientes]],MARGEN!A:B,2,FALSE)</f>
        <v>0.1</v>
      </c>
      <c r="E37" s="71">
        <f>SUMIFS(Manual_Certificados!$B:$B,Manual_Certificados!$E:$E,Plantilla_Certificados!$C37)</f>
        <v>448655</v>
      </c>
      <c r="F37" s="71">
        <f>+SUMIFS(Manual_Certificados!K:K,Manual_Certificados!E:E,Plantilla_Certificados!C37)</f>
        <v>11594431.741047135</v>
      </c>
      <c r="G37" s="72">
        <f t="shared" si="0"/>
        <v>1159443.1741047136</v>
      </c>
      <c r="H37" s="71">
        <f t="shared" si="1"/>
        <v>10434988.566942422</v>
      </c>
      <c r="I37" s="71">
        <f t="shared" si="2"/>
        <v>46377.726964188536</v>
      </c>
      <c r="J37" s="71">
        <f t="shared" si="3"/>
        <v>10388610.839978233</v>
      </c>
      <c r="K37" s="91">
        <f>+IFERROR(VLOOKUP(C37,#REF!,32,FALSE),0)</f>
        <v>0</v>
      </c>
      <c r="L37" s="102"/>
      <c r="M37" s="102"/>
    </row>
    <row r="38" spans="1:13" x14ac:dyDescent="0.2">
      <c r="A38" s="46"/>
      <c r="B38" s="68">
        <f t="shared" si="4"/>
        <v>33</v>
      </c>
      <c r="C38" s="68" t="s">
        <v>140</v>
      </c>
      <c r="D38" s="70">
        <f>+VLOOKUP(Table1[[#This Row],[Clientes]],MARGEN!A:B,2,FALSE)</f>
        <v>0.1</v>
      </c>
      <c r="E38" s="71">
        <f>SUMIFS(Manual_Certificados!$B:$B,Manual_Certificados!$E:$E,Plantilla_Certificados!$C38)</f>
        <v>236121</v>
      </c>
      <c r="F38" s="71">
        <f>+SUMIFS(Manual_Certificados!K:K,Manual_Certificados!E:E,Plantilla_Certificados!C38)</f>
        <v>6101991.1003505839</v>
      </c>
      <c r="G38" s="72">
        <f t="shared" si="0"/>
        <v>610199.11003505846</v>
      </c>
      <c r="H38" s="71">
        <f t="shared" ref="H38:H44" si="9">F38-G38</f>
        <v>5491791.9903155258</v>
      </c>
      <c r="I38" s="71">
        <f t="shared" ref="I38:I44" si="10">+F38*4/1000</f>
        <v>24407.964401402336</v>
      </c>
      <c r="J38" s="71">
        <f t="shared" ref="J38:J44" si="11">F38-G38-I38</f>
        <v>5467384.0259141233</v>
      </c>
      <c r="K38" s="91">
        <f>+IFERROR(VLOOKUP(C38,#REF!,32,FALSE),0)</f>
        <v>0</v>
      </c>
      <c r="L38" s="102"/>
      <c r="M38" s="102"/>
    </row>
    <row r="39" spans="1:13" x14ac:dyDescent="0.2">
      <c r="A39" s="46"/>
      <c r="B39" s="68">
        <f t="shared" si="4"/>
        <v>34</v>
      </c>
      <c r="C39" s="68" t="s">
        <v>241</v>
      </c>
      <c r="D39" s="70">
        <f>+VLOOKUP(Table1[[#This Row],[Clientes]],MARGEN!A:B,2,FALSE)</f>
        <v>0.1</v>
      </c>
      <c r="E39" s="71">
        <f>SUMIFS(Manual_Certificados!$B:$B,Manual_Certificados!$E:$E,Plantilla_Certificados!$C39)</f>
        <v>105572</v>
      </c>
      <c r="F39" s="71">
        <f>+SUMIFS(Manual_Certificados!K:K,Manual_Certificados!E:E,Plantilla_Certificados!C39)</f>
        <v>2728259.6823078496</v>
      </c>
      <c r="G39" s="72">
        <f t="shared" si="0"/>
        <v>272825.96823078499</v>
      </c>
      <c r="H39" s="71">
        <f t="shared" si="9"/>
        <v>2455433.7140770648</v>
      </c>
      <c r="I39" s="71">
        <f t="shared" si="10"/>
        <v>10913.038729231399</v>
      </c>
      <c r="J39" s="71">
        <f t="shared" si="11"/>
        <v>2444520.6753478334</v>
      </c>
      <c r="K39" s="91">
        <f>+IFERROR(VLOOKUP(C39,#REF!,32,FALSE),0)</f>
        <v>0</v>
      </c>
      <c r="L39" s="102"/>
      <c r="M39" s="102"/>
    </row>
    <row r="40" spans="1:13" x14ac:dyDescent="0.2">
      <c r="A40" s="46"/>
      <c r="B40" s="68">
        <f t="shared" si="4"/>
        <v>35</v>
      </c>
      <c r="C40" s="68" t="s">
        <v>65</v>
      </c>
      <c r="D40" s="70">
        <f>+VLOOKUP(Table1[[#This Row],[Clientes]],MARGEN!A:B,2,FALSE)</f>
        <v>0.08</v>
      </c>
      <c r="E40" s="71">
        <f>SUMIFS(Manual_Certificados!$B:$B,Manual_Certificados!$E:$E,Plantilla_Certificados!$C40)</f>
        <v>13246870</v>
      </c>
      <c r="F40" s="71">
        <f>+SUMIFS(Manual_Certificados!K:K,Manual_Certificados!E:E,Plantilla_Certificados!C40)</f>
        <v>342334154.30013055</v>
      </c>
      <c r="G40" s="72">
        <f t="shared" si="0"/>
        <v>27386732.344010442</v>
      </c>
      <c r="H40" s="71">
        <f t="shared" si="9"/>
        <v>314947421.95612013</v>
      </c>
      <c r="I40" s="71">
        <f t="shared" si="10"/>
        <v>1369336.6172005222</v>
      </c>
      <c r="J40" s="71">
        <f t="shared" si="11"/>
        <v>313578085.33891964</v>
      </c>
      <c r="K40" s="91">
        <f>+IFERROR(VLOOKUP(C40,#REF!,32,FALSE),0)</f>
        <v>0</v>
      </c>
      <c r="L40" s="102"/>
      <c r="M40" s="102"/>
    </row>
    <row r="41" spans="1:13" s="46" customFormat="1" x14ac:dyDescent="0.2">
      <c r="B41" s="68">
        <f t="shared" si="4"/>
        <v>36</v>
      </c>
      <c r="C41" s="68" t="s">
        <v>38</v>
      </c>
      <c r="D41" s="70">
        <f>+VLOOKUP(Table1[[#This Row],[Clientes]],MARGEN!A:B,2,FALSE)</f>
        <v>0.1</v>
      </c>
      <c r="E41" s="71">
        <f>SUMIFS(Manual_Certificados!$B:$B,Manual_Certificados!$E:$E,Plantilla_Certificados!$C41)</f>
        <v>415080</v>
      </c>
      <c r="F41" s="71">
        <f>+SUMIFS(Manual_Certificados!K:K,Manual_Certificados!E:E,Plantilla_Certificados!C41)</f>
        <v>10726764.946504207</v>
      </c>
      <c r="G41" s="72">
        <f t="shared" si="0"/>
        <v>1072676.4946504207</v>
      </c>
      <c r="H41" s="71">
        <f t="shared" si="9"/>
        <v>9654088.4518537857</v>
      </c>
      <c r="I41" s="71">
        <f t="shared" si="10"/>
        <v>42907.059786016827</v>
      </c>
      <c r="J41" s="71">
        <f t="shared" si="11"/>
        <v>9611181.3920677695</v>
      </c>
      <c r="K41" s="91">
        <f>+IFERROR(VLOOKUP(C41,#REF!,32,FALSE),0)</f>
        <v>0</v>
      </c>
      <c r="L41" s="102"/>
      <c r="M41" s="102"/>
    </row>
    <row r="42" spans="1:13" x14ac:dyDescent="0.2">
      <c r="A42" s="46"/>
      <c r="B42" s="68">
        <f t="shared" si="4"/>
        <v>37</v>
      </c>
      <c r="C42" s="68" t="s">
        <v>259</v>
      </c>
      <c r="D42" s="70">
        <f>+VLOOKUP(Table1[[#This Row],[Clientes]],MARGEN!A:B,2,FALSE)</f>
        <v>0.1</v>
      </c>
      <c r="E42" s="71">
        <f>SUMIFS(Manual_Certificados!$B:$B,Manual_Certificados!$E:$E,Plantilla_Certificados!$C42)</f>
        <v>269968</v>
      </c>
      <c r="F42" s="71">
        <f>+SUMIFS(Manual_Certificados!K:K,Manual_Certificados!E:E,Plantilla_Certificados!C42)</f>
        <v>6976687.0942417067</v>
      </c>
      <c r="G42" s="72">
        <f t="shared" si="0"/>
        <v>697668.70942417067</v>
      </c>
      <c r="H42" s="71">
        <f t="shared" si="9"/>
        <v>6279018.384817536</v>
      </c>
      <c r="I42" s="71">
        <f t="shared" si="10"/>
        <v>27906.748376966825</v>
      </c>
      <c r="J42" s="71">
        <f t="shared" si="11"/>
        <v>6251111.6364405695</v>
      </c>
      <c r="K42" s="91">
        <f>+IFERROR(VLOOKUP(C42,#REF!,32,FALSE),0)</f>
        <v>0</v>
      </c>
      <c r="L42" s="102"/>
      <c r="M42" s="102"/>
    </row>
    <row r="43" spans="1:13" x14ac:dyDescent="0.2">
      <c r="A43" s="46"/>
      <c r="B43" s="68">
        <f t="shared" si="4"/>
        <v>38</v>
      </c>
      <c r="C43" s="68" t="s">
        <v>45</v>
      </c>
      <c r="D43" s="70">
        <f>+VLOOKUP(Table1[[#This Row],[Clientes]],MARGEN!A:B,2,FALSE)</f>
        <v>0.1</v>
      </c>
      <c r="E43" s="71">
        <f>SUMIFS(Manual_Certificados!$B:$B,Manual_Certificados!$E:$E,Plantilla_Certificados!$C43)</f>
        <v>3598336</v>
      </c>
      <c r="F43" s="71">
        <f>+SUMIFS(Manual_Certificados!K:K,Manual_Certificados!E:E,Plantilla_Certificados!C43)</f>
        <v>92990518.624227062</v>
      </c>
      <c r="G43" s="72">
        <f t="shared" si="0"/>
        <v>9299051.8624227066</v>
      </c>
      <c r="H43" s="71">
        <f t="shared" si="9"/>
        <v>83691466.761804357</v>
      </c>
      <c r="I43" s="71">
        <f t="shared" si="10"/>
        <v>371962.07449690823</v>
      </c>
      <c r="J43" s="71">
        <f t="shared" si="11"/>
        <v>83319504.687307447</v>
      </c>
      <c r="K43" s="91">
        <f>+IFERROR(VLOOKUP(C43,#REF!,32,FALSE),0)</f>
        <v>0</v>
      </c>
      <c r="L43" s="102"/>
      <c r="M43" s="102"/>
    </row>
    <row r="44" spans="1:13" x14ac:dyDescent="0.2">
      <c r="A44" s="46"/>
      <c r="B44" s="68">
        <f t="shared" si="4"/>
        <v>39</v>
      </c>
      <c r="C44" s="68" t="s">
        <v>35</v>
      </c>
      <c r="D44" s="70">
        <f>+VLOOKUP(Table1[[#This Row],[Clientes]],MARGEN!A:B,2,FALSE)</f>
        <v>0.1</v>
      </c>
      <c r="E44" s="71">
        <f>SUMIFS(Manual_Certificados!$B:$B,Manual_Certificados!$E:$E,Plantilla_Certificados!$C44)</f>
        <v>2863606</v>
      </c>
      <c r="F44" s="71">
        <f>+SUMIFS(Manual_Certificados!K:K,Manual_Certificados!E:E,Plantilla_Certificados!C44)</f>
        <v>98829113.904720008</v>
      </c>
      <c r="G44" s="72">
        <f t="shared" si="0"/>
        <v>9882911.3904720005</v>
      </c>
      <c r="H44" s="71">
        <f t="shared" si="9"/>
        <v>88946202.514248013</v>
      </c>
      <c r="I44" s="71">
        <f t="shared" si="10"/>
        <v>395316.45561888005</v>
      </c>
      <c r="J44" s="71">
        <f t="shared" si="11"/>
        <v>88550886.05862914</v>
      </c>
      <c r="K44" s="91">
        <f>+IFERROR(VLOOKUP(C44,#REF!,32,FALSE),0)</f>
        <v>0</v>
      </c>
      <c r="L44" s="102"/>
      <c r="M44" s="102"/>
    </row>
    <row r="45" spans="1:13" x14ac:dyDescent="0.2">
      <c r="A45" s="46"/>
      <c r="B45" s="68">
        <f t="shared" si="4"/>
        <v>40</v>
      </c>
      <c r="C45" s="68" t="s">
        <v>40</v>
      </c>
      <c r="D45" s="70">
        <f>+VLOOKUP(Table1[[#This Row],[Clientes]],MARGEN!A:B,2,FALSE)</f>
        <v>0.1</v>
      </c>
      <c r="E45" s="71">
        <f>SUMIFS(Manual_Certificados!$B:$B,Manual_Certificados!$E:$E,Plantilla_Certificados!$C45)</f>
        <v>1849800</v>
      </c>
      <c r="F45" s="71">
        <f>+SUMIFS(Manual_Certificados!K:K,Manual_Certificados!E:E,Plantilla_Certificados!C45)</f>
        <v>47803724.096664459</v>
      </c>
      <c r="G45" s="72">
        <f t="shared" si="0"/>
        <v>4780372.409666446</v>
      </c>
      <c r="H45" s="71">
        <f t="shared" si="1"/>
        <v>43023351.68699801</v>
      </c>
      <c r="I45" s="71">
        <f t="shared" si="2"/>
        <v>191214.89638665784</v>
      </c>
      <c r="J45" s="71">
        <f t="shared" si="3"/>
        <v>42832136.790611349</v>
      </c>
      <c r="K45" s="91">
        <f>+IFERROR(VLOOKUP(C45,#REF!,32,FALSE),0)</f>
        <v>0</v>
      </c>
      <c r="L45" s="102"/>
      <c r="M45" s="102"/>
    </row>
    <row r="46" spans="1:13" x14ac:dyDescent="0.2">
      <c r="A46" s="46"/>
      <c r="B46" s="68">
        <f t="shared" si="4"/>
        <v>41</v>
      </c>
      <c r="C46" s="68" t="s">
        <v>50</v>
      </c>
      <c r="D46" s="70">
        <f>+VLOOKUP(Table1[[#This Row],[Clientes]],MARGEN!A:B,2,FALSE)</f>
        <v>0.1</v>
      </c>
      <c r="E46" s="71">
        <f>SUMIFS(Manual_Certificados!$B:$B,Manual_Certificados!$E:$E,Plantilla_Certificados!$C46)</f>
        <v>514525</v>
      </c>
      <c r="F46" s="71">
        <f>+SUMIFS(Manual_Certificados!K:K,Manual_Certificados!E:E,Plantilla_Certificados!C46)</f>
        <v>13296686.744965021</v>
      </c>
      <c r="G46" s="72">
        <f t="shared" si="0"/>
        <v>1329668.6744965021</v>
      </c>
      <c r="H46" s="71">
        <f t="shared" si="1"/>
        <v>11967018.070468519</v>
      </c>
      <c r="I46" s="71">
        <f t="shared" si="2"/>
        <v>53186.74697986008</v>
      </c>
      <c r="J46" s="71">
        <f t="shared" si="3"/>
        <v>11913831.323488658</v>
      </c>
      <c r="K46" s="91">
        <f>+IFERROR(VLOOKUP(C46,#REF!,32,FALSE),0)</f>
        <v>0</v>
      </c>
      <c r="L46" s="102"/>
      <c r="M46" s="102"/>
    </row>
    <row r="47" spans="1:13" x14ac:dyDescent="0.2">
      <c r="A47" s="46"/>
      <c r="B47" s="68">
        <f t="shared" si="4"/>
        <v>42</v>
      </c>
      <c r="C47" s="68" t="s">
        <v>49</v>
      </c>
      <c r="D47" s="70">
        <f>+VLOOKUP(Table1[[#This Row],[Clientes]],MARGEN!A:B,2,FALSE)</f>
        <v>0.1</v>
      </c>
      <c r="E47" s="71">
        <f>SUMIFS(Manual_Certificados!$B:$B,Manual_Certificados!$E:$E,Plantilla_Certificados!$C47)</f>
        <v>246412</v>
      </c>
      <c r="F47" s="71">
        <f>+SUMIFS(Manual_Certificados!K:K,Manual_Certificados!E:E,Plantilla_Certificados!C47)</f>
        <v>6367937.7565722167</v>
      </c>
      <c r="G47" s="72">
        <f t="shared" ref="G47" si="12">F47*D47</f>
        <v>636793.77565722167</v>
      </c>
      <c r="H47" s="71">
        <f t="shared" ref="H47" si="13">F47-G47</f>
        <v>5731143.9809149951</v>
      </c>
      <c r="I47" s="71">
        <f t="shared" si="2"/>
        <v>25471.751026288868</v>
      </c>
      <c r="J47" s="71">
        <f t="shared" ref="J47" si="14">F47-G47-I47</f>
        <v>5705672.2298887065</v>
      </c>
      <c r="K47" s="91">
        <f>+IFERROR(VLOOKUP(C47,#REF!,32,FALSE),0)</f>
        <v>0</v>
      </c>
      <c r="L47" s="102"/>
      <c r="M47" s="102"/>
    </row>
    <row r="48" spans="1:13" x14ac:dyDescent="0.2">
      <c r="A48" s="46"/>
      <c r="B48" s="68">
        <f t="shared" si="4"/>
        <v>43</v>
      </c>
      <c r="C48" s="68" t="s">
        <v>17</v>
      </c>
      <c r="D48" s="70">
        <f>+VLOOKUP(Table1[[#This Row],[Clientes]],MARGEN!A:B,2,FALSE)</f>
        <v>0.1</v>
      </c>
      <c r="E48" s="71">
        <f>SUMIFS(Manual_Certificados!$B:$B,Manual_Certificados!$E:$E,Plantilla_Certificados!$C48)</f>
        <v>4727626</v>
      </c>
      <c r="F48" s="71">
        <f>+SUMIFS(Manual_Certificados!K:K,Manual_Certificados!E:E,Plantilla_Certificados!C48)</f>
        <v>122174358.81512442</v>
      </c>
      <c r="G48" s="72">
        <f t="shared" si="0"/>
        <v>12217435.881512443</v>
      </c>
      <c r="H48" s="71">
        <f t="shared" si="1"/>
        <v>109956922.93361197</v>
      </c>
      <c r="I48" s="71">
        <f t="shared" si="2"/>
        <v>488697.43526049767</v>
      </c>
      <c r="J48" s="71">
        <f t="shared" si="3"/>
        <v>109468225.49835147</v>
      </c>
      <c r="K48" s="91">
        <f>+IFERROR(VLOOKUP(C48,#REF!,32,FALSE),0)</f>
        <v>0</v>
      </c>
      <c r="L48" s="102"/>
      <c r="M48" s="102"/>
    </row>
    <row r="49" spans="1:13" s="46" customFormat="1" x14ac:dyDescent="0.2">
      <c r="A49" s="3"/>
      <c r="B49" s="68">
        <f t="shared" si="4"/>
        <v>44</v>
      </c>
      <c r="C49" s="68" t="s">
        <v>545</v>
      </c>
      <c r="D49" s="70">
        <f>+VLOOKUP(Table1[[#This Row],[Clientes]],MARGEN!A:B,2,FALSE)</f>
        <v>0.1</v>
      </c>
      <c r="E49" s="71">
        <f>SUMIFS(Manual_Certificados!$B:$B,Manual_Certificados!$E:$E,Plantilla_Certificados!$C49)</f>
        <v>214529</v>
      </c>
      <c r="F49" s="71">
        <f>+SUMIFS(Manual_Certificados!K:K,Manual_Certificados!E:E,Plantilla_Certificados!C49)</f>
        <v>5543996.7167982096</v>
      </c>
      <c r="G49" s="72">
        <f t="shared" si="0"/>
        <v>554399.67167982098</v>
      </c>
      <c r="H49" s="71">
        <f t="shared" si="1"/>
        <v>4989597.0451183887</v>
      </c>
      <c r="I49" s="71">
        <v>0</v>
      </c>
      <c r="J49" s="71">
        <f t="shared" si="3"/>
        <v>4989597.0451183887</v>
      </c>
      <c r="K49" s="91">
        <f>+IFERROR(VLOOKUP(C49,#REF!,32,FALSE),0)</f>
        <v>0</v>
      </c>
      <c r="L49" s="102"/>
      <c r="M49" s="102"/>
    </row>
    <row r="50" spans="1:13" s="46" customFormat="1" x14ac:dyDescent="0.2">
      <c r="A50" s="3"/>
      <c r="B50" s="68">
        <f t="shared" si="4"/>
        <v>45</v>
      </c>
      <c r="C50" s="68" t="s">
        <v>260</v>
      </c>
      <c r="D50" s="70">
        <f>+VLOOKUP(Table1[[#This Row],[Clientes]],MARGEN!A:B,2,FALSE)</f>
        <v>0.1</v>
      </c>
      <c r="E50" s="71">
        <f>SUMIFS(Manual_Certificados!$B:$B,Manual_Certificados!$E:$E,Plantilla_Certificados!$C50)</f>
        <v>30224</v>
      </c>
      <c r="F50" s="71">
        <f>+SUMIFS(Manual_Certificados!K:K,Manual_Certificados!E:E,Plantilla_Certificados!C50)</f>
        <v>781068.09227894165</v>
      </c>
      <c r="G50" s="72">
        <f t="shared" si="0"/>
        <v>78106.809227894162</v>
      </c>
      <c r="H50" s="71">
        <f t="shared" si="1"/>
        <v>702961.28305104747</v>
      </c>
      <c r="I50" s="71">
        <f t="shared" si="2"/>
        <v>3124.2723691157667</v>
      </c>
      <c r="J50" s="71">
        <f t="shared" si="3"/>
        <v>699837.01068193174</v>
      </c>
      <c r="K50" s="91">
        <f>+IFERROR(VLOOKUP(C50,#REF!,32,FALSE),0)</f>
        <v>0</v>
      </c>
      <c r="L50" s="102"/>
      <c r="M50" s="102"/>
    </row>
    <row r="51" spans="1:13" s="46" customFormat="1" x14ac:dyDescent="0.2">
      <c r="A51" s="3"/>
      <c r="B51" s="68">
        <f t="shared" si="4"/>
        <v>46</v>
      </c>
      <c r="C51" s="68" t="s">
        <v>231</v>
      </c>
      <c r="D51" s="70">
        <f>+VLOOKUP(Table1[[#This Row],[Clientes]],MARGEN!A:B,2,FALSE)</f>
        <v>0.1</v>
      </c>
      <c r="E51" s="71">
        <f>SUMIFS(Manual_Certificados!$B:$B,Manual_Certificados!$E:$E,Plantilla_Certificados!$C51)</f>
        <v>3180463</v>
      </c>
      <c r="F51" s="71">
        <f>+SUMIFS(Manual_Certificados!K:K,Manual_Certificados!E:E,Plantilla_Certificados!C51)</f>
        <v>82191575.171180576</v>
      </c>
      <c r="G51" s="72">
        <f t="shared" si="0"/>
        <v>8219157.5171180582</v>
      </c>
      <c r="H51" s="71">
        <f t="shared" si="1"/>
        <v>73972417.654062524</v>
      </c>
      <c r="I51" s="71">
        <f t="shared" si="2"/>
        <v>328766.30068472232</v>
      </c>
      <c r="J51" s="71">
        <f t="shared" si="3"/>
        <v>73643651.353377804</v>
      </c>
      <c r="K51" s="91">
        <f>+IFERROR(VLOOKUP(C51,#REF!,32,FALSE),0)</f>
        <v>0</v>
      </c>
      <c r="L51" s="102"/>
      <c r="M51" s="102"/>
    </row>
    <row r="52" spans="1:13" s="46" customFormat="1" x14ac:dyDescent="0.2">
      <c r="A52" s="3"/>
      <c r="B52" s="68">
        <f t="shared" si="4"/>
        <v>47</v>
      </c>
      <c r="C52" s="68" t="s">
        <v>227</v>
      </c>
      <c r="D52" s="70">
        <f>+VLOOKUP(Table1[[#This Row],[Clientes]],MARGEN!A:B,2,FALSE)</f>
        <v>0.1</v>
      </c>
      <c r="E52" s="71">
        <f>SUMIFS(Manual_Certificados!$B:$B,Manual_Certificados!$E:$E,Plantilla_Certificados!$C52)</f>
        <v>1871370</v>
      </c>
      <c r="F52" s="71">
        <f>+SUMIFS(Manual_Certificados!K:K,Manual_Certificados!E:E,Plantilla_Certificados!C52)</f>
        <v>48361149.942034252</v>
      </c>
      <c r="G52" s="72">
        <f t="shared" si="0"/>
        <v>4836114.994203425</v>
      </c>
      <c r="H52" s="71">
        <f t="shared" si="1"/>
        <v>43525034.947830826</v>
      </c>
      <c r="I52" s="71">
        <f t="shared" si="2"/>
        <v>193444.59976813701</v>
      </c>
      <c r="J52" s="71">
        <f t="shared" si="3"/>
        <v>43331590.348062687</v>
      </c>
      <c r="K52" s="91">
        <f>+IFERROR(VLOOKUP(C52,#REF!,32,FALSE),0)</f>
        <v>0</v>
      </c>
      <c r="L52" s="102"/>
      <c r="M52" s="102"/>
    </row>
    <row r="53" spans="1:13" x14ac:dyDescent="0.2">
      <c r="B53" s="68">
        <f t="shared" si="4"/>
        <v>48</v>
      </c>
      <c r="C53" s="68" t="s">
        <v>203</v>
      </c>
      <c r="D53" s="70">
        <f>+VLOOKUP(Table1[[#This Row],[Clientes]],MARGEN!A:B,2,FALSE)</f>
        <v>0.1</v>
      </c>
      <c r="E53" s="71">
        <f>SUMIFS(Manual_Certificados!$B:$B,Manual_Certificados!$E:$E,Plantilla_Certificados!$C53)</f>
        <v>720468</v>
      </c>
      <c r="F53" s="71">
        <f>+SUMIFS(Manual_Certificados!K:K,Manual_Certificados!E:E,Plantilla_Certificados!C53)</f>
        <v>18618798.514691126</v>
      </c>
      <c r="G53" s="72">
        <f t="shared" si="0"/>
        <v>1861879.8514691126</v>
      </c>
      <c r="H53" s="71">
        <f t="shared" si="1"/>
        <v>16756918.663222013</v>
      </c>
      <c r="I53" s="71">
        <f t="shared" si="2"/>
        <v>74475.194058764508</v>
      </c>
      <c r="J53" s="71">
        <f t="shared" si="3"/>
        <v>16682443.469163248</v>
      </c>
      <c r="K53" s="91">
        <f>+IFERROR(VLOOKUP(C53,#REF!,32,FALSE),0)</f>
        <v>0</v>
      </c>
      <c r="L53" s="102"/>
      <c r="M53" s="102"/>
    </row>
    <row r="54" spans="1:13" x14ac:dyDescent="0.2">
      <c r="B54" s="68">
        <f t="shared" si="4"/>
        <v>49</v>
      </c>
      <c r="C54" s="68" t="s">
        <v>55</v>
      </c>
      <c r="D54" s="70">
        <f>+VLOOKUP(Table1[[#This Row],[Clientes]],MARGEN!A:B,2,FALSE)</f>
        <v>0.1</v>
      </c>
      <c r="E54" s="71">
        <f>SUMIFS(Manual_Certificados!$B:$B,Manual_Certificados!$E:$E,Plantilla_Certificados!$C54)</f>
        <v>561740</v>
      </c>
      <c r="F54" s="71">
        <f>+SUMIFS(Manual_Certificados!K:K,Manual_Certificados!E:E,Plantilla_Certificados!C54)</f>
        <v>14516847.21270423</v>
      </c>
      <c r="G54" s="72">
        <f t="shared" si="0"/>
        <v>1451684.7212704231</v>
      </c>
      <c r="H54" s="71">
        <f t="shared" si="1"/>
        <v>13065162.491433807</v>
      </c>
      <c r="I54" s="71">
        <f t="shared" si="2"/>
        <v>58067.388850816918</v>
      </c>
      <c r="J54" s="71">
        <f t="shared" si="3"/>
        <v>13007095.102582989</v>
      </c>
      <c r="K54" s="91">
        <f>+IFERROR(VLOOKUP(C54,#REF!,32,FALSE),0)</f>
        <v>0</v>
      </c>
      <c r="L54" s="102"/>
      <c r="M54" s="102"/>
    </row>
    <row r="55" spans="1:13" x14ac:dyDescent="0.2">
      <c r="B55" s="68">
        <f t="shared" si="4"/>
        <v>50</v>
      </c>
      <c r="C55" s="68" t="s">
        <v>66</v>
      </c>
      <c r="D55" s="70">
        <f>+VLOOKUP(Table1[[#This Row],[Clientes]],MARGEN!A:B,2,FALSE)</f>
        <v>0.1</v>
      </c>
      <c r="E55" s="71">
        <f>SUMIFS(Manual_Certificados!$B:$B,Manual_Certificados!$E:$E,Plantilla_Certificados!$C55)</f>
        <v>652248</v>
      </c>
      <c r="F55" s="71">
        <f>+SUMIFS(Manual_Certificados!K:K,Manual_Certificados!E:E,Plantilla_Certificados!C55)</f>
        <v>16855813.295816414</v>
      </c>
      <c r="G55" s="72">
        <f t="shared" si="0"/>
        <v>1685581.3295816416</v>
      </c>
      <c r="H55" s="71">
        <f t="shared" si="1"/>
        <v>15170231.966234773</v>
      </c>
      <c r="I55" s="71">
        <f t="shared" si="2"/>
        <v>67423.253183265653</v>
      </c>
      <c r="J55" s="71">
        <f t="shared" si="3"/>
        <v>15102808.713051507</v>
      </c>
      <c r="K55" s="91">
        <f>+IFERROR(VLOOKUP(C55,#REF!,32,FALSE),0)</f>
        <v>0</v>
      </c>
      <c r="L55" s="102"/>
      <c r="M55" s="102"/>
    </row>
    <row r="56" spans="1:13" x14ac:dyDescent="0.2">
      <c r="B56" s="68">
        <f t="shared" si="4"/>
        <v>51</v>
      </c>
      <c r="C56" s="68" t="s">
        <v>25</v>
      </c>
      <c r="D56" s="70">
        <f>+VLOOKUP(Table1[[#This Row],[Clientes]],MARGEN!A:B,2,FALSE)</f>
        <v>0.1</v>
      </c>
      <c r="E56" s="71">
        <f>SUMIFS(Manual_Certificados!$B:$B,Manual_Certificados!$E:$E,Plantilla_Certificados!$C56)</f>
        <v>22109</v>
      </c>
      <c r="F56" s="71">
        <f>+SUMIFS(Manual_Certificados!K:K,Manual_Certificados!E:E,Plantilla_Certificados!C56)</f>
        <v>571355.03084287734</v>
      </c>
      <c r="G56" s="72">
        <f t="shared" si="0"/>
        <v>57135.503084287739</v>
      </c>
      <c r="H56" s="71">
        <f t="shared" si="1"/>
        <v>514219.5277585896</v>
      </c>
      <c r="I56" s="71">
        <f t="shared" si="2"/>
        <v>2285.4201233715094</v>
      </c>
      <c r="J56" s="71">
        <f t="shared" si="3"/>
        <v>511934.10763521807</v>
      </c>
      <c r="K56" s="91">
        <f>+IFERROR(VLOOKUP(C56,#REF!,32,FALSE),0)</f>
        <v>0</v>
      </c>
      <c r="L56" s="102"/>
      <c r="M56" s="102"/>
    </row>
    <row r="57" spans="1:13" x14ac:dyDescent="0.2">
      <c r="B57" s="68">
        <f t="shared" si="4"/>
        <v>52</v>
      </c>
      <c r="C57" s="68" t="s">
        <v>37</v>
      </c>
      <c r="D57" s="70">
        <f>+VLOOKUP(Table1[[#This Row],[Clientes]],MARGEN!A:B,2,FALSE)</f>
        <v>0.1</v>
      </c>
      <c r="E57" s="71">
        <f>SUMIFS(Manual_Certificados!$B:$B,Manual_Certificados!$E:$E,Plantilla_Certificados!$C57)</f>
        <v>646178</v>
      </c>
      <c r="F57" s="71">
        <f>+SUMIFS(Manual_Certificados!K:K,Manual_Certificados!E:E,Plantilla_Certificados!C57)</f>
        <v>16698948.442715123</v>
      </c>
      <c r="G57" s="72">
        <f t="shared" ref="G57:G58" si="15">F57*D57</f>
        <v>1669894.8442715125</v>
      </c>
      <c r="H57" s="71">
        <f t="shared" ref="H57:H58" si="16">F57-G57</f>
        <v>15029053.598443611</v>
      </c>
      <c r="I57" s="71">
        <f t="shared" si="2"/>
        <v>66795.793770860488</v>
      </c>
      <c r="J57" s="71">
        <f t="shared" ref="J57:J58" si="17">F57-G57-I57</f>
        <v>14962257.80467275</v>
      </c>
      <c r="K57" s="91">
        <f>+IFERROR(VLOOKUP(C57,#REF!,32,FALSE),0)</f>
        <v>0</v>
      </c>
      <c r="L57" s="102"/>
      <c r="M57" s="102"/>
    </row>
    <row r="58" spans="1:13" x14ac:dyDescent="0.2">
      <c r="B58" s="68">
        <f t="shared" si="4"/>
        <v>53</v>
      </c>
      <c r="C58" s="68" t="s">
        <v>232</v>
      </c>
      <c r="D58" s="70">
        <f>+VLOOKUP(Table1[[#This Row],[Clientes]],MARGEN!A:B,2,FALSE)</f>
        <v>0.1</v>
      </c>
      <c r="E58" s="71">
        <f>SUMIFS(Manual_Certificados!$B:$B,Manual_Certificados!$E:$E,Plantilla_Certificados!$C58)</f>
        <v>21698</v>
      </c>
      <c r="F58" s="71">
        <f>+SUMIFS(Manual_Certificados!K:K,Manual_Certificados!E:E,Plantilla_Certificados!C58)</f>
        <v>560733.70388659614</v>
      </c>
      <c r="G58" s="72">
        <f t="shared" si="15"/>
        <v>56073.370388659619</v>
      </c>
      <c r="H58" s="71">
        <f t="shared" si="16"/>
        <v>504660.33349793649</v>
      </c>
      <c r="I58" s="71">
        <f t="shared" si="2"/>
        <v>2242.9348155463845</v>
      </c>
      <c r="J58" s="71">
        <f t="shared" si="17"/>
        <v>502417.39868239011</v>
      </c>
      <c r="K58" s="91">
        <f>+IFERROR(VLOOKUP(C58,#REF!,32,FALSE),0)</f>
        <v>0</v>
      </c>
      <c r="L58" s="102"/>
      <c r="M58" s="102"/>
    </row>
    <row r="59" spans="1:13" x14ac:dyDescent="0.2">
      <c r="B59" s="22"/>
      <c r="C59" s="22"/>
      <c r="D59" s="73" t="s">
        <v>18</v>
      </c>
      <c r="E59" s="74">
        <f>SUM(E6:E58)</f>
        <v>73279140</v>
      </c>
      <c r="F59" s="74">
        <f>SUM(F6:F58)</f>
        <v>1922312951.1875203</v>
      </c>
      <c r="G59" s="74">
        <f>SUM(G6:G58)</f>
        <v>179759096.24392211</v>
      </c>
      <c r="H59" s="74">
        <f>SUM(H6:H58)</f>
        <v>1742553854.9435983</v>
      </c>
      <c r="I59" s="74">
        <f>SUM(I6:I58)</f>
        <v>7667075.817882888</v>
      </c>
      <c r="J59" s="74">
        <f>+SUM(J6:J58)</f>
        <v>1734886779.125715</v>
      </c>
      <c r="K59" s="91">
        <f>+AVERAGE(K6:K58)</f>
        <v>0</v>
      </c>
      <c r="L59" s="102"/>
      <c r="M59" s="102"/>
    </row>
    <row r="60" spans="1:13" x14ac:dyDescent="0.2">
      <c r="G60" s="12"/>
    </row>
    <row r="61" spans="1:13" x14ac:dyDescent="0.2">
      <c r="B61" s="8" t="s">
        <v>0</v>
      </c>
      <c r="C61" s="9" t="s">
        <v>3</v>
      </c>
      <c r="J61" s="12"/>
    </row>
    <row r="62" spans="1:13" x14ac:dyDescent="0.2">
      <c r="B62" s="1" t="str">
        <f>+VLOOKUP($C$3,$B$6:$C$58,2,0)</f>
        <v>ACESCO</v>
      </c>
      <c r="C62" s="2">
        <f>+MAX($E$100:$E$130)</f>
        <v>39478</v>
      </c>
    </row>
    <row r="64" spans="1:13" x14ac:dyDescent="0.2">
      <c r="B64" s="4" t="s">
        <v>4</v>
      </c>
      <c r="C64" s="4"/>
      <c r="H64" s="12"/>
    </row>
    <row r="65" spans="1:13" x14ac:dyDescent="0.2">
      <c r="J65" s="39"/>
    </row>
    <row r="66" spans="1:13" x14ac:dyDescent="0.2">
      <c r="B66" s="1" t="s">
        <v>0</v>
      </c>
      <c r="C66" s="3" t="str">
        <f>VLOOKUP(C3,B6:C58,2,FALSE)</f>
        <v>ACESCO</v>
      </c>
    </row>
    <row r="67" spans="1:13" s="54" customFormat="1" ht="13.5" thickBot="1" x14ac:dyDescent="0.25">
      <c r="B67" s="3"/>
      <c r="C67" s="3"/>
      <c r="D67" s="3"/>
      <c r="E67" s="3"/>
      <c r="F67" s="3"/>
      <c r="G67" s="3"/>
      <c r="H67" s="3"/>
      <c r="I67" s="3"/>
      <c r="J67" s="3"/>
      <c r="K67" s="89"/>
      <c r="L67" s="3"/>
      <c r="M67" s="3"/>
    </row>
    <row r="68" spans="1:13" x14ac:dyDescent="0.2">
      <c r="B68" s="18" t="s">
        <v>570</v>
      </c>
      <c r="C68" s="19">
        <f>+Manual_Certificados!J2</f>
        <v>3834.68</v>
      </c>
      <c r="D68" s="20"/>
      <c r="F68" s="10"/>
      <c r="G68" s="10"/>
      <c r="H68" s="11"/>
    </row>
    <row r="69" spans="1:13" x14ac:dyDescent="0.2">
      <c r="B69" s="21"/>
      <c r="C69" s="22"/>
      <c r="D69" s="23"/>
      <c r="H69" s="11"/>
    </row>
    <row r="70" spans="1:13" s="6" customFormat="1" x14ac:dyDescent="0.2">
      <c r="A70" s="44"/>
      <c r="B70" s="21"/>
      <c r="C70" s="15" t="s">
        <v>16</v>
      </c>
      <c r="D70" s="24" t="s">
        <v>43</v>
      </c>
      <c r="E70" s="3"/>
      <c r="F70" s="3"/>
      <c r="G70" s="3"/>
      <c r="H70" s="11"/>
      <c r="I70" s="3"/>
      <c r="J70" s="3"/>
      <c r="K70" s="89"/>
      <c r="L70" s="3"/>
      <c r="M70" s="3"/>
    </row>
    <row r="71" spans="1:13" s="6" customFormat="1" x14ac:dyDescent="0.2">
      <c r="A71" s="44">
        <v>1</v>
      </c>
      <c r="B71" s="25" t="s">
        <v>568</v>
      </c>
      <c r="C71" s="101">
        <v>9</v>
      </c>
      <c r="D71" s="26">
        <f>+C71*$C$68/1000</f>
        <v>34.512119999999996</v>
      </c>
      <c r="E71" s="3"/>
      <c r="F71" s="3"/>
      <c r="G71" s="3"/>
      <c r="H71" s="11"/>
      <c r="I71" s="3"/>
      <c r="J71" s="3"/>
      <c r="K71" s="89"/>
      <c r="L71" s="3"/>
      <c r="M71" s="3"/>
    </row>
    <row r="72" spans="1:13" s="6" customFormat="1" x14ac:dyDescent="0.2">
      <c r="A72" s="44">
        <v>2</v>
      </c>
      <c r="B72" s="25" t="s">
        <v>315</v>
      </c>
      <c r="C72" s="101">
        <v>6.7391919697301583</v>
      </c>
      <c r="D72" s="26">
        <f>+C72*$C$68/1000</f>
        <v>25.842644662484844</v>
      </c>
      <c r="E72" s="3"/>
      <c r="F72" s="10"/>
      <c r="G72" s="10"/>
      <c r="H72" s="3"/>
      <c r="I72" s="3"/>
      <c r="J72" s="3"/>
      <c r="K72" s="89"/>
      <c r="L72" s="3"/>
      <c r="M72" s="3"/>
    </row>
    <row r="73" spans="1:13" s="6" customFormat="1" x14ac:dyDescent="0.2">
      <c r="A73" s="44">
        <v>3</v>
      </c>
      <c r="B73" s="25" t="s">
        <v>315</v>
      </c>
      <c r="C73" s="16">
        <v>6.1</v>
      </c>
      <c r="D73" s="26">
        <f>+C73*$C$68/1000</f>
        <v>23.391548</v>
      </c>
      <c r="E73" s="3"/>
      <c r="F73" s="10"/>
      <c r="G73" s="10"/>
      <c r="H73" s="3"/>
      <c r="I73" s="3"/>
      <c r="J73" s="3"/>
      <c r="K73" s="89"/>
      <c r="L73" s="54"/>
      <c r="M73" s="54"/>
    </row>
    <row r="74" spans="1:13" s="6" customFormat="1" hidden="1" x14ac:dyDescent="0.2">
      <c r="A74" s="44"/>
      <c r="B74" s="25" t="s">
        <v>67</v>
      </c>
      <c r="C74" s="16">
        <v>0</v>
      </c>
      <c r="D74" s="26">
        <f>+C74*$C$68/1000</f>
        <v>0</v>
      </c>
      <c r="E74" s="3"/>
      <c r="F74" s="10"/>
      <c r="G74" s="10"/>
      <c r="H74" s="3"/>
      <c r="I74" s="3"/>
      <c r="J74" s="3"/>
      <c r="K74" s="89"/>
      <c r="L74" s="3"/>
      <c r="M74" s="3"/>
    </row>
    <row r="75" spans="1:13" s="6" customFormat="1" x14ac:dyDescent="0.2">
      <c r="A75" s="44"/>
      <c r="B75" s="56"/>
      <c r="C75" s="57"/>
      <c r="D75" s="58"/>
      <c r="E75" s="54"/>
      <c r="F75" s="55"/>
      <c r="G75" s="54"/>
      <c r="H75" s="55"/>
      <c r="I75" s="54"/>
      <c r="J75" s="54"/>
      <c r="K75" s="92"/>
      <c r="L75" s="3"/>
      <c r="M75" s="3"/>
    </row>
    <row r="76" spans="1:13" x14ac:dyDescent="0.2">
      <c r="A76" s="45"/>
      <c r="B76" s="59" t="s">
        <v>5</v>
      </c>
      <c r="C76" s="60">
        <f>VLOOKUP(C3,B6:D58,3,FALSE)</f>
        <v>0.1</v>
      </c>
      <c r="D76" s="23"/>
      <c r="G76" s="10"/>
      <c r="L76" s="6"/>
      <c r="M76" s="6"/>
    </row>
    <row r="77" spans="1:13" x14ac:dyDescent="0.2">
      <c r="A77" s="45"/>
      <c r="B77" s="21"/>
      <c r="C77" s="22"/>
      <c r="D77" s="23"/>
      <c r="G77" s="11"/>
      <c r="L77" s="6"/>
      <c r="M77" s="6"/>
    </row>
    <row r="78" spans="1:13" x14ac:dyDescent="0.2">
      <c r="B78" s="21"/>
      <c r="C78" s="22"/>
      <c r="D78" s="23"/>
      <c r="G78" s="11"/>
      <c r="L78" s="6"/>
      <c r="M78" s="6"/>
    </row>
    <row r="79" spans="1:13" x14ac:dyDescent="0.2">
      <c r="B79" s="27" t="str">
        <f>C66</f>
        <v>ACESCO</v>
      </c>
      <c r="C79" s="22"/>
      <c r="D79" s="23"/>
      <c r="G79" s="11"/>
      <c r="K79" s="93"/>
      <c r="L79" s="6"/>
      <c r="M79" s="6"/>
    </row>
    <row r="80" spans="1:13" x14ac:dyDescent="0.2">
      <c r="B80" s="28" t="s">
        <v>569</v>
      </c>
      <c r="C80" s="17" t="s">
        <v>6</v>
      </c>
      <c r="D80" s="29">
        <f>SUMIFS(Manual_Certificados!B:B,Manual_Certificados!E:E,$C$66,Manual_Certificados!H:H,A71)</f>
        <v>0</v>
      </c>
      <c r="G80" s="11"/>
      <c r="K80" s="93"/>
      <c r="L80" s="6"/>
      <c r="M80" s="6"/>
    </row>
    <row r="81" spans="2:13" x14ac:dyDescent="0.2">
      <c r="B81" s="28" t="s">
        <v>316</v>
      </c>
      <c r="C81" s="17" t="s">
        <v>6</v>
      </c>
      <c r="D81" s="29">
        <f>SUMIFS(Manual_Certificados!B:B,Manual_Certificados!E:E,$C$66,Manual_Certificados!H:H,A72)</f>
        <v>986892</v>
      </c>
      <c r="G81" s="11"/>
      <c r="K81" s="93"/>
      <c r="L81" s="6"/>
      <c r="M81" s="6"/>
    </row>
    <row r="82" spans="2:13" x14ac:dyDescent="0.2">
      <c r="B82" s="28" t="s">
        <v>316</v>
      </c>
      <c r="C82" s="17" t="s">
        <v>6</v>
      </c>
      <c r="D82" s="29">
        <f>SUMIFS(Manual_Certificados!B:B,Manual_Certificados!E:E,$C$66,Manual_Certificados!H:H,A73)</f>
        <v>0</v>
      </c>
      <c r="G82" s="11"/>
      <c r="K82" s="93"/>
    </row>
    <row r="83" spans="2:13" hidden="1" x14ac:dyDescent="0.2">
      <c r="B83" s="27" t="s">
        <v>68</v>
      </c>
      <c r="C83" s="17" t="s">
        <v>6</v>
      </c>
      <c r="D83" s="29">
        <f>SUMIFS(Manual_Certificados!B:B,Manual_Certificados!E:E,$C$66,Manual_Certificados!H:H,A77)</f>
        <v>0</v>
      </c>
      <c r="G83" s="11"/>
      <c r="K83" s="93"/>
    </row>
    <row r="84" spans="2:13" x14ac:dyDescent="0.2">
      <c r="B84" s="114" t="s">
        <v>29</v>
      </c>
      <c r="C84" s="115"/>
      <c r="D84" s="29">
        <f>+SUM(D80:D83)</f>
        <v>986892</v>
      </c>
    </row>
    <row r="85" spans="2:13" x14ac:dyDescent="0.2">
      <c r="B85" s="31"/>
      <c r="C85" s="30"/>
      <c r="D85" s="23"/>
    </row>
    <row r="86" spans="2:13" x14ac:dyDescent="0.2">
      <c r="B86" s="32" t="s">
        <v>575</v>
      </c>
      <c r="C86" s="5" t="s">
        <v>7</v>
      </c>
      <c r="D86" s="33">
        <f>+D80*D71+D81*D72+D82*D73+D83*D74</f>
        <v>25503899.276248991</v>
      </c>
      <c r="H86" s="10"/>
    </row>
    <row r="87" spans="2:13" x14ac:dyDescent="0.2">
      <c r="B87" s="32" t="s">
        <v>8</v>
      </c>
      <c r="C87" s="5" t="s">
        <v>7</v>
      </c>
      <c r="D87" s="33">
        <f>+D86*$C$76</f>
        <v>2550389.9276248994</v>
      </c>
      <c r="E87" s="11"/>
    </row>
    <row r="88" spans="2:13" x14ac:dyDescent="0.2">
      <c r="B88" s="32" t="s">
        <v>9</v>
      </c>
      <c r="C88" s="5" t="s">
        <v>7</v>
      </c>
      <c r="D88" s="33">
        <f>+D86*0.004</f>
        <v>102015.59710499596</v>
      </c>
    </row>
    <row r="89" spans="2:13" ht="18" x14ac:dyDescent="0.25">
      <c r="B89" s="31"/>
      <c r="C89" s="22"/>
      <c r="D89" s="23"/>
      <c r="E89" s="104"/>
      <c r="F89" s="105" t="s">
        <v>554</v>
      </c>
    </row>
    <row r="90" spans="2:13" ht="18" x14ac:dyDescent="0.25">
      <c r="B90" s="32" t="str">
        <f>+CONCATENATE("Reintegro Neto "&amp;C66)</f>
        <v>Reintegro Neto ACESCO</v>
      </c>
      <c r="C90" s="40" t="s">
        <v>7</v>
      </c>
      <c r="D90" s="34">
        <f>+D86-D87-D88</f>
        <v>22851493.751519095</v>
      </c>
      <c r="E90" s="106" t="b">
        <f>+D90=F90</f>
        <v>1</v>
      </c>
      <c r="F90" s="107">
        <f>+VLOOKUP(C3,B5:J58,9,)</f>
        <v>22851493.751519084</v>
      </c>
    </row>
    <row r="91" spans="2:13" x14ac:dyDescent="0.2">
      <c r="B91" s="35" t="s">
        <v>10</v>
      </c>
      <c r="C91" s="22"/>
      <c r="D91" s="23"/>
    </row>
    <row r="92" spans="2:13" ht="13.5" thickBot="1" x14ac:dyDescent="0.25">
      <c r="B92" s="87" t="s">
        <v>11</v>
      </c>
      <c r="C92" s="36"/>
      <c r="D92" s="37"/>
    </row>
    <row r="93" spans="2:13" x14ac:dyDescent="0.2">
      <c r="B93" s="6"/>
      <c r="C93" s="6"/>
      <c r="D93" s="6"/>
      <c r="E93" s="6"/>
      <c r="F93" s="6"/>
      <c r="G93" s="6"/>
      <c r="H93" s="6"/>
      <c r="I93" s="6"/>
      <c r="J93" s="6"/>
    </row>
    <row r="94" spans="2:13" x14ac:dyDescent="0.2">
      <c r="B94" s="6"/>
      <c r="C94" s="6"/>
      <c r="D94" s="6"/>
      <c r="E94" s="6"/>
      <c r="F94" s="6"/>
      <c r="G94" s="6"/>
      <c r="H94" s="6"/>
      <c r="I94" s="6"/>
      <c r="J94" s="6"/>
    </row>
    <row r="95" spans="2:13" x14ac:dyDescent="0.2">
      <c r="B95" s="6"/>
      <c r="C95" s="6"/>
      <c r="D95" s="6"/>
      <c r="E95" s="6"/>
      <c r="F95" s="6"/>
      <c r="G95" s="6"/>
      <c r="H95" s="6"/>
      <c r="I95" s="6"/>
      <c r="J95" s="6"/>
    </row>
    <row r="97" spans="2:8" x14ac:dyDescent="0.2">
      <c r="B97" s="4" t="s">
        <v>14</v>
      </c>
      <c r="C97" s="4"/>
      <c r="D97" s="4"/>
      <c r="E97" s="4"/>
    </row>
    <row r="98" spans="2:8" x14ac:dyDescent="0.2">
      <c r="B98" s="14"/>
    </row>
    <row r="99" spans="2:8" ht="25.5" x14ac:dyDescent="0.2">
      <c r="B99" s="78" t="s">
        <v>31</v>
      </c>
      <c r="C99" s="79" t="s">
        <v>30</v>
      </c>
      <c r="D99" s="79" t="s">
        <v>32</v>
      </c>
      <c r="E99" s="80" t="s">
        <v>33</v>
      </c>
    </row>
    <row r="100" spans="2:8" x14ac:dyDescent="0.2">
      <c r="B100" s="38">
        <f>+C1</f>
        <v>44440</v>
      </c>
      <c r="C100" s="81" t="str">
        <f>+VLOOKUP(Table2[[#This Row],[FECHA]],Calendario!A:B,2,FALSE)</f>
        <v>Miércoles</v>
      </c>
      <c r="D100" s="2">
        <f>+SUMIFS(Manual_Certificados!$B:$B,Manual_Certificados!$A:$A,Table2[[#This Row],[FECHA]])</f>
        <v>987065</v>
      </c>
      <c r="E100" s="75">
        <f>SUMIFS(Manual_Certificados!B:B,Manual_Certificados!A:A,Plantilla_Certificados!B100,Manual_Certificados!E:E,Plantilla_Certificados!$B$62)</f>
        <v>39474</v>
      </c>
      <c r="F100" s="11"/>
      <c r="G100" s="10"/>
    </row>
    <row r="101" spans="2:8" x14ac:dyDescent="0.2">
      <c r="B101" s="38">
        <f>+B100+1</f>
        <v>44441</v>
      </c>
      <c r="C101" s="81" t="str">
        <f>+VLOOKUP(Table2[[#This Row],[FECHA]],Calendario!A:B,2,FALSE)</f>
        <v>Jueves</v>
      </c>
      <c r="D101" s="2">
        <f>+SUMIFS(Manual_Certificados!$B:$B,Manual_Certificados!$A:$A,Table2[[#This Row],[FECHA]])</f>
        <v>1313837</v>
      </c>
      <c r="E101" s="75">
        <f>SUMIFS(Manual_Certificados!B:B,Manual_Certificados!A:A,Plantilla_Certificados!B101,Manual_Certificados!E:E,Plantilla_Certificados!$B$62)</f>
        <v>39474</v>
      </c>
      <c r="G101" s="10"/>
    </row>
    <row r="102" spans="2:8" x14ac:dyDescent="0.2">
      <c r="B102" s="38">
        <f>+B101+1</f>
        <v>44442</v>
      </c>
      <c r="C102" s="81" t="str">
        <f>+VLOOKUP(Table2[[#This Row],[FECHA]],Calendario!A:B,2,FALSE)</f>
        <v>Viernes</v>
      </c>
      <c r="D102" s="2">
        <f>+SUMIFS(Manual_Certificados!$B:$B,Manual_Certificados!$A:$A,Table2[[#This Row],[FECHA]])</f>
        <v>1042720</v>
      </c>
      <c r="E102" s="75">
        <f>SUMIFS(Manual_Certificados!B:B,Manual_Certificados!A:A,Plantilla_Certificados!B102,Manual_Certificados!E:E,Plantilla_Certificados!$B$62)</f>
        <v>39474</v>
      </c>
      <c r="G102" s="10"/>
    </row>
    <row r="103" spans="2:8" x14ac:dyDescent="0.2">
      <c r="B103" s="38">
        <f t="shared" ref="B103:B130" si="18">+B102+1</f>
        <v>44443</v>
      </c>
      <c r="C103" s="81" t="str">
        <f>+VLOOKUP(Table2[[#This Row],[FECHA]],Calendario!A:B,2,FALSE)</f>
        <v>Sábado</v>
      </c>
      <c r="D103" s="2">
        <f>+SUMIFS(Manual_Certificados!$B:$B,Manual_Certificados!$A:$A,Table2[[#This Row],[FECHA]])</f>
        <v>455743</v>
      </c>
      <c r="E103" s="75">
        <f>SUMIFS(Manual_Certificados!B:B,Manual_Certificados!A:A,Plantilla_Certificados!B103,Manual_Certificados!E:E,Plantilla_Certificados!$B$62)</f>
        <v>39474</v>
      </c>
      <c r="G103" s="10"/>
    </row>
    <row r="104" spans="2:8" x14ac:dyDescent="0.2">
      <c r="B104" s="38">
        <f t="shared" si="18"/>
        <v>44444</v>
      </c>
      <c r="C104" s="81" t="str">
        <f>+VLOOKUP(Table2[[#This Row],[FECHA]],Calendario!A:B,2,FALSE)</f>
        <v>Domingo</v>
      </c>
      <c r="D104" s="2">
        <f>+SUMIFS(Manual_Certificados!$B:$B,Manual_Certificados!$A:$A,Table2[[#This Row],[FECHA]])</f>
        <v>903308</v>
      </c>
      <c r="E104" s="75">
        <f>SUMIFS(Manual_Certificados!B:B,Manual_Certificados!A:A,Plantilla_Certificados!B104,Manual_Certificados!E:E,Plantilla_Certificados!$B$62)</f>
        <v>0</v>
      </c>
      <c r="G104" s="10"/>
    </row>
    <row r="105" spans="2:8" x14ac:dyDescent="0.2">
      <c r="B105" s="38">
        <f>+B104+1</f>
        <v>44445</v>
      </c>
      <c r="C105" s="81" t="str">
        <f>+VLOOKUP(Table2[[#This Row],[FECHA]],Calendario!A:B,2,FALSE)</f>
        <v>Lunes</v>
      </c>
      <c r="D105" s="2">
        <f>+SUMIFS(Manual_Certificados!$B:$B,Manual_Certificados!$A:$A,Table2[[#This Row],[FECHA]])</f>
        <v>901687</v>
      </c>
      <c r="E105" s="75">
        <f>SUMIFS(Manual_Certificados!B:B,Manual_Certificados!A:A,Plantilla_Certificados!B105,Manual_Certificados!E:E,Plantilla_Certificados!$B$62)</f>
        <v>0</v>
      </c>
      <c r="F105" s="49"/>
      <c r="G105" s="22"/>
    </row>
    <row r="106" spans="2:8" x14ac:dyDescent="0.2">
      <c r="B106" s="38">
        <f t="shared" si="18"/>
        <v>44446</v>
      </c>
      <c r="C106" s="81" t="str">
        <f>+VLOOKUP(Table2[[#This Row],[FECHA]],Calendario!A:B,2,FALSE)</f>
        <v>Martes</v>
      </c>
      <c r="D106" s="2">
        <f>+SUMIFS(Manual_Certificados!$B:$B,Manual_Certificados!$A:$A,Table2[[#This Row],[FECHA]])</f>
        <v>2094957</v>
      </c>
      <c r="E106" s="75">
        <f>SUMIFS(Manual_Certificados!B:B,Manual_Certificados!A:A,Plantilla_Certificados!B106,Manual_Certificados!E:E,Plantilla_Certificados!$B$62)</f>
        <v>0</v>
      </c>
      <c r="F106" s="49"/>
      <c r="G106" s="22"/>
    </row>
    <row r="107" spans="2:8" x14ac:dyDescent="0.2">
      <c r="B107" s="38">
        <f t="shared" si="18"/>
        <v>44447</v>
      </c>
      <c r="C107" s="81" t="str">
        <f>+VLOOKUP(Table2[[#This Row],[FECHA]],Calendario!A:B,2,FALSE)</f>
        <v>Miércoles</v>
      </c>
      <c r="D107" s="2">
        <f>+SUMIFS(Manual_Certificados!$B:$B,Manual_Certificados!$A:$A,Table2[[#This Row],[FECHA]])</f>
        <v>2747617</v>
      </c>
      <c r="E107" s="75">
        <f>SUMIFS(Manual_Certificados!B:B,Manual_Certificados!A:A,Plantilla_Certificados!B107,Manual_Certificados!E:E,Plantilla_Certificados!$B$62)</f>
        <v>39474</v>
      </c>
      <c r="F107" s="49"/>
    </row>
    <row r="108" spans="2:8" x14ac:dyDescent="0.2">
      <c r="B108" s="38">
        <f t="shared" si="18"/>
        <v>44448</v>
      </c>
      <c r="C108" s="81" t="str">
        <f>+VLOOKUP(Table2[[#This Row],[FECHA]],Calendario!A:B,2,FALSE)</f>
        <v>Jueves</v>
      </c>
      <c r="D108" s="2">
        <f>+SUMIFS(Manual_Certificados!$B:$B,Manual_Certificados!$A:$A,Table2[[#This Row],[FECHA]])</f>
        <v>2529600</v>
      </c>
      <c r="E108" s="75">
        <f>SUMIFS(Manual_Certificados!B:B,Manual_Certificados!A:A,Plantilla_Certificados!B108,Manual_Certificados!E:E,Plantilla_Certificados!$B$62)</f>
        <v>39474</v>
      </c>
      <c r="F108" s="49"/>
    </row>
    <row r="109" spans="2:8" x14ac:dyDescent="0.2">
      <c r="B109" s="38">
        <f t="shared" si="18"/>
        <v>44449</v>
      </c>
      <c r="C109" s="81" t="str">
        <f>+VLOOKUP(Table2[[#This Row],[FECHA]],Calendario!A:B,2,FALSE)</f>
        <v>Viernes</v>
      </c>
      <c r="D109" s="2">
        <f>+SUMIFS(Manual_Certificados!$B:$B,Manual_Certificados!$A:$A,Table2[[#This Row],[FECHA]])</f>
        <v>2007845</v>
      </c>
      <c r="E109" s="75">
        <f>SUMIFS(Manual_Certificados!B:B,Manual_Certificados!A:A,Plantilla_Certificados!B109,Manual_Certificados!E:E,Plantilla_Certificados!$B$62)</f>
        <v>39474</v>
      </c>
      <c r="F109" s="47"/>
    </row>
    <row r="110" spans="2:8" x14ac:dyDescent="0.2">
      <c r="B110" s="38">
        <f t="shared" si="18"/>
        <v>44450</v>
      </c>
      <c r="C110" s="81" t="str">
        <f>+VLOOKUP(Table2[[#This Row],[FECHA]],Calendario!A:B,2,FALSE)</f>
        <v>Sábado</v>
      </c>
      <c r="D110" s="2">
        <f>+SUMIFS(Manual_Certificados!$B:$B,Manual_Certificados!$A:$A,Table2[[#This Row],[FECHA]])</f>
        <v>2151601</v>
      </c>
      <c r="E110" s="75">
        <f>SUMIFS(Manual_Certificados!B:B,Manual_Certificados!A:A,Plantilla_Certificados!B110,Manual_Certificados!E:E,Plantilla_Certificados!$B$62)</f>
        <v>39474</v>
      </c>
      <c r="F110" s="47"/>
    </row>
    <row r="111" spans="2:8" x14ac:dyDescent="0.2">
      <c r="B111" s="38">
        <f t="shared" si="18"/>
        <v>44451</v>
      </c>
      <c r="C111" s="81" t="str">
        <f>+VLOOKUP(Table2[[#This Row],[FECHA]],Calendario!A:B,2,FALSE)</f>
        <v>Domingo</v>
      </c>
      <c r="D111" s="2">
        <f>+SUMIFS(Manual_Certificados!$B:$B,Manual_Certificados!$A:$A,Table2[[#This Row],[FECHA]])</f>
        <v>2126180</v>
      </c>
      <c r="E111" s="75">
        <f>SUMIFS(Manual_Certificados!B:B,Manual_Certificados!A:A,Plantilla_Certificados!B111,Manual_Certificados!E:E,Plantilla_Certificados!$B$62)</f>
        <v>39474</v>
      </c>
      <c r="F111" s="47"/>
    </row>
    <row r="112" spans="2:8" x14ac:dyDescent="0.2">
      <c r="B112" s="38">
        <f t="shared" si="18"/>
        <v>44452</v>
      </c>
      <c r="C112" s="81" t="str">
        <f>+VLOOKUP(Table2[[#This Row],[FECHA]],Calendario!A:B,2,FALSE)</f>
        <v>Lunes</v>
      </c>
      <c r="D112" s="2">
        <f>+SUMIFS(Manual_Certificados!$B:$B,Manual_Certificados!$A:$A,Table2[[#This Row],[FECHA]])</f>
        <v>2174883</v>
      </c>
      <c r="E112" s="75">
        <f>SUMIFS(Manual_Certificados!B:B,Manual_Certificados!A:A,Plantilla_Certificados!B112,Manual_Certificados!E:E,Plantilla_Certificados!$B$62)</f>
        <v>0</v>
      </c>
      <c r="F112" s="48"/>
      <c r="G112" s="10"/>
      <c r="H112" s="10"/>
    </row>
    <row r="113" spans="2:8" x14ac:dyDescent="0.2">
      <c r="B113" s="38">
        <f t="shared" si="18"/>
        <v>44453</v>
      </c>
      <c r="C113" s="81" t="str">
        <f>+VLOOKUP(Table2[[#This Row],[FECHA]],Calendario!A:B,2,FALSE)</f>
        <v>Martes</v>
      </c>
      <c r="D113" s="2">
        <f>+SUMIFS(Manual_Certificados!$B:$B,Manual_Certificados!$A:$A,Table2[[#This Row],[FECHA]])</f>
        <v>2418157</v>
      </c>
      <c r="E113" s="75">
        <f>SUMIFS(Manual_Certificados!B:B,Manual_Certificados!A:A,Plantilla_Certificados!B113,Manual_Certificados!E:E,Plantilla_Certificados!$B$62)</f>
        <v>0</v>
      </c>
      <c r="F113" s="10"/>
      <c r="G113" s="10"/>
      <c r="H113" s="53"/>
    </row>
    <row r="114" spans="2:8" x14ac:dyDescent="0.2">
      <c r="B114" s="38">
        <f t="shared" si="18"/>
        <v>44454</v>
      </c>
      <c r="C114" s="81" t="str">
        <f>+VLOOKUP(Table2[[#This Row],[FECHA]],Calendario!A:B,2,FALSE)</f>
        <v>Miércoles</v>
      </c>
      <c r="D114" s="2">
        <f>+SUMIFS(Manual_Certificados!$B:$B,Manual_Certificados!$A:$A,Table2[[#This Row],[FECHA]])</f>
        <v>3415880</v>
      </c>
      <c r="E114" s="75">
        <f>SUMIFS(Manual_Certificados!B:B,Manual_Certificados!A:A,Plantilla_Certificados!B114,Manual_Certificados!E:E,Plantilla_Certificados!$B$62)</f>
        <v>39473</v>
      </c>
      <c r="G114" s="10"/>
    </row>
    <row r="115" spans="2:8" x14ac:dyDescent="0.2">
      <c r="B115" s="38">
        <f t="shared" si="18"/>
        <v>44455</v>
      </c>
      <c r="C115" s="81" t="str">
        <f>+VLOOKUP(Table2[[#This Row],[FECHA]],Calendario!A:B,2,FALSE)</f>
        <v>Jueves</v>
      </c>
      <c r="D115" s="2">
        <f>+SUMIFS(Manual_Certificados!$B:$B,Manual_Certificados!$A:$A,Table2[[#This Row],[FECHA]])</f>
        <v>3447183</v>
      </c>
      <c r="E115" s="75">
        <f>SUMIFS(Manual_Certificados!B:B,Manual_Certificados!A:A,Plantilla_Certificados!B115,Manual_Certificados!E:E,Plantilla_Certificados!$B$62)</f>
        <v>39473</v>
      </c>
      <c r="G115" s="10"/>
    </row>
    <row r="116" spans="2:8" x14ac:dyDescent="0.2">
      <c r="B116" s="38">
        <f t="shared" si="18"/>
        <v>44456</v>
      </c>
      <c r="C116" s="81" t="str">
        <f>+VLOOKUP(Table2[[#This Row],[FECHA]],Calendario!A:B,2,FALSE)</f>
        <v>Viernes</v>
      </c>
      <c r="D116" s="2">
        <f>+SUMIFS(Manual_Certificados!$B:$B,Manual_Certificados!$A:$A,Table2[[#This Row],[FECHA]])</f>
        <v>3038543</v>
      </c>
      <c r="E116" s="75">
        <f>SUMIFS(Manual_Certificados!B:B,Manual_Certificados!A:A,Plantilla_Certificados!B116,Manual_Certificados!E:E,Plantilla_Certificados!$B$62)</f>
        <v>39474</v>
      </c>
      <c r="F116" s="10"/>
      <c r="G116" s="10"/>
      <c r="H116" s="11"/>
    </row>
    <row r="117" spans="2:8" x14ac:dyDescent="0.2">
      <c r="B117" s="38">
        <f t="shared" si="18"/>
        <v>44457</v>
      </c>
      <c r="C117" s="81" t="str">
        <f>+VLOOKUP(Table2[[#This Row],[FECHA]],Calendario!A:B,2,FALSE)</f>
        <v>Sábado</v>
      </c>
      <c r="D117" s="2">
        <f>+SUMIFS(Manual_Certificados!$B:$B,Manual_Certificados!$A:$A,Table2[[#This Row],[FECHA]])</f>
        <v>2857254</v>
      </c>
      <c r="E117" s="75">
        <f>SUMIFS(Manual_Certificados!B:B,Manual_Certificados!A:A,Plantilla_Certificados!B117,Manual_Certificados!E:E,Plantilla_Certificados!$B$62)</f>
        <v>39474</v>
      </c>
      <c r="F117" s="10"/>
      <c r="G117" s="10"/>
    </row>
    <row r="118" spans="2:8" x14ac:dyDescent="0.2">
      <c r="B118" s="38">
        <f t="shared" si="18"/>
        <v>44458</v>
      </c>
      <c r="C118" s="81" t="str">
        <f>+VLOOKUP(Table2[[#This Row],[FECHA]],Calendario!A:B,2,FALSE)</f>
        <v>Domingo</v>
      </c>
      <c r="D118" s="2">
        <f>+SUMIFS(Manual_Certificados!$B:$B,Manual_Certificados!$A:$A,Table2[[#This Row],[FECHA]])</f>
        <v>2888817</v>
      </c>
      <c r="E118" s="75">
        <f>SUMIFS(Manual_Certificados!B:B,Manual_Certificados!A:A,Plantilla_Certificados!B118,Manual_Certificados!E:E,Plantilla_Certificados!$B$62)</f>
        <v>39474</v>
      </c>
      <c r="G118" s="10"/>
    </row>
    <row r="119" spans="2:8" x14ac:dyDescent="0.2">
      <c r="B119" s="38">
        <f t="shared" si="18"/>
        <v>44459</v>
      </c>
      <c r="C119" s="81" t="str">
        <f>+VLOOKUP(Table2[[#This Row],[FECHA]],Calendario!A:B,2,FALSE)</f>
        <v>Lunes</v>
      </c>
      <c r="D119" s="2">
        <f>+SUMIFS(Manual_Certificados!$B:$B,Manual_Certificados!$A:$A,Table2[[#This Row],[FECHA]])</f>
        <v>3041498</v>
      </c>
      <c r="E119" s="75">
        <f>SUMIFS(Manual_Certificados!B:B,Manual_Certificados!A:A,Plantilla_Certificados!B119,Manual_Certificados!E:E,Plantilla_Certificados!$B$62)</f>
        <v>39478</v>
      </c>
      <c r="G119" s="10"/>
    </row>
    <row r="120" spans="2:8" x14ac:dyDescent="0.2">
      <c r="B120" s="38">
        <f t="shared" si="18"/>
        <v>44460</v>
      </c>
      <c r="C120" s="81" t="str">
        <f>+VLOOKUP(Table2[[#This Row],[FECHA]],Calendario!A:B,2,FALSE)</f>
        <v>Martes</v>
      </c>
      <c r="D120" s="2">
        <f>+SUMIFS(Manual_Certificados!$B:$B,Manual_Certificados!$A:$A,Table2[[#This Row],[FECHA]])</f>
        <v>3045702</v>
      </c>
      <c r="E120" s="75">
        <f>SUMIFS(Manual_Certificados!B:B,Manual_Certificados!A:A,Plantilla_Certificados!B120,Manual_Certificados!E:E,Plantilla_Certificados!$B$62)</f>
        <v>39478</v>
      </c>
      <c r="F120" s="11"/>
      <c r="G120" s="10"/>
    </row>
    <row r="121" spans="2:8" x14ac:dyDescent="0.2">
      <c r="B121" s="38">
        <f t="shared" si="18"/>
        <v>44461</v>
      </c>
      <c r="C121" s="81" t="str">
        <f>+VLOOKUP(Table2[[#This Row],[FECHA]],Calendario!A:B,2,FALSE)</f>
        <v>Miércoles</v>
      </c>
      <c r="D121" s="2">
        <f>+SUMIFS(Manual_Certificados!$B:$B,Manual_Certificados!$A:$A,Table2[[#This Row],[FECHA]])</f>
        <v>3582645</v>
      </c>
      <c r="E121" s="75">
        <f>SUMIFS(Manual_Certificados!B:B,Manual_Certificados!A:A,Plantilla_Certificados!B121,Manual_Certificados!E:E,Plantilla_Certificados!$B$62)</f>
        <v>39478</v>
      </c>
      <c r="G121" s="10"/>
    </row>
    <row r="122" spans="2:8" x14ac:dyDescent="0.2">
      <c r="B122" s="38">
        <f t="shared" si="18"/>
        <v>44462</v>
      </c>
      <c r="C122" s="81" t="str">
        <f>+VLOOKUP(Table2[[#This Row],[FECHA]],Calendario!A:B,2,FALSE)</f>
        <v>Jueves</v>
      </c>
      <c r="D122" s="2">
        <f>+SUMIFS(Manual_Certificados!$B:$B,Manual_Certificados!$A:$A,Table2[[#This Row],[FECHA]])</f>
        <v>3527542</v>
      </c>
      <c r="E122" s="75">
        <f>SUMIFS(Manual_Certificados!B:B,Manual_Certificados!A:A,Plantilla_Certificados!B122,Manual_Certificados!E:E,Plantilla_Certificados!$B$62)</f>
        <v>39478</v>
      </c>
      <c r="G122" s="10"/>
    </row>
    <row r="123" spans="2:8" x14ac:dyDescent="0.2">
      <c r="B123" s="38">
        <f t="shared" si="18"/>
        <v>44463</v>
      </c>
      <c r="C123" s="81" t="str">
        <f>+VLOOKUP(Table2[[#This Row],[FECHA]],Calendario!A:B,2,FALSE)</f>
        <v>Viernes</v>
      </c>
      <c r="D123" s="2">
        <f>+SUMIFS(Manual_Certificados!$B:$B,Manual_Certificados!$A:$A,Table2[[#This Row],[FECHA]])</f>
        <v>3075067</v>
      </c>
      <c r="E123" s="75">
        <f>SUMIFS(Manual_Certificados!B:B,Manual_Certificados!A:A,Plantilla_Certificados!B123,Manual_Certificados!E:E,Plantilla_Certificados!$B$62)</f>
        <v>39478</v>
      </c>
      <c r="G123" s="10"/>
    </row>
    <row r="124" spans="2:8" x14ac:dyDescent="0.2">
      <c r="B124" s="38">
        <f t="shared" si="18"/>
        <v>44464</v>
      </c>
      <c r="C124" s="81" t="str">
        <f>+VLOOKUP(Table2[[#This Row],[FECHA]],Calendario!A:B,2,FALSE)</f>
        <v>Sábado</v>
      </c>
      <c r="D124" s="2">
        <f>+SUMIFS(Manual_Certificados!$B:$B,Manual_Certificados!$A:$A,Table2[[#This Row],[FECHA]])</f>
        <v>3091753</v>
      </c>
      <c r="E124" s="75">
        <f>SUMIFS(Manual_Certificados!B:B,Manual_Certificados!A:A,Plantilla_Certificados!B124,Manual_Certificados!E:E,Plantilla_Certificados!$B$62)</f>
        <v>39478</v>
      </c>
      <c r="G124" s="10"/>
    </row>
    <row r="125" spans="2:8" x14ac:dyDescent="0.2">
      <c r="B125" s="38">
        <f t="shared" si="18"/>
        <v>44465</v>
      </c>
      <c r="C125" s="81" t="str">
        <f>+VLOOKUP(Table2[[#This Row],[FECHA]],Calendario!A:B,2,FALSE)</f>
        <v>Domingo</v>
      </c>
      <c r="D125" s="2">
        <f>+SUMIFS(Manual_Certificados!$B:$B,Manual_Certificados!$A:$A,Table2[[#This Row],[FECHA]])</f>
        <v>3125256</v>
      </c>
      <c r="E125" s="75">
        <f>SUMIFS(Manual_Certificados!B:B,Manual_Certificados!A:A,Plantilla_Certificados!B125,Manual_Certificados!E:E,Plantilla_Certificados!$B$62)</f>
        <v>39478</v>
      </c>
      <c r="G125" s="10"/>
    </row>
    <row r="126" spans="2:8" x14ac:dyDescent="0.2">
      <c r="B126" s="38">
        <f t="shared" si="18"/>
        <v>44466</v>
      </c>
      <c r="C126" s="81" t="str">
        <f>+VLOOKUP(Table2[[#This Row],[FECHA]],Calendario!A:B,2,FALSE)</f>
        <v>Lunes</v>
      </c>
      <c r="D126" s="2">
        <f>+SUMIFS(Manual_Certificados!$B:$B,Manual_Certificados!$A:$A,Table2[[#This Row],[FECHA]])</f>
        <v>3122206</v>
      </c>
      <c r="E126" s="75">
        <f>SUMIFS(Manual_Certificados!B:B,Manual_Certificados!A:A,Plantilla_Certificados!B126,Manual_Certificados!E:E,Plantilla_Certificados!$B$62)</f>
        <v>39478</v>
      </c>
      <c r="G126" s="10"/>
    </row>
    <row r="127" spans="2:8" x14ac:dyDescent="0.2">
      <c r="B127" s="38">
        <f t="shared" si="18"/>
        <v>44467</v>
      </c>
      <c r="C127" s="81" t="str">
        <f>+VLOOKUP(Table2[[#This Row],[FECHA]],Calendario!A:B,2,FALSE)</f>
        <v>Martes</v>
      </c>
      <c r="D127" s="2">
        <f>+SUMIFS(Manual_Certificados!$B:$B,Manual_Certificados!$A:$A,Table2[[#This Row],[FECHA]])</f>
        <v>3024522</v>
      </c>
      <c r="E127" s="75">
        <f>SUMIFS(Manual_Certificados!B:B,Manual_Certificados!A:A,Plantilla_Certificados!B127,Manual_Certificados!E:E,Plantilla_Certificados!$B$62)</f>
        <v>39478</v>
      </c>
      <c r="G127" s="10"/>
    </row>
    <row r="128" spans="2:8" x14ac:dyDescent="0.2">
      <c r="B128" s="38">
        <f t="shared" si="18"/>
        <v>44468</v>
      </c>
      <c r="C128" s="81" t="str">
        <f>+VLOOKUP(Table2[[#This Row],[FECHA]],Calendario!A:B,2,FALSE)</f>
        <v>Miércoles</v>
      </c>
      <c r="D128" s="2">
        <f>+SUMIFS(Manual_Certificados!$B:$B,Manual_Certificados!$A:$A,Table2[[#This Row],[FECHA]])</f>
        <v>2773894</v>
      </c>
      <c r="E128" s="75">
        <f>SUMIFS(Manual_Certificados!B:B,Manual_Certificados!A:A,Plantilla_Certificados!B128,Manual_Certificados!E:E,Plantilla_Certificados!$B$62)</f>
        <v>39478</v>
      </c>
      <c r="G128" s="10"/>
    </row>
    <row r="129" spans="2:7" x14ac:dyDescent="0.2">
      <c r="B129" s="38">
        <f t="shared" si="18"/>
        <v>44469</v>
      </c>
      <c r="C129" s="81" t="str">
        <f>+VLOOKUP(Table2[[#This Row],[FECHA]],Calendario!A:B,2,FALSE)</f>
        <v>Jueves</v>
      </c>
      <c r="D129" s="2">
        <f>+SUMIFS(Manual_Certificados!$B:$B,Manual_Certificados!$A:$A,Table2[[#This Row],[FECHA]])</f>
        <v>2366178</v>
      </c>
      <c r="E129" s="75">
        <f>SUMIFS(Manual_Certificados!B:B,Manual_Certificados!A:A,Plantilla_Certificados!B129,Manual_Certificados!E:E,Plantilla_Certificados!$B$62)</f>
        <v>39478</v>
      </c>
      <c r="G129" s="10"/>
    </row>
    <row r="130" spans="2:7" x14ac:dyDescent="0.2">
      <c r="B130" s="38">
        <f t="shared" si="18"/>
        <v>44470</v>
      </c>
      <c r="C130" s="81" t="str">
        <f>+VLOOKUP(Table2[[#This Row],[FECHA]],Calendario!A:B,2,FALSE)</f>
        <v>Viernes</v>
      </c>
      <c r="D130" s="2">
        <f>+SUMIFS(Manual_Certificados!$B:$B,Manual_Certificados!$A:$A,Table2[[#This Row],[FECHA]])</f>
        <v>0</v>
      </c>
      <c r="E130" s="75">
        <f>SUMIFS(Manual_Certificados!B:B,Manual_Certificados!A:A,Plantilla_Certificados!B130,Manual_Certificados!E:E,Plantilla_Certificados!$B$62)</f>
        <v>0</v>
      </c>
      <c r="G130" s="10"/>
    </row>
    <row r="131" spans="2:7" x14ac:dyDescent="0.2">
      <c r="B131" s="76" t="s">
        <v>18</v>
      </c>
      <c r="C131" s="82"/>
      <c r="D131" s="77">
        <f>+SUM(D100:D130)</f>
        <v>73279140</v>
      </c>
      <c r="E131" s="77">
        <f>+SUM(E100:E130)</f>
        <v>986892</v>
      </c>
      <c r="G131" s="10"/>
    </row>
    <row r="132" spans="2:7" x14ac:dyDescent="0.2">
      <c r="G132" s="10"/>
    </row>
    <row r="133" spans="2:7" x14ac:dyDescent="0.2">
      <c r="F133" s="11"/>
    </row>
    <row r="134" spans="2:7" x14ac:dyDescent="0.2">
      <c r="F134" s="11"/>
    </row>
    <row r="136" spans="2:7" x14ac:dyDescent="0.2">
      <c r="F136" s="12"/>
    </row>
  </sheetData>
  <sortState xmlns:xlrd2="http://schemas.microsoft.com/office/spreadsheetml/2017/richdata2" ref="B6:J58">
    <sortCondition ref="C6:C58"/>
  </sortState>
  <mergeCells count="1">
    <mergeCell ref="B84:C84"/>
  </mergeCells>
  <pageMargins left="0.7" right="0.7" top="0.75" bottom="0.75" header="0.3" footer="0.3"/>
  <pageSetup paperSize="9" orientation="portrait" r:id="rId1"/>
  <ignoredErrors>
    <ignoredError sqref="K6:K59" calculatedColumn="1"/>
  </ignoredErrors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918BD-E4A4-42AE-85EB-421883EEF18C}">
  <dimension ref="A1:B62"/>
  <sheetViews>
    <sheetView workbookViewId="0">
      <selection activeCell="B63" sqref="B63"/>
    </sheetView>
  </sheetViews>
  <sheetFormatPr baseColWidth="10" defaultColWidth="8.7109375" defaultRowHeight="15" x14ac:dyDescent="0.25"/>
  <cols>
    <col min="1" max="1" width="31.85546875" bestFit="1" customWidth="1"/>
    <col min="2" max="2" width="8.85546875" bestFit="1" customWidth="1"/>
  </cols>
  <sheetData>
    <row r="1" spans="1:2" x14ac:dyDescent="0.25">
      <c r="A1" s="108" t="s">
        <v>313</v>
      </c>
      <c r="B1" s="108" t="s">
        <v>317</v>
      </c>
    </row>
    <row r="2" spans="1:2" x14ac:dyDescent="0.25">
      <c r="A2" s="109" t="s">
        <v>62</v>
      </c>
      <c r="B2" s="110">
        <v>0.1</v>
      </c>
    </row>
    <row r="3" spans="1:2" x14ac:dyDescent="0.25">
      <c r="A3" s="109" t="s">
        <v>204</v>
      </c>
      <c r="B3" s="110">
        <v>0.1</v>
      </c>
    </row>
    <row r="4" spans="1:2" x14ac:dyDescent="0.25">
      <c r="A4" s="109" t="s">
        <v>41</v>
      </c>
      <c r="B4" s="110">
        <v>0.09</v>
      </c>
    </row>
    <row r="5" spans="1:2" x14ac:dyDescent="0.25">
      <c r="A5" s="109" t="s">
        <v>59</v>
      </c>
      <c r="B5" s="110">
        <v>0.09</v>
      </c>
    </row>
    <row r="6" spans="1:2" x14ac:dyDescent="0.25">
      <c r="A6" s="109" t="s">
        <v>252</v>
      </c>
      <c r="B6" s="110">
        <v>0.1</v>
      </c>
    </row>
    <row r="7" spans="1:2" x14ac:dyDescent="0.25">
      <c r="A7" s="109" t="s">
        <v>34</v>
      </c>
      <c r="B7" s="110">
        <v>0.1</v>
      </c>
    </row>
    <row r="8" spans="1:2" x14ac:dyDescent="0.25">
      <c r="A8" s="109" t="s">
        <v>502</v>
      </c>
      <c r="B8" s="110">
        <v>0.1</v>
      </c>
    </row>
    <row r="9" spans="1:2" x14ac:dyDescent="0.25">
      <c r="A9" s="109" t="s">
        <v>42</v>
      </c>
      <c r="B9" s="110">
        <v>0.1</v>
      </c>
    </row>
    <row r="10" spans="1:2" x14ac:dyDescent="0.25">
      <c r="A10" s="109" t="s">
        <v>161</v>
      </c>
      <c r="B10" s="110">
        <v>0.1</v>
      </c>
    </row>
    <row r="11" spans="1:2" x14ac:dyDescent="0.25">
      <c r="A11" s="109" t="s">
        <v>230</v>
      </c>
      <c r="B11" s="110">
        <v>0.1</v>
      </c>
    </row>
    <row r="12" spans="1:2" x14ac:dyDescent="0.25">
      <c r="A12" s="111" t="s">
        <v>70</v>
      </c>
      <c r="B12" s="110">
        <v>0.1</v>
      </c>
    </row>
    <row r="13" spans="1:2" x14ac:dyDescent="0.25">
      <c r="A13" s="111" t="s">
        <v>54</v>
      </c>
      <c r="B13" s="110">
        <v>0.1</v>
      </c>
    </row>
    <row r="14" spans="1:2" x14ac:dyDescent="0.25">
      <c r="A14" s="111" t="s">
        <v>1</v>
      </c>
      <c r="B14" s="110">
        <v>0.1</v>
      </c>
    </row>
    <row r="15" spans="1:2" x14ac:dyDescent="0.25">
      <c r="A15" s="109" t="s">
        <v>39</v>
      </c>
      <c r="B15" s="110">
        <v>0.1</v>
      </c>
    </row>
    <row r="16" spans="1:2" x14ac:dyDescent="0.25">
      <c r="A16" s="111" t="s">
        <v>253</v>
      </c>
      <c r="B16" s="110">
        <v>0.1</v>
      </c>
    </row>
    <row r="17" spans="1:2" x14ac:dyDescent="0.25">
      <c r="A17" s="109" t="s">
        <v>47</v>
      </c>
      <c r="B17" s="110">
        <v>0.1</v>
      </c>
    </row>
    <row r="18" spans="1:2" x14ac:dyDescent="0.25">
      <c r="A18" s="109" t="s">
        <v>26</v>
      </c>
      <c r="B18" s="110">
        <v>0.08</v>
      </c>
    </row>
    <row r="19" spans="1:2" x14ac:dyDescent="0.25">
      <c r="A19" s="109" t="s">
        <v>254</v>
      </c>
      <c r="B19" s="110">
        <v>0.1</v>
      </c>
    </row>
    <row r="20" spans="1:2" x14ac:dyDescent="0.25">
      <c r="A20" s="109" t="s">
        <v>36</v>
      </c>
      <c r="B20" s="110">
        <v>0.1</v>
      </c>
    </row>
    <row r="21" spans="1:2" x14ac:dyDescent="0.25">
      <c r="A21" s="111" t="s">
        <v>27</v>
      </c>
      <c r="B21" s="110">
        <v>0.1</v>
      </c>
    </row>
    <row r="22" spans="1:2" x14ac:dyDescent="0.25">
      <c r="A22" s="109" t="s">
        <v>44</v>
      </c>
      <c r="B22" s="110">
        <v>0.09</v>
      </c>
    </row>
    <row r="23" spans="1:2" x14ac:dyDescent="0.25">
      <c r="A23" s="109" t="s">
        <v>46</v>
      </c>
      <c r="B23" s="110">
        <v>0.09</v>
      </c>
    </row>
    <row r="24" spans="1:2" x14ac:dyDescent="0.25">
      <c r="A24" s="109" t="s">
        <v>229</v>
      </c>
      <c r="B24" s="110">
        <v>0.1</v>
      </c>
    </row>
    <row r="25" spans="1:2" x14ac:dyDescent="0.25">
      <c r="A25" s="109" t="s">
        <v>255</v>
      </c>
      <c r="B25" s="110">
        <v>0.1</v>
      </c>
    </row>
    <row r="26" spans="1:2" x14ac:dyDescent="0.25">
      <c r="A26" s="109" t="s">
        <v>51</v>
      </c>
      <c r="B26" s="110">
        <v>0.1</v>
      </c>
    </row>
    <row r="27" spans="1:2" x14ac:dyDescent="0.25">
      <c r="A27" s="109" t="s">
        <v>60</v>
      </c>
      <c r="B27" s="110">
        <v>0.1</v>
      </c>
    </row>
    <row r="28" spans="1:2" x14ac:dyDescent="0.25">
      <c r="A28" s="109" t="s">
        <v>256</v>
      </c>
      <c r="B28" s="110">
        <v>0.1</v>
      </c>
    </row>
    <row r="29" spans="1:2" x14ac:dyDescent="0.25">
      <c r="A29" s="109" t="s">
        <v>228</v>
      </c>
      <c r="B29" s="110">
        <v>0.1</v>
      </c>
    </row>
    <row r="30" spans="1:2" x14ac:dyDescent="0.25">
      <c r="A30" s="109" t="s">
        <v>69</v>
      </c>
      <c r="B30" s="110">
        <v>0.1</v>
      </c>
    </row>
    <row r="31" spans="1:2" x14ac:dyDescent="0.25">
      <c r="A31" s="109" t="s">
        <v>240</v>
      </c>
      <c r="B31" s="110">
        <v>0.1</v>
      </c>
    </row>
    <row r="32" spans="1:2" x14ac:dyDescent="0.25">
      <c r="A32" s="109" t="s">
        <v>64</v>
      </c>
      <c r="B32" s="110">
        <v>0.1</v>
      </c>
    </row>
    <row r="33" spans="1:2" x14ac:dyDescent="0.25">
      <c r="A33" s="109" t="s">
        <v>258</v>
      </c>
      <c r="B33" s="110">
        <v>0.1</v>
      </c>
    </row>
    <row r="34" spans="1:2" x14ac:dyDescent="0.25">
      <c r="A34" s="109" t="s">
        <v>53</v>
      </c>
      <c r="B34" s="110">
        <v>0.1</v>
      </c>
    </row>
    <row r="35" spans="1:2" x14ac:dyDescent="0.25">
      <c r="A35" s="109" t="s">
        <v>140</v>
      </c>
      <c r="B35" s="110">
        <v>0.1</v>
      </c>
    </row>
    <row r="36" spans="1:2" x14ac:dyDescent="0.25">
      <c r="A36" s="109" t="s">
        <v>58</v>
      </c>
      <c r="B36" s="110">
        <v>0.1</v>
      </c>
    </row>
    <row r="37" spans="1:2" x14ac:dyDescent="0.25">
      <c r="A37" s="109" t="s">
        <v>241</v>
      </c>
      <c r="B37" s="110">
        <v>0.1</v>
      </c>
    </row>
    <row r="38" spans="1:2" x14ac:dyDescent="0.25">
      <c r="A38" s="109" t="s">
        <v>65</v>
      </c>
      <c r="B38" s="110">
        <v>0.08</v>
      </c>
    </row>
    <row r="39" spans="1:2" x14ac:dyDescent="0.25">
      <c r="A39" s="109" t="s">
        <v>38</v>
      </c>
      <c r="B39" s="110">
        <v>0.1</v>
      </c>
    </row>
    <row r="40" spans="1:2" x14ac:dyDescent="0.25">
      <c r="A40" s="109" t="s">
        <v>45</v>
      </c>
      <c r="B40" s="110">
        <v>0.1</v>
      </c>
    </row>
    <row r="41" spans="1:2" x14ac:dyDescent="0.25">
      <c r="A41" s="109" t="s">
        <v>35</v>
      </c>
      <c r="B41" s="110">
        <v>0.1</v>
      </c>
    </row>
    <row r="42" spans="1:2" x14ac:dyDescent="0.25">
      <c r="A42" s="109" t="s">
        <v>40</v>
      </c>
      <c r="B42" s="110">
        <v>0.1</v>
      </c>
    </row>
    <row r="43" spans="1:2" x14ac:dyDescent="0.25">
      <c r="A43" s="109" t="s">
        <v>50</v>
      </c>
      <c r="B43" s="110">
        <v>0.1</v>
      </c>
    </row>
    <row r="44" spans="1:2" x14ac:dyDescent="0.25">
      <c r="A44" s="109" t="s">
        <v>49</v>
      </c>
      <c r="B44" s="110">
        <v>0.1</v>
      </c>
    </row>
    <row r="45" spans="1:2" x14ac:dyDescent="0.25">
      <c r="A45" s="109" t="s">
        <v>17</v>
      </c>
      <c r="B45" s="110">
        <v>0.1</v>
      </c>
    </row>
    <row r="46" spans="1:2" x14ac:dyDescent="0.25">
      <c r="A46" s="109" t="s">
        <v>231</v>
      </c>
      <c r="B46" s="110">
        <v>0.1</v>
      </c>
    </row>
    <row r="47" spans="1:2" x14ac:dyDescent="0.25">
      <c r="A47" s="109" t="s">
        <v>203</v>
      </c>
      <c r="B47" s="110">
        <v>0.1</v>
      </c>
    </row>
    <row r="48" spans="1:2" x14ac:dyDescent="0.25">
      <c r="A48" s="109" t="s">
        <v>15</v>
      </c>
      <c r="B48" s="110">
        <v>0.1</v>
      </c>
    </row>
    <row r="49" spans="1:2" x14ac:dyDescent="0.25">
      <c r="A49" s="109" t="s">
        <v>61</v>
      </c>
      <c r="B49" s="110">
        <v>0.1</v>
      </c>
    </row>
    <row r="50" spans="1:2" x14ac:dyDescent="0.25">
      <c r="A50" s="109" t="s">
        <v>55</v>
      </c>
      <c r="B50" s="110">
        <v>0.1</v>
      </c>
    </row>
    <row r="51" spans="1:2" x14ac:dyDescent="0.25">
      <c r="A51" s="109" t="s">
        <v>66</v>
      </c>
      <c r="B51" s="110">
        <v>0.1</v>
      </c>
    </row>
    <row r="52" spans="1:2" x14ac:dyDescent="0.25">
      <c r="A52" s="109" t="s">
        <v>25</v>
      </c>
      <c r="B52" s="110">
        <v>0.1</v>
      </c>
    </row>
    <row r="53" spans="1:2" x14ac:dyDescent="0.25">
      <c r="A53" s="109" t="s">
        <v>37</v>
      </c>
      <c r="B53" s="110">
        <v>0.1</v>
      </c>
    </row>
    <row r="54" spans="1:2" x14ac:dyDescent="0.25">
      <c r="A54" s="109" t="s">
        <v>261</v>
      </c>
      <c r="B54" s="110">
        <v>0.1</v>
      </c>
    </row>
    <row r="55" spans="1:2" x14ac:dyDescent="0.25">
      <c r="A55" s="68" t="s">
        <v>259</v>
      </c>
      <c r="B55" s="110">
        <v>0.1</v>
      </c>
    </row>
    <row r="56" spans="1:2" x14ac:dyDescent="0.25">
      <c r="A56" s="109" t="s">
        <v>260</v>
      </c>
      <c r="B56" s="110">
        <v>0.1</v>
      </c>
    </row>
    <row r="57" spans="1:2" x14ac:dyDescent="0.25">
      <c r="A57" s="109" t="s">
        <v>227</v>
      </c>
      <c r="B57" s="110">
        <v>0.1</v>
      </c>
    </row>
    <row r="58" spans="1:2" x14ac:dyDescent="0.25">
      <c r="A58" s="109" t="s">
        <v>545</v>
      </c>
      <c r="B58" s="110">
        <v>0.1</v>
      </c>
    </row>
    <row r="59" spans="1:2" x14ac:dyDescent="0.25">
      <c r="A59" s="68" t="s">
        <v>232</v>
      </c>
      <c r="B59" s="70">
        <v>0.1</v>
      </c>
    </row>
    <row r="60" spans="1:2" x14ac:dyDescent="0.25">
      <c r="A60" s="68" t="s">
        <v>48</v>
      </c>
      <c r="B60" s="70">
        <v>0.09</v>
      </c>
    </row>
    <row r="61" spans="1:2" x14ac:dyDescent="0.25">
      <c r="A61" t="s">
        <v>571</v>
      </c>
      <c r="B61" s="70">
        <v>0.1</v>
      </c>
    </row>
    <row r="62" spans="1:2" x14ac:dyDescent="0.25">
      <c r="A62" t="s">
        <v>257</v>
      </c>
      <c r="B62" s="70">
        <v>0.1</v>
      </c>
    </row>
  </sheetData>
  <sortState xmlns:xlrd2="http://schemas.microsoft.com/office/spreadsheetml/2017/richdata2" ref="G1:G4110">
    <sortCondition ref="G1:G41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3ADCB-3FF7-4AA9-A09A-63588AD9918D}">
  <dimension ref="A1:B306"/>
  <sheetViews>
    <sheetView workbookViewId="0">
      <selection activeCell="A306" sqref="A306"/>
    </sheetView>
  </sheetViews>
  <sheetFormatPr baseColWidth="10" defaultColWidth="8.7109375" defaultRowHeight="15" x14ac:dyDescent="0.25"/>
  <cols>
    <col min="1" max="1" width="10.28515625" customWidth="1"/>
    <col min="2" max="2" width="18" customWidth="1"/>
  </cols>
  <sheetData>
    <row r="1" spans="1:2" x14ac:dyDescent="0.25">
      <c r="A1" s="13">
        <v>44256</v>
      </c>
      <c r="B1" t="s">
        <v>217</v>
      </c>
    </row>
    <row r="2" spans="1:2" x14ac:dyDescent="0.25">
      <c r="A2" s="13">
        <v>44257</v>
      </c>
      <c r="B2" t="s">
        <v>218</v>
      </c>
    </row>
    <row r="3" spans="1:2" x14ac:dyDescent="0.25">
      <c r="A3" s="13">
        <v>44258</v>
      </c>
      <c r="B3" t="s">
        <v>219</v>
      </c>
    </row>
    <row r="4" spans="1:2" x14ac:dyDescent="0.25">
      <c r="A4" s="13">
        <v>44259</v>
      </c>
      <c r="B4" t="s">
        <v>220</v>
      </c>
    </row>
    <row r="5" spans="1:2" x14ac:dyDescent="0.25">
      <c r="A5" s="13">
        <v>44260</v>
      </c>
      <c r="B5" t="s">
        <v>221</v>
      </c>
    </row>
    <row r="6" spans="1:2" x14ac:dyDescent="0.25">
      <c r="A6" s="13">
        <v>44261</v>
      </c>
      <c r="B6" t="s">
        <v>215</v>
      </c>
    </row>
    <row r="7" spans="1:2" x14ac:dyDescent="0.25">
      <c r="A7" s="13">
        <v>44262</v>
      </c>
      <c r="B7" t="s">
        <v>216</v>
      </c>
    </row>
    <row r="8" spans="1:2" x14ac:dyDescent="0.25">
      <c r="A8" s="13">
        <v>44263</v>
      </c>
      <c r="B8" t="s">
        <v>217</v>
      </c>
    </row>
    <row r="9" spans="1:2" x14ac:dyDescent="0.25">
      <c r="A9" s="13">
        <v>44264</v>
      </c>
      <c r="B9" t="s">
        <v>218</v>
      </c>
    </row>
    <row r="10" spans="1:2" x14ac:dyDescent="0.25">
      <c r="A10" s="13">
        <v>44265</v>
      </c>
      <c r="B10" t="s">
        <v>219</v>
      </c>
    </row>
    <row r="11" spans="1:2" x14ac:dyDescent="0.25">
      <c r="A11" s="13">
        <v>44266</v>
      </c>
      <c r="B11" t="s">
        <v>220</v>
      </c>
    </row>
    <row r="12" spans="1:2" x14ac:dyDescent="0.25">
      <c r="A12" s="13">
        <v>44267</v>
      </c>
      <c r="B12" t="s">
        <v>221</v>
      </c>
    </row>
    <row r="13" spans="1:2" x14ac:dyDescent="0.25">
      <c r="A13" s="13">
        <v>44268</v>
      </c>
      <c r="B13" t="s">
        <v>215</v>
      </c>
    </row>
    <row r="14" spans="1:2" x14ac:dyDescent="0.25">
      <c r="A14" s="13">
        <v>44269</v>
      </c>
      <c r="B14" t="s">
        <v>216</v>
      </c>
    </row>
    <row r="15" spans="1:2" x14ac:dyDescent="0.25">
      <c r="A15" s="13">
        <v>44270</v>
      </c>
      <c r="B15" t="s">
        <v>217</v>
      </c>
    </row>
    <row r="16" spans="1:2" x14ac:dyDescent="0.25">
      <c r="A16" s="13">
        <v>44271</v>
      </c>
      <c r="B16" t="s">
        <v>218</v>
      </c>
    </row>
    <row r="17" spans="1:2" x14ac:dyDescent="0.25">
      <c r="A17" s="13">
        <v>44272</v>
      </c>
      <c r="B17" t="s">
        <v>219</v>
      </c>
    </row>
    <row r="18" spans="1:2" x14ac:dyDescent="0.25">
      <c r="A18" s="13">
        <v>44273</v>
      </c>
      <c r="B18" t="s">
        <v>220</v>
      </c>
    </row>
    <row r="19" spans="1:2" x14ac:dyDescent="0.25">
      <c r="A19" s="13">
        <v>44274</v>
      </c>
      <c r="B19" t="s">
        <v>221</v>
      </c>
    </row>
    <row r="20" spans="1:2" x14ac:dyDescent="0.25">
      <c r="A20" s="13">
        <v>44275</v>
      </c>
      <c r="B20" t="s">
        <v>215</v>
      </c>
    </row>
    <row r="21" spans="1:2" x14ac:dyDescent="0.25">
      <c r="A21" s="13">
        <v>44276</v>
      </c>
      <c r="B21" t="s">
        <v>216</v>
      </c>
    </row>
    <row r="22" spans="1:2" x14ac:dyDescent="0.25">
      <c r="A22" s="13">
        <v>44277</v>
      </c>
      <c r="B22" t="s">
        <v>216</v>
      </c>
    </row>
    <row r="23" spans="1:2" x14ac:dyDescent="0.25">
      <c r="A23" s="13">
        <v>44278</v>
      </c>
      <c r="B23" t="s">
        <v>218</v>
      </c>
    </row>
    <row r="24" spans="1:2" x14ac:dyDescent="0.25">
      <c r="A24" s="13">
        <v>44279</v>
      </c>
      <c r="B24" t="s">
        <v>219</v>
      </c>
    </row>
    <row r="25" spans="1:2" x14ac:dyDescent="0.25">
      <c r="A25" s="13">
        <v>44280</v>
      </c>
      <c r="B25" t="s">
        <v>220</v>
      </c>
    </row>
    <row r="26" spans="1:2" x14ac:dyDescent="0.25">
      <c r="A26" s="13">
        <v>44281</v>
      </c>
      <c r="B26" t="s">
        <v>221</v>
      </c>
    </row>
    <row r="27" spans="1:2" x14ac:dyDescent="0.25">
      <c r="A27" s="13">
        <v>44282</v>
      </c>
      <c r="B27" t="s">
        <v>215</v>
      </c>
    </row>
    <row r="28" spans="1:2" x14ac:dyDescent="0.25">
      <c r="A28" s="13">
        <v>44283</v>
      </c>
      <c r="B28" t="s">
        <v>216</v>
      </c>
    </row>
    <row r="29" spans="1:2" x14ac:dyDescent="0.25">
      <c r="A29" s="13">
        <v>44284</v>
      </c>
      <c r="B29" t="s">
        <v>217</v>
      </c>
    </row>
    <row r="30" spans="1:2" x14ac:dyDescent="0.25">
      <c r="A30" s="13">
        <v>44285</v>
      </c>
      <c r="B30" t="s">
        <v>218</v>
      </c>
    </row>
    <row r="31" spans="1:2" x14ac:dyDescent="0.25">
      <c r="A31" s="13">
        <v>44286</v>
      </c>
      <c r="B31" t="s">
        <v>219</v>
      </c>
    </row>
    <row r="32" spans="1:2" x14ac:dyDescent="0.25">
      <c r="A32" s="13">
        <v>44287</v>
      </c>
      <c r="B32" t="s">
        <v>314</v>
      </c>
    </row>
    <row r="33" spans="1:2" x14ac:dyDescent="0.25">
      <c r="A33" s="13">
        <v>44288</v>
      </c>
      <c r="B33" t="s">
        <v>314</v>
      </c>
    </row>
    <row r="34" spans="1:2" x14ac:dyDescent="0.25">
      <c r="A34" s="13">
        <v>44289</v>
      </c>
      <c r="B34" t="s">
        <v>215</v>
      </c>
    </row>
    <row r="35" spans="1:2" x14ac:dyDescent="0.25">
      <c r="A35" s="13">
        <v>44290</v>
      </c>
      <c r="B35" t="s">
        <v>216</v>
      </c>
    </row>
    <row r="36" spans="1:2" x14ac:dyDescent="0.25">
      <c r="A36" s="13">
        <v>44291</v>
      </c>
      <c r="B36" t="s">
        <v>217</v>
      </c>
    </row>
    <row r="37" spans="1:2" x14ac:dyDescent="0.25">
      <c r="A37" s="13">
        <v>44292</v>
      </c>
      <c r="B37" t="s">
        <v>218</v>
      </c>
    </row>
    <row r="38" spans="1:2" x14ac:dyDescent="0.25">
      <c r="A38" s="13">
        <v>44293</v>
      </c>
      <c r="B38" t="s">
        <v>219</v>
      </c>
    </row>
    <row r="39" spans="1:2" x14ac:dyDescent="0.25">
      <c r="A39" s="13">
        <v>44294</v>
      </c>
      <c r="B39" t="s">
        <v>220</v>
      </c>
    </row>
    <row r="40" spans="1:2" x14ac:dyDescent="0.25">
      <c r="A40" s="13">
        <v>44295</v>
      </c>
      <c r="B40" t="s">
        <v>221</v>
      </c>
    </row>
    <row r="41" spans="1:2" x14ac:dyDescent="0.25">
      <c r="A41" s="13">
        <v>44296</v>
      </c>
      <c r="B41" t="s">
        <v>215</v>
      </c>
    </row>
    <row r="42" spans="1:2" x14ac:dyDescent="0.25">
      <c r="A42" s="13">
        <v>44297</v>
      </c>
      <c r="B42" t="s">
        <v>216</v>
      </c>
    </row>
    <row r="43" spans="1:2" x14ac:dyDescent="0.25">
      <c r="A43" s="13">
        <v>44298</v>
      </c>
      <c r="B43" t="s">
        <v>217</v>
      </c>
    </row>
    <row r="44" spans="1:2" x14ac:dyDescent="0.25">
      <c r="A44" s="13">
        <v>44299</v>
      </c>
      <c r="B44" t="s">
        <v>218</v>
      </c>
    </row>
    <row r="45" spans="1:2" x14ac:dyDescent="0.25">
      <c r="A45" s="13">
        <v>44300</v>
      </c>
      <c r="B45" t="s">
        <v>219</v>
      </c>
    </row>
    <row r="46" spans="1:2" x14ac:dyDescent="0.25">
      <c r="A46" s="13">
        <v>44301</v>
      </c>
      <c r="B46" t="s">
        <v>220</v>
      </c>
    </row>
    <row r="47" spans="1:2" x14ac:dyDescent="0.25">
      <c r="A47" s="13">
        <v>44302</v>
      </c>
      <c r="B47" t="s">
        <v>221</v>
      </c>
    </row>
    <row r="48" spans="1:2" x14ac:dyDescent="0.25">
      <c r="A48" s="13">
        <v>44303</v>
      </c>
      <c r="B48" t="s">
        <v>215</v>
      </c>
    </row>
    <row r="49" spans="1:2" x14ac:dyDescent="0.25">
      <c r="A49" s="13">
        <v>44304</v>
      </c>
      <c r="B49" t="s">
        <v>216</v>
      </c>
    </row>
    <row r="50" spans="1:2" x14ac:dyDescent="0.25">
      <c r="A50" s="13">
        <v>44305</v>
      </c>
      <c r="B50" t="s">
        <v>217</v>
      </c>
    </row>
    <row r="51" spans="1:2" x14ac:dyDescent="0.25">
      <c r="A51" s="13">
        <v>44306</v>
      </c>
      <c r="B51" t="s">
        <v>218</v>
      </c>
    </row>
    <row r="52" spans="1:2" x14ac:dyDescent="0.25">
      <c r="A52" s="13">
        <v>44307</v>
      </c>
      <c r="B52" t="s">
        <v>219</v>
      </c>
    </row>
    <row r="53" spans="1:2" x14ac:dyDescent="0.25">
      <c r="A53" s="13">
        <v>44308</v>
      </c>
      <c r="B53" t="s">
        <v>220</v>
      </c>
    </row>
    <row r="54" spans="1:2" x14ac:dyDescent="0.25">
      <c r="A54" s="13">
        <v>44309</v>
      </c>
      <c r="B54" t="s">
        <v>221</v>
      </c>
    </row>
    <row r="55" spans="1:2" x14ac:dyDescent="0.25">
      <c r="A55" s="13">
        <v>44310</v>
      </c>
      <c r="B55" t="s">
        <v>215</v>
      </c>
    </row>
    <row r="56" spans="1:2" x14ac:dyDescent="0.25">
      <c r="A56" s="13">
        <v>44311</v>
      </c>
      <c r="B56" t="s">
        <v>216</v>
      </c>
    </row>
    <row r="57" spans="1:2" x14ac:dyDescent="0.25">
      <c r="A57" s="13">
        <v>44312</v>
      </c>
      <c r="B57" t="s">
        <v>217</v>
      </c>
    </row>
    <row r="58" spans="1:2" x14ac:dyDescent="0.25">
      <c r="A58" s="13">
        <v>44313</v>
      </c>
      <c r="B58" t="s">
        <v>218</v>
      </c>
    </row>
    <row r="59" spans="1:2" x14ac:dyDescent="0.25">
      <c r="A59" s="13">
        <v>44314</v>
      </c>
      <c r="B59" t="s">
        <v>219</v>
      </c>
    </row>
    <row r="60" spans="1:2" x14ac:dyDescent="0.25">
      <c r="A60" s="13">
        <v>44315</v>
      </c>
      <c r="B60" t="s">
        <v>220</v>
      </c>
    </row>
    <row r="61" spans="1:2" x14ac:dyDescent="0.25">
      <c r="A61" s="13">
        <v>44316</v>
      </c>
      <c r="B61" t="s">
        <v>221</v>
      </c>
    </row>
    <row r="62" spans="1:2" x14ac:dyDescent="0.25">
      <c r="A62" s="13">
        <v>44317</v>
      </c>
      <c r="B62" t="s">
        <v>215</v>
      </c>
    </row>
    <row r="63" spans="1:2" x14ac:dyDescent="0.25">
      <c r="A63" s="13">
        <v>44318</v>
      </c>
      <c r="B63" t="s">
        <v>216</v>
      </c>
    </row>
    <row r="64" spans="1:2" x14ac:dyDescent="0.25">
      <c r="A64" s="13">
        <v>44319</v>
      </c>
      <c r="B64" t="s">
        <v>217</v>
      </c>
    </row>
    <row r="65" spans="1:2" x14ac:dyDescent="0.25">
      <c r="A65" s="13">
        <v>44320</v>
      </c>
      <c r="B65" t="s">
        <v>218</v>
      </c>
    </row>
    <row r="66" spans="1:2" x14ac:dyDescent="0.25">
      <c r="A66" s="13">
        <v>44321</v>
      </c>
      <c r="B66" t="s">
        <v>219</v>
      </c>
    </row>
    <row r="67" spans="1:2" x14ac:dyDescent="0.25">
      <c r="A67" s="13">
        <v>44322</v>
      </c>
      <c r="B67" t="s">
        <v>220</v>
      </c>
    </row>
    <row r="68" spans="1:2" x14ac:dyDescent="0.25">
      <c r="A68" s="13">
        <v>44323</v>
      </c>
      <c r="B68" t="s">
        <v>221</v>
      </c>
    </row>
    <row r="69" spans="1:2" x14ac:dyDescent="0.25">
      <c r="A69" s="13">
        <v>44324</v>
      </c>
      <c r="B69" t="s">
        <v>215</v>
      </c>
    </row>
    <row r="70" spans="1:2" x14ac:dyDescent="0.25">
      <c r="A70" s="13">
        <v>44325</v>
      </c>
      <c r="B70" t="s">
        <v>216</v>
      </c>
    </row>
    <row r="71" spans="1:2" x14ac:dyDescent="0.25">
      <c r="A71" s="13">
        <v>44326</v>
      </c>
      <c r="B71" t="s">
        <v>217</v>
      </c>
    </row>
    <row r="72" spans="1:2" x14ac:dyDescent="0.25">
      <c r="A72" s="13">
        <v>44327</v>
      </c>
      <c r="B72" t="s">
        <v>218</v>
      </c>
    </row>
    <row r="73" spans="1:2" x14ac:dyDescent="0.25">
      <c r="A73" s="13">
        <v>44328</v>
      </c>
      <c r="B73" t="s">
        <v>219</v>
      </c>
    </row>
    <row r="74" spans="1:2" x14ac:dyDescent="0.25">
      <c r="A74" s="13">
        <v>44329</v>
      </c>
      <c r="B74" t="s">
        <v>220</v>
      </c>
    </row>
    <row r="75" spans="1:2" x14ac:dyDescent="0.25">
      <c r="A75" s="13">
        <v>44330</v>
      </c>
      <c r="B75" t="s">
        <v>221</v>
      </c>
    </row>
    <row r="76" spans="1:2" x14ac:dyDescent="0.25">
      <c r="A76" s="13">
        <v>44331</v>
      </c>
      <c r="B76" t="s">
        <v>215</v>
      </c>
    </row>
    <row r="77" spans="1:2" x14ac:dyDescent="0.25">
      <c r="A77" s="13">
        <v>44332</v>
      </c>
      <c r="B77" t="s">
        <v>216</v>
      </c>
    </row>
    <row r="78" spans="1:2" x14ac:dyDescent="0.25">
      <c r="A78" s="13">
        <v>44333</v>
      </c>
      <c r="B78" t="s">
        <v>217</v>
      </c>
    </row>
    <row r="79" spans="1:2" x14ac:dyDescent="0.25">
      <c r="A79" s="13">
        <v>44334</v>
      </c>
      <c r="B79" t="s">
        <v>218</v>
      </c>
    </row>
    <row r="80" spans="1:2" x14ac:dyDescent="0.25">
      <c r="A80" s="13">
        <v>44335</v>
      </c>
      <c r="B80" t="s">
        <v>219</v>
      </c>
    </row>
    <row r="81" spans="1:2" x14ac:dyDescent="0.25">
      <c r="A81" s="13">
        <v>44336</v>
      </c>
      <c r="B81" t="s">
        <v>220</v>
      </c>
    </row>
    <row r="82" spans="1:2" x14ac:dyDescent="0.25">
      <c r="A82" s="13">
        <v>44337</v>
      </c>
      <c r="B82" t="s">
        <v>221</v>
      </c>
    </row>
    <row r="83" spans="1:2" x14ac:dyDescent="0.25">
      <c r="A83" s="13">
        <v>44338</v>
      </c>
      <c r="B83" t="s">
        <v>215</v>
      </c>
    </row>
    <row r="84" spans="1:2" x14ac:dyDescent="0.25">
      <c r="A84" s="13">
        <v>44339</v>
      </c>
      <c r="B84" t="s">
        <v>216</v>
      </c>
    </row>
    <row r="85" spans="1:2" x14ac:dyDescent="0.25">
      <c r="A85" s="13">
        <v>44340</v>
      </c>
      <c r="B85" t="s">
        <v>217</v>
      </c>
    </row>
    <row r="86" spans="1:2" x14ac:dyDescent="0.25">
      <c r="A86" s="13">
        <v>44341</v>
      </c>
      <c r="B86" t="s">
        <v>218</v>
      </c>
    </row>
    <row r="87" spans="1:2" x14ac:dyDescent="0.25">
      <c r="A87" s="13">
        <v>44342</v>
      </c>
      <c r="B87" t="s">
        <v>219</v>
      </c>
    </row>
    <row r="88" spans="1:2" x14ac:dyDescent="0.25">
      <c r="A88" s="13">
        <v>44343</v>
      </c>
      <c r="B88" t="s">
        <v>220</v>
      </c>
    </row>
    <row r="89" spans="1:2" x14ac:dyDescent="0.25">
      <c r="A89" s="13">
        <v>44344</v>
      </c>
      <c r="B89" t="s">
        <v>221</v>
      </c>
    </row>
    <row r="90" spans="1:2" x14ac:dyDescent="0.25">
      <c r="A90" s="13">
        <v>44345</v>
      </c>
      <c r="B90" t="s">
        <v>215</v>
      </c>
    </row>
    <row r="91" spans="1:2" x14ac:dyDescent="0.25">
      <c r="A91" s="13">
        <v>44346</v>
      </c>
      <c r="B91" t="s">
        <v>216</v>
      </c>
    </row>
    <row r="92" spans="1:2" x14ac:dyDescent="0.25">
      <c r="A92" s="13">
        <v>44347</v>
      </c>
      <c r="B92" t="s">
        <v>217</v>
      </c>
    </row>
    <row r="93" spans="1:2" x14ac:dyDescent="0.25">
      <c r="A93" s="13">
        <v>44348</v>
      </c>
      <c r="B93" t="s">
        <v>218</v>
      </c>
    </row>
    <row r="94" spans="1:2" x14ac:dyDescent="0.25">
      <c r="A94" s="13">
        <v>44349</v>
      </c>
      <c r="B94" t="s">
        <v>219</v>
      </c>
    </row>
    <row r="95" spans="1:2" x14ac:dyDescent="0.25">
      <c r="A95" s="13">
        <v>44350</v>
      </c>
      <c r="B95" t="s">
        <v>220</v>
      </c>
    </row>
    <row r="96" spans="1:2" x14ac:dyDescent="0.25">
      <c r="A96" s="13">
        <v>44351</v>
      </c>
      <c r="B96" t="s">
        <v>221</v>
      </c>
    </row>
    <row r="97" spans="1:2" x14ac:dyDescent="0.25">
      <c r="A97" s="13">
        <v>44352</v>
      </c>
      <c r="B97" t="s">
        <v>215</v>
      </c>
    </row>
    <row r="98" spans="1:2" x14ac:dyDescent="0.25">
      <c r="A98" s="13">
        <v>44353</v>
      </c>
      <c r="B98" t="s">
        <v>216</v>
      </c>
    </row>
    <row r="99" spans="1:2" x14ac:dyDescent="0.25">
      <c r="A99" s="13">
        <v>44354</v>
      </c>
      <c r="B99" t="s">
        <v>314</v>
      </c>
    </row>
    <row r="100" spans="1:2" x14ac:dyDescent="0.25">
      <c r="A100" s="13">
        <v>44355</v>
      </c>
      <c r="B100" t="s">
        <v>218</v>
      </c>
    </row>
    <row r="101" spans="1:2" x14ac:dyDescent="0.25">
      <c r="A101" s="13">
        <v>44356</v>
      </c>
      <c r="B101" t="s">
        <v>219</v>
      </c>
    </row>
    <row r="102" spans="1:2" x14ac:dyDescent="0.25">
      <c r="A102" s="13">
        <v>44357</v>
      </c>
      <c r="B102" t="s">
        <v>220</v>
      </c>
    </row>
    <row r="103" spans="1:2" x14ac:dyDescent="0.25">
      <c r="A103" s="13">
        <v>44358</v>
      </c>
      <c r="B103" t="s">
        <v>221</v>
      </c>
    </row>
    <row r="104" spans="1:2" x14ac:dyDescent="0.25">
      <c r="A104" s="13">
        <v>44359</v>
      </c>
      <c r="B104" t="s">
        <v>215</v>
      </c>
    </row>
    <row r="105" spans="1:2" x14ac:dyDescent="0.25">
      <c r="A105" s="13">
        <v>44360</v>
      </c>
      <c r="B105" t="s">
        <v>216</v>
      </c>
    </row>
    <row r="106" spans="1:2" x14ac:dyDescent="0.25">
      <c r="A106" s="13">
        <v>44361</v>
      </c>
      <c r="B106" t="s">
        <v>314</v>
      </c>
    </row>
    <row r="107" spans="1:2" x14ac:dyDescent="0.25">
      <c r="A107" s="13">
        <v>44362</v>
      </c>
      <c r="B107" t="s">
        <v>218</v>
      </c>
    </row>
    <row r="108" spans="1:2" x14ac:dyDescent="0.25">
      <c r="A108" s="13">
        <v>44363</v>
      </c>
      <c r="B108" t="s">
        <v>219</v>
      </c>
    </row>
    <row r="109" spans="1:2" x14ac:dyDescent="0.25">
      <c r="A109" s="13">
        <v>44364</v>
      </c>
      <c r="B109" t="s">
        <v>220</v>
      </c>
    </row>
    <row r="110" spans="1:2" x14ac:dyDescent="0.25">
      <c r="A110" s="13">
        <v>44365</v>
      </c>
      <c r="B110" t="s">
        <v>221</v>
      </c>
    </row>
    <row r="111" spans="1:2" x14ac:dyDescent="0.25">
      <c r="A111" s="13">
        <v>44366</v>
      </c>
      <c r="B111" t="s">
        <v>215</v>
      </c>
    </row>
    <row r="112" spans="1:2" x14ac:dyDescent="0.25">
      <c r="A112" s="13">
        <v>44367</v>
      </c>
      <c r="B112" t="s">
        <v>216</v>
      </c>
    </row>
    <row r="113" spans="1:2" x14ac:dyDescent="0.25">
      <c r="A113" s="13">
        <v>44368</v>
      </c>
      <c r="B113" t="s">
        <v>217</v>
      </c>
    </row>
    <row r="114" spans="1:2" x14ac:dyDescent="0.25">
      <c r="A114" s="13">
        <v>44369</v>
      </c>
      <c r="B114" t="s">
        <v>218</v>
      </c>
    </row>
    <row r="115" spans="1:2" x14ac:dyDescent="0.25">
      <c r="A115" s="13">
        <v>44370</v>
      </c>
      <c r="B115" t="s">
        <v>219</v>
      </c>
    </row>
    <row r="116" spans="1:2" x14ac:dyDescent="0.25">
      <c r="A116" s="13">
        <v>44371</v>
      </c>
      <c r="B116" t="s">
        <v>220</v>
      </c>
    </row>
    <row r="117" spans="1:2" x14ac:dyDescent="0.25">
      <c r="A117" s="13">
        <v>44372</v>
      </c>
      <c r="B117" t="s">
        <v>221</v>
      </c>
    </row>
    <row r="118" spans="1:2" x14ac:dyDescent="0.25">
      <c r="A118" s="13">
        <v>44373</v>
      </c>
      <c r="B118" t="s">
        <v>215</v>
      </c>
    </row>
    <row r="119" spans="1:2" x14ac:dyDescent="0.25">
      <c r="A119" s="13">
        <v>44374</v>
      </c>
      <c r="B119" t="s">
        <v>216</v>
      </c>
    </row>
    <row r="120" spans="1:2" x14ac:dyDescent="0.25">
      <c r="A120" s="13">
        <v>44375</v>
      </c>
      <c r="B120" t="s">
        <v>217</v>
      </c>
    </row>
    <row r="121" spans="1:2" x14ac:dyDescent="0.25">
      <c r="A121" s="13">
        <v>44376</v>
      </c>
      <c r="B121" t="s">
        <v>218</v>
      </c>
    </row>
    <row r="122" spans="1:2" x14ac:dyDescent="0.25">
      <c r="A122" s="13">
        <v>44377</v>
      </c>
      <c r="B122" t="s">
        <v>219</v>
      </c>
    </row>
    <row r="123" spans="1:2" x14ac:dyDescent="0.25">
      <c r="A123" s="13">
        <v>44378</v>
      </c>
      <c r="B123" t="s">
        <v>220</v>
      </c>
    </row>
    <row r="124" spans="1:2" x14ac:dyDescent="0.25">
      <c r="A124" s="13">
        <v>44379</v>
      </c>
      <c r="B124" t="s">
        <v>221</v>
      </c>
    </row>
    <row r="125" spans="1:2" x14ac:dyDescent="0.25">
      <c r="A125" s="13">
        <v>44380</v>
      </c>
      <c r="B125" t="s">
        <v>215</v>
      </c>
    </row>
    <row r="126" spans="1:2" x14ac:dyDescent="0.25">
      <c r="A126" s="13">
        <v>44381</v>
      </c>
      <c r="B126" t="s">
        <v>216</v>
      </c>
    </row>
    <row r="127" spans="1:2" x14ac:dyDescent="0.25">
      <c r="A127" s="13">
        <v>44382</v>
      </c>
      <c r="B127" t="s">
        <v>314</v>
      </c>
    </row>
    <row r="128" spans="1:2" x14ac:dyDescent="0.25">
      <c r="A128" s="13">
        <v>44383</v>
      </c>
      <c r="B128" t="s">
        <v>218</v>
      </c>
    </row>
    <row r="129" spans="1:2" x14ac:dyDescent="0.25">
      <c r="A129" s="13">
        <v>44384</v>
      </c>
      <c r="B129" t="s">
        <v>219</v>
      </c>
    </row>
    <row r="130" spans="1:2" x14ac:dyDescent="0.25">
      <c r="A130" s="13">
        <v>44385</v>
      </c>
      <c r="B130" t="s">
        <v>220</v>
      </c>
    </row>
    <row r="131" spans="1:2" x14ac:dyDescent="0.25">
      <c r="A131" s="13">
        <v>44386</v>
      </c>
      <c r="B131" t="s">
        <v>221</v>
      </c>
    </row>
    <row r="132" spans="1:2" x14ac:dyDescent="0.25">
      <c r="A132" s="13">
        <v>44387</v>
      </c>
      <c r="B132" t="s">
        <v>215</v>
      </c>
    </row>
    <row r="133" spans="1:2" x14ac:dyDescent="0.25">
      <c r="A133" s="13">
        <v>44388</v>
      </c>
      <c r="B133" t="s">
        <v>216</v>
      </c>
    </row>
    <row r="134" spans="1:2" x14ac:dyDescent="0.25">
      <c r="A134" s="13">
        <v>44389</v>
      </c>
      <c r="B134" t="s">
        <v>217</v>
      </c>
    </row>
    <row r="135" spans="1:2" x14ac:dyDescent="0.25">
      <c r="A135" s="13">
        <v>44390</v>
      </c>
      <c r="B135" t="s">
        <v>218</v>
      </c>
    </row>
    <row r="136" spans="1:2" x14ac:dyDescent="0.25">
      <c r="A136" s="13">
        <v>44391</v>
      </c>
      <c r="B136" t="s">
        <v>219</v>
      </c>
    </row>
    <row r="137" spans="1:2" x14ac:dyDescent="0.25">
      <c r="A137" s="13">
        <v>44392</v>
      </c>
      <c r="B137" t="s">
        <v>220</v>
      </c>
    </row>
    <row r="138" spans="1:2" x14ac:dyDescent="0.25">
      <c r="A138" s="13">
        <v>44393</v>
      </c>
      <c r="B138" t="s">
        <v>221</v>
      </c>
    </row>
    <row r="139" spans="1:2" x14ac:dyDescent="0.25">
      <c r="A139" s="13">
        <v>44394</v>
      </c>
      <c r="B139" t="s">
        <v>215</v>
      </c>
    </row>
    <row r="140" spans="1:2" x14ac:dyDescent="0.25">
      <c r="A140" s="13">
        <v>44395</v>
      </c>
      <c r="B140" t="s">
        <v>216</v>
      </c>
    </row>
    <row r="141" spans="1:2" x14ac:dyDescent="0.25">
      <c r="A141" s="13">
        <v>44396</v>
      </c>
      <c r="B141" t="s">
        <v>217</v>
      </c>
    </row>
    <row r="142" spans="1:2" x14ac:dyDescent="0.25">
      <c r="A142" s="13">
        <v>44397</v>
      </c>
      <c r="B142" t="s">
        <v>314</v>
      </c>
    </row>
    <row r="143" spans="1:2" x14ac:dyDescent="0.25">
      <c r="A143" s="13">
        <v>44398</v>
      </c>
      <c r="B143" t="s">
        <v>219</v>
      </c>
    </row>
    <row r="144" spans="1:2" x14ac:dyDescent="0.25">
      <c r="A144" s="13">
        <v>44399</v>
      </c>
      <c r="B144" t="s">
        <v>220</v>
      </c>
    </row>
    <row r="145" spans="1:2" x14ac:dyDescent="0.25">
      <c r="A145" s="13">
        <v>44400</v>
      </c>
      <c r="B145" t="s">
        <v>221</v>
      </c>
    </row>
    <row r="146" spans="1:2" x14ac:dyDescent="0.25">
      <c r="A146" s="13">
        <v>44401</v>
      </c>
      <c r="B146" t="s">
        <v>215</v>
      </c>
    </row>
    <row r="147" spans="1:2" x14ac:dyDescent="0.25">
      <c r="A147" s="13">
        <v>44402</v>
      </c>
      <c r="B147" t="s">
        <v>216</v>
      </c>
    </row>
    <row r="148" spans="1:2" x14ac:dyDescent="0.25">
      <c r="A148" s="13">
        <v>44403</v>
      </c>
      <c r="B148" t="s">
        <v>217</v>
      </c>
    </row>
    <row r="149" spans="1:2" x14ac:dyDescent="0.25">
      <c r="A149" s="13">
        <v>44404</v>
      </c>
      <c r="B149" t="s">
        <v>218</v>
      </c>
    </row>
    <row r="150" spans="1:2" x14ac:dyDescent="0.25">
      <c r="A150" s="13">
        <v>44405</v>
      </c>
      <c r="B150" t="s">
        <v>219</v>
      </c>
    </row>
    <row r="151" spans="1:2" x14ac:dyDescent="0.25">
      <c r="A151" s="13">
        <v>44406</v>
      </c>
      <c r="B151" t="s">
        <v>220</v>
      </c>
    </row>
    <row r="152" spans="1:2" x14ac:dyDescent="0.25">
      <c r="A152" s="13">
        <v>44407</v>
      </c>
      <c r="B152" t="s">
        <v>221</v>
      </c>
    </row>
    <row r="153" spans="1:2" x14ac:dyDescent="0.25">
      <c r="A153" s="13">
        <v>44408</v>
      </c>
      <c r="B153" t="s">
        <v>215</v>
      </c>
    </row>
    <row r="154" spans="1:2" x14ac:dyDescent="0.25">
      <c r="A154" s="13">
        <v>44409</v>
      </c>
      <c r="B154" t="s">
        <v>216</v>
      </c>
    </row>
    <row r="155" spans="1:2" x14ac:dyDescent="0.25">
      <c r="A155" s="13">
        <v>44410</v>
      </c>
      <c r="B155" t="s">
        <v>217</v>
      </c>
    </row>
    <row r="156" spans="1:2" x14ac:dyDescent="0.25">
      <c r="A156" s="13">
        <v>44411</v>
      </c>
      <c r="B156" t="s">
        <v>218</v>
      </c>
    </row>
    <row r="157" spans="1:2" x14ac:dyDescent="0.25">
      <c r="A157" s="13">
        <v>44412</v>
      </c>
      <c r="B157" t="s">
        <v>219</v>
      </c>
    </row>
    <row r="158" spans="1:2" x14ac:dyDescent="0.25">
      <c r="A158" s="13">
        <v>44413</v>
      </c>
      <c r="B158" t="s">
        <v>220</v>
      </c>
    </row>
    <row r="159" spans="1:2" x14ac:dyDescent="0.25">
      <c r="A159" s="13">
        <v>44414</v>
      </c>
      <c r="B159" t="s">
        <v>221</v>
      </c>
    </row>
    <row r="160" spans="1:2" x14ac:dyDescent="0.25">
      <c r="A160" s="13">
        <v>44415</v>
      </c>
      <c r="B160" t="s">
        <v>216</v>
      </c>
    </row>
    <row r="161" spans="1:2" x14ac:dyDescent="0.25">
      <c r="A161" s="13">
        <v>44416</v>
      </c>
      <c r="B161" t="s">
        <v>216</v>
      </c>
    </row>
    <row r="162" spans="1:2" x14ac:dyDescent="0.25">
      <c r="A162" s="13">
        <v>44417</v>
      </c>
      <c r="B162" t="s">
        <v>217</v>
      </c>
    </row>
    <row r="163" spans="1:2" x14ac:dyDescent="0.25">
      <c r="A163" s="13">
        <v>44418</v>
      </c>
      <c r="B163" t="s">
        <v>218</v>
      </c>
    </row>
    <row r="164" spans="1:2" x14ac:dyDescent="0.25">
      <c r="A164" s="13">
        <v>44419</v>
      </c>
      <c r="B164" t="s">
        <v>219</v>
      </c>
    </row>
    <row r="165" spans="1:2" x14ac:dyDescent="0.25">
      <c r="A165" s="13">
        <v>44420</v>
      </c>
      <c r="B165" t="s">
        <v>220</v>
      </c>
    </row>
    <row r="166" spans="1:2" x14ac:dyDescent="0.25">
      <c r="A166" s="13">
        <v>44421</v>
      </c>
      <c r="B166" t="s">
        <v>221</v>
      </c>
    </row>
    <row r="167" spans="1:2" x14ac:dyDescent="0.25">
      <c r="A167" s="13">
        <v>44422</v>
      </c>
      <c r="B167" t="s">
        <v>215</v>
      </c>
    </row>
    <row r="168" spans="1:2" x14ac:dyDescent="0.25">
      <c r="A168" s="13">
        <v>44423</v>
      </c>
      <c r="B168" t="s">
        <v>216</v>
      </c>
    </row>
    <row r="169" spans="1:2" x14ac:dyDescent="0.25">
      <c r="A169" s="13">
        <v>44424</v>
      </c>
      <c r="B169" t="s">
        <v>216</v>
      </c>
    </row>
    <row r="170" spans="1:2" x14ac:dyDescent="0.25">
      <c r="A170" s="13">
        <v>44425</v>
      </c>
      <c r="B170" t="s">
        <v>218</v>
      </c>
    </row>
    <row r="171" spans="1:2" x14ac:dyDescent="0.25">
      <c r="A171" s="13">
        <v>44426</v>
      </c>
      <c r="B171" t="s">
        <v>219</v>
      </c>
    </row>
    <row r="172" spans="1:2" x14ac:dyDescent="0.25">
      <c r="A172" s="13">
        <v>44427</v>
      </c>
      <c r="B172" t="s">
        <v>220</v>
      </c>
    </row>
    <row r="173" spans="1:2" x14ac:dyDescent="0.25">
      <c r="A173" s="13">
        <v>44428</v>
      </c>
      <c r="B173" t="s">
        <v>221</v>
      </c>
    </row>
    <row r="174" spans="1:2" x14ac:dyDescent="0.25">
      <c r="A174" s="13">
        <v>44429</v>
      </c>
      <c r="B174" t="s">
        <v>215</v>
      </c>
    </row>
    <row r="175" spans="1:2" x14ac:dyDescent="0.25">
      <c r="A175" s="13">
        <v>44430</v>
      </c>
      <c r="B175" t="s">
        <v>216</v>
      </c>
    </row>
    <row r="176" spans="1:2" x14ac:dyDescent="0.25">
      <c r="A176" s="13">
        <v>44431</v>
      </c>
      <c r="B176" t="s">
        <v>217</v>
      </c>
    </row>
    <row r="177" spans="1:2" x14ac:dyDescent="0.25">
      <c r="A177" s="13">
        <v>44432</v>
      </c>
      <c r="B177" t="s">
        <v>218</v>
      </c>
    </row>
    <row r="178" spans="1:2" x14ac:dyDescent="0.25">
      <c r="A178" s="13">
        <v>44433</v>
      </c>
      <c r="B178" t="s">
        <v>219</v>
      </c>
    </row>
    <row r="179" spans="1:2" x14ac:dyDescent="0.25">
      <c r="A179" s="13">
        <v>44434</v>
      </c>
      <c r="B179" t="s">
        <v>220</v>
      </c>
    </row>
    <row r="180" spans="1:2" x14ac:dyDescent="0.25">
      <c r="A180" s="13">
        <v>44435</v>
      </c>
      <c r="B180" t="s">
        <v>221</v>
      </c>
    </row>
    <row r="181" spans="1:2" x14ac:dyDescent="0.25">
      <c r="A181" s="13">
        <v>44436</v>
      </c>
      <c r="B181" t="s">
        <v>215</v>
      </c>
    </row>
    <row r="182" spans="1:2" x14ac:dyDescent="0.25">
      <c r="A182" s="13">
        <v>44437</v>
      </c>
      <c r="B182" t="s">
        <v>216</v>
      </c>
    </row>
    <row r="183" spans="1:2" x14ac:dyDescent="0.25">
      <c r="A183" s="13">
        <v>44438</v>
      </c>
      <c r="B183" t="s">
        <v>217</v>
      </c>
    </row>
    <row r="184" spans="1:2" x14ac:dyDescent="0.25">
      <c r="A184" s="13">
        <v>44439</v>
      </c>
      <c r="B184" t="s">
        <v>218</v>
      </c>
    </row>
    <row r="185" spans="1:2" x14ac:dyDescent="0.25">
      <c r="A185" s="13">
        <v>44440</v>
      </c>
      <c r="B185" t="s">
        <v>219</v>
      </c>
    </row>
    <row r="186" spans="1:2" x14ac:dyDescent="0.25">
      <c r="A186" s="13">
        <v>44441</v>
      </c>
      <c r="B186" t="s">
        <v>220</v>
      </c>
    </row>
    <row r="187" spans="1:2" x14ac:dyDescent="0.25">
      <c r="A187" s="13">
        <v>44442</v>
      </c>
      <c r="B187" t="s">
        <v>221</v>
      </c>
    </row>
    <row r="188" spans="1:2" x14ac:dyDescent="0.25">
      <c r="A188" s="13">
        <v>44443</v>
      </c>
      <c r="B188" t="s">
        <v>215</v>
      </c>
    </row>
    <row r="189" spans="1:2" x14ac:dyDescent="0.25">
      <c r="A189" s="13">
        <v>44444</v>
      </c>
      <c r="B189" t="s">
        <v>216</v>
      </c>
    </row>
    <row r="190" spans="1:2" x14ac:dyDescent="0.25">
      <c r="A190" s="13">
        <v>44445</v>
      </c>
      <c r="B190" t="s">
        <v>217</v>
      </c>
    </row>
    <row r="191" spans="1:2" x14ac:dyDescent="0.25">
      <c r="A191" s="13">
        <v>44446</v>
      </c>
      <c r="B191" t="s">
        <v>218</v>
      </c>
    </row>
    <row r="192" spans="1:2" x14ac:dyDescent="0.25">
      <c r="A192" s="13">
        <v>44447</v>
      </c>
      <c r="B192" t="s">
        <v>219</v>
      </c>
    </row>
    <row r="193" spans="1:2" x14ac:dyDescent="0.25">
      <c r="A193" s="13">
        <v>44448</v>
      </c>
      <c r="B193" t="s">
        <v>220</v>
      </c>
    </row>
    <row r="194" spans="1:2" x14ac:dyDescent="0.25">
      <c r="A194" s="13">
        <v>44449</v>
      </c>
      <c r="B194" t="s">
        <v>221</v>
      </c>
    </row>
    <row r="195" spans="1:2" x14ac:dyDescent="0.25">
      <c r="A195" s="13">
        <v>44450</v>
      </c>
      <c r="B195" t="s">
        <v>215</v>
      </c>
    </row>
    <row r="196" spans="1:2" x14ac:dyDescent="0.25">
      <c r="A196" s="13">
        <v>44451</v>
      </c>
      <c r="B196" t="s">
        <v>216</v>
      </c>
    </row>
    <row r="197" spans="1:2" x14ac:dyDescent="0.25">
      <c r="A197" s="13">
        <v>44452</v>
      </c>
      <c r="B197" t="s">
        <v>217</v>
      </c>
    </row>
    <row r="198" spans="1:2" x14ac:dyDescent="0.25">
      <c r="A198" s="13">
        <v>44453</v>
      </c>
      <c r="B198" t="s">
        <v>218</v>
      </c>
    </row>
    <row r="199" spans="1:2" x14ac:dyDescent="0.25">
      <c r="A199" s="13">
        <v>44454</v>
      </c>
      <c r="B199" t="s">
        <v>219</v>
      </c>
    </row>
    <row r="200" spans="1:2" x14ac:dyDescent="0.25">
      <c r="A200" s="13">
        <v>44455</v>
      </c>
      <c r="B200" t="s">
        <v>220</v>
      </c>
    </row>
    <row r="201" spans="1:2" x14ac:dyDescent="0.25">
      <c r="A201" s="13">
        <v>44456</v>
      </c>
      <c r="B201" t="s">
        <v>221</v>
      </c>
    </row>
    <row r="202" spans="1:2" x14ac:dyDescent="0.25">
      <c r="A202" s="13">
        <v>44457</v>
      </c>
      <c r="B202" t="s">
        <v>215</v>
      </c>
    </row>
    <row r="203" spans="1:2" x14ac:dyDescent="0.25">
      <c r="A203" s="13">
        <v>44458</v>
      </c>
      <c r="B203" t="s">
        <v>216</v>
      </c>
    </row>
    <row r="204" spans="1:2" x14ac:dyDescent="0.25">
      <c r="A204" s="13">
        <v>44459</v>
      </c>
      <c r="B204" t="s">
        <v>217</v>
      </c>
    </row>
    <row r="205" spans="1:2" x14ac:dyDescent="0.25">
      <c r="A205" s="13">
        <v>44460</v>
      </c>
      <c r="B205" t="s">
        <v>218</v>
      </c>
    </row>
    <row r="206" spans="1:2" x14ac:dyDescent="0.25">
      <c r="A206" s="13">
        <v>44461</v>
      </c>
      <c r="B206" t="s">
        <v>219</v>
      </c>
    </row>
    <row r="207" spans="1:2" x14ac:dyDescent="0.25">
      <c r="A207" s="13">
        <v>44462</v>
      </c>
      <c r="B207" t="s">
        <v>220</v>
      </c>
    </row>
    <row r="208" spans="1:2" x14ac:dyDescent="0.25">
      <c r="A208" s="13">
        <v>44463</v>
      </c>
      <c r="B208" t="s">
        <v>221</v>
      </c>
    </row>
    <row r="209" spans="1:2" x14ac:dyDescent="0.25">
      <c r="A209" s="13">
        <v>44464</v>
      </c>
      <c r="B209" t="s">
        <v>215</v>
      </c>
    </row>
    <row r="210" spans="1:2" x14ac:dyDescent="0.25">
      <c r="A210" s="13">
        <v>44465</v>
      </c>
      <c r="B210" t="s">
        <v>216</v>
      </c>
    </row>
    <row r="211" spans="1:2" x14ac:dyDescent="0.25">
      <c r="A211" s="13">
        <v>44466</v>
      </c>
      <c r="B211" t="s">
        <v>217</v>
      </c>
    </row>
    <row r="212" spans="1:2" x14ac:dyDescent="0.25">
      <c r="A212" s="13">
        <v>44467</v>
      </c>
      <c r="B212" t="s">
        <v>218</v>
      </c>
    </row>
    <row r="213" spans="1:2" x14ac:dyDescent="0.25">
      <c r="A213" s="13">
        <v>44468</v>
      </c>
      <c r="B213" t="s">
        <v>219</v>
      </c>
    </row>
    <row r="214" spans="1:2" x14ac:dyDescent="0.25">
      <c r="A214" s="13">
        <v>44469</v>
      </c>
      <c r="B214" t="s">
        <v>220</v>
      </c>
    </row>
    <row r="215" spans="1:2" x14ac:dyDescent="0.25">
      <c r="A215" s="13">
        <v>44470</v>
      </c>
      <c r="B215" t="s">
        <v>221</v>
      </c>
    </row>
    <row r="216" spans="1:2" x14ac:dyDescent="0.25">
      <c r="A216" s="13">
        <v>44471</v>
      </c>
      <c r="B216" t="s">
        <v>215</v>
      </c>
    </row>
    <row r="217" spans="1:2" x14ac:dyDescent="0.25">
      <c r="A217" s="13">
        <v>44472</v>
      </c>
      <c r="B217" t="s">
        <v>216</v>
      </c>
    </row>
    <row r="218" spans="1:2" x14ac:dyDescent="0.25">
      <c r="A218" s="13">
        <v>44473</v>
      </c>
      <c r="B218" t="s">
        <v>217</v>
      </c>
    </row>
    <row r="219" spans="1:2" x14ac:dyDescent="0.25">
      <c r="A219" s="13">
        <v>44474</v>
      </c>
      <c r="B219" t="s">
        <v>218</v>
      </c>
    </row>
    <row r="220" spans="1:2" x14ac:dyDescent="0.25">
      <c r="A220" s="13">
        <v>44475</v>
      </c>
      <c r="B220" t="s">
        <v>219</v>
      </c>
    </row>
    <row r="221" spans="1:2" x14ac:dyDescent="0.25">
      <c r="A221" s="13">
        <v>44476</v>
      </c>
      <c r="B221" t="s">
        <v>220</v>
      </c>
    </row>
    <row r="222" spans="1:2" x14ac:dyDescent="0.25">
      <c r="A222" s="13">
        <v>44477</v>
      </c>
      <c r="B222" t="s">
        <v>221</v>
      </c>
    </row>
    <row r="223" spans="1:2" x14ac:dyDescent="0.25">
      <c r="A223" s="13">
        <v>44478</v>
      </c>
      <c r="B223" t="s">
        <v>215</v>
      </c>
    </row>
    <row r="224" spans="1:2" x14ac:dyDescent="0.25">
      <c r="A224" s="13">
        <v>44479</v>
      </c>
      <c r="B224" t="s">
        <v>216</v>
      </c>
    </row>
    <row r="225" spans="1:2" x14ac:dyDescent="0.25">
      <c r="A225" s="13">
        <v>44480</v>
      </c>
      <c r="B225" t="s">
        <v>217</v>
      </c>
    </row>
    <row r="226" spans="1:2" x14ac:dyDescent="0.25">
      <c r="A226" s="13">
        <v>44481</v>
      </c>
      <c r="B226" t="s">
        <v>218</v>
      </c>
    </row>
    <row r="227" spans="1:2" x14ac:dyDescent="0.25">
      <c r="A227" s="13">
        <v>44482</v>
      </c>
      <c r="B227" t="s">
        <v>219</v>
      </c>
    </row>
    <row r="228" spans="1:2" x14ac:dyDescent="0.25">
      <c r="A228" s="13">
        <v>44483</v>
      </c>
      <c r="B228" t="s">
        <v>220</v>
      </c>
    </row>
    <row r="229" spans="1:2" x14ac:dyDescent="0.25">
      <c r="A229" s="13">
        <v>44484</v>
      </c>
      <c r="B229" t="s">
        <v>221</v>
      </c>
    </row>
    <row r="230" spans="1:2" x14ac:dyDescent="0.25">
      <c r="A230" s="13">
        <v>44485</v>
      </c>
      <c r="B230" t="s">
        <v>215</v>
      </c>
    </row>
    <row r="231" spans="1:2" x14ac:dyDescent="0.25">
      <c r="A231" s="13">
        <v>44486</v>
      </c>
      <c r="B231" t="s">
        <v>216</v>
      </c>
    </row>
    <row r="232" spans="1:2" x14ac:dyDescent="0.25">
      <c r="A232" s="13">
        <v>44487</v>
      </c>
      <c r="B232" t="s">
        <v>217</v>
      </c>
    </row>
    <row r="233" spans="1:2" x14ac:dyDescent="0.25">
      <c r="A233" s="13">
        <v>44488</v>
      </c>
      <c r="B233" t="s">
        <v>218</v>
      </c>
    </row>
    <row r="234" spans="1:2" x14ac:dyDescent="0.25">
      <c r="A234" s="13">
        <v>44489</v>
      </c>
      <c r="B234" t="s">
        <v>219</v>
      </c>
    </row>
    <row r="235" spans="1:2" x14ac:dyDescent="0.25">
      <c r="A235" s="13">
        <v>44490</v>
      </c>
      <c r="B235" t="s">
        <v>220</v>
      </c>
    </row>
    <row r="236" spans="1:2" x14ac:dyDescent="0.25">
      <c r="A236" s="13">
        <v>44491</v>
      </c>
      <c r="B236" t="s">
        <v>221</v>
      </c>
    </row>
    <row r="237" spans="1:2" x14ac:dyDescent="0.25">
      <c r="A237" s="13">
        <v>44492</v>
      </c>
      <c r="B237" t="s">
        <v>215</v>
      </c>
    </row>
    <row r="238" spans="1:2" x14ac:dyDescent="0.25">
      <c r="A238" s="13">
        <v>44493</v>
      </c>
      <c r="B238" t="s">
        <v>216</v>
      </c>
    </row>
    <row r="239" spans="1:2" x14ac:dyDescent="0.25">
      <c r="A239" s="13">
        <v>44494</v>
      </c>
      <c r="B239" t="s">
        <v>217</v>
      </c>
    </row>
    <row r="240" spans="1:2" x14ac:dyDescent="0.25">
      <c r="A240" s="13">
        <v>44495</v>
      </c>
      <c r="B240" t="s">
        <v>218</v>
      </c>
    </row>
    <row r="241" spans="1:2" x14ac:dyDescent="0.25">
      <c r="A241" s="13">
        <v>44496</v>
      </c>
      <c r="B241" t="s">
        <v>219</v>
      </c>
    </row>
    <row r="242" spans="1:2" x14ac:dyDescent="0.25">
      <c r="A242" s="13">
        <v>44497</v>
      </c>
      <c r="B242" t="s">
        <v>220</v>
      </c>
    </row>
    <row r="243" spans="1:2" x14ac:dyDescent="0.25">
      <c r="A243" s="13">
        <v>44498</v>
      </c>
      <c r="B243" t="s">
        <v>221</v>
      </c>
    </row>
    <row r="244" spans="1:2" x14ac:dyDescent="0.25">
      <c r="A244" s="13">
        <v>44499</v>
      </c>
      <c r="B244" t="s">
        <v>215</v>
      </c>
    </row>
    <row r="245" spans="1:2" x14ac:dyDescent="0.25">
      <c r="A245" s="13">
        <v>44500</v>
      </c>
      <c r="B245" t="s">
        <v>216</v>
      </c>
    </row>
    <row r="246" spans="1:2" x14ac:dyDescent="0.25">
      <c r="A246" s="13">
        <v>44501</v>
      </c>
      <c r="B246" t="s">
        <v>217</v>
      </c>
    </row>
    <row r="247" spans="1:2" x14ac:dyDescent="0.25">
      <c r="A247" s="13">
        <v>44502</v>
      </c>
      <c r="B247" t="s">
        <v>218</v>
      </c>
    </row>
    <row r="248" spans="1:2" x14ac:dyDescent="0.25">
      <c r="A248" s="13">
        <v>44503</v>
      </c>
      <c r="B248" t="s">
        <v>219</v>
      </c>
    </row>
    <row r="249" spans="1:2" x14ac:dyDescent="0.25">
      <c r="A249" s="13">
        <v>44504</v>
      </c>
      <c r="B249" t="s">
        <v>220</v>
      </c>
    </row>
    <row r="250" spans="1:2" x14ac:dyDescent="0.25">
      <c r="A250" s="13">
        <v>44505</v>
      </c>
      <c r="B250" t="s">
        <v>221</v>
      </c>
    </row>
    <row r="251" spans="1:2" x14ac:dyDescent="0.25">
      <c r="A251" s="13">
        <v>44506</v>
      </c>
      <c r="B251" t="s">
        <v>215</v>
      </c>
    </row>
    <row r="252" spans="1:2" x14ac:dyDescent="0.25">
      <c r="A252" s="13">
        <v>44507</v>
      </c>
      <c r="B252" t="s">
        <v>216</v>
      </c>
    </row>
    <row r="253" spans="1:2" x14ac:dyDescent="0.25">
      <c r="A253" s="13">
        <v>44508</v>
      </c>
      <c r="B253" t="s">
        <v>217</v>
      </c>
    </row>
    <row r="254" spans="1:2" x14ac:dyDescent="0.25">
      <c r="A254" s="13">
        <v>44509</v>
      </c>
      <c r="B254" t="s">
        <v>218</v>
      </c>
    </row>
    <row r="255" spans="1:2" x14ac:dyDescent="0.25">
      <c r="A255" s="13">
        <v>44510</v>
      </c>
      <c r="B255" t="s">
        <v>219</v>
      </c>
    </row>
    <row r="256" spans="1:2" x14ac:dyDescent="0.25">
      <c r="A256" s="13">
        <v>44511</v>
      </c>
      <c r="B256" t="s">
        <v>220</v>
      </c>
    </row>
    <row r="257" spans="1:2" x14ac:dyDescent="0.25">
      <c r="A257" s="13">
        <v>44512</v>
      </c>
      <c r="B257" t="s">
        <v>221</v>
      </c>
    </row>
    <row r="258" spans="1:2" x14ac:dyDescent="0.25">
      <c r="A258" s="13">
        <v>44513</v>
      </c>
      <c r="B258" t="s">
        <v>215</v>
      </c>
    </row>
    <row r="259" spans="1:2" x14ac:dyDescent="0.25">
      <c r="A259" s="13">
        <v>44514</v>
      </c>
      <c r="B259" t="s">
        <v>216</v>
      </c>
    </row>
    <row r="260" spans="1:2" x14ac:dyDescent="0.25">
      <c r="A260" s="13">
        <v>44515</v>
      </c>
      <c r="B260" t="s">
        <v>217</v>
      </c>
    </row>
    <row r="261" spans="1:2" x14ac:dyDescent="0.25">
      <c r="A261" s="13">
        <v>44516</v>
      </c>
      <c r="B261" t="s">
        <v>218</v>
      </c>
    </row>
    <row r="262" spans="1:2" x14ac:dyDescent="0.25">
      <c r="A262" s="13">
        <v>44517</v>
      </c>
      <c r="B262" t="s">
        <v>219</v>
      </c>
    </row>
    <row r="263" spans="1:2" x14ac:dyDescent="0.25">
      <c r="A263" s="13">
        <v>44518</v>
      </c>
      <c r="B263" t="s">
        <v>220</v>
      </c>
    </row>
    <row r="264" spans="1:2" x14ac:dyDescent="0.25">
      <c r="A264" s="13">
        <v>44519</v>
      </c>
      <c r="B264" t="s">
        <v>221</v>
      </c>
    </row>
    <row r="265" spans="1:2" x14ac:dyDescent="0.25">
      <c r="A265" s="13">
        <v>44520</v>
      </c>
      <c r="B265" t="s">
        <v>215</v>
      </c>
    </row>
    <row r="266" spans="1:2" x14ac:dyDescent="0.25">
      <c r="A266" s="13">
        <v>44521</v>
      </c>
      <c r="B266" t="s">
        <v>216</v>
      </c>
    </row>
    <row r="267" spans="1:2" x14ac:dyDescent="0.25">
      <c r="A267" s="13">
        <v>44522</v>
      </c>
      <c r="B267" t="s">
        <v>217</v>
      </c>
    </row>
    <row r="268" spans="1:2" x14ac:dyDescent="0.25">
      <c r="A268" s="13">
        <v>44523</v>
      </c>
      <c r="B268" t="s">
        <v>218</v>
      </c>
    </row>
    <row r="269" spans="1:2" x14ac:dyDescent="0.25">
      <c r="A269" s="13">
        <v>44524</v>
      </c>
      <c r="B269" t="s">
        <v>219</v>
      </c>
    </row>
    <row r="270" spans="1:2" x14ac:dyDescent="0.25">
      <c r="A270" s="13">
        <v>44525</v>
      </c>
      <c r="B270" t="s">
        <v>220</v>
      </c>
    </row>
    <row r="271" spans="1:2" x14ac:dyDescent="0.25">
      <c r="A271" s="13">
        <v>44526</v>
      </c>
      <c r="B271" t="s">
        <v>221</v>
      </c>
    </row>
    <row r="272" spans="1:2" x14ac:dyDescent="0.25">
      <c r="A272" s="13">
        <v>44527</v>
      </c>
      <c r="B272" t="s">
        <v>215</v>
      </c>
    </row>
    <row r="273" spans="1:2" x14ac:dyDescent="0.25">
      <c r="A273" s="13">
        <v>44528</v>
      </c>
      <c r="B273" t="s">
        <v>216</v>
      </c>
    </row>
    <row r="274" spans="1:2" x14ac:dyDescent="0.25">
      <c r="A274" s="13">
        <v>44529</v>
      </c>
      <c r="B274" t="s">
        <v>217</v>
      </c>
    </row>
    <row r="275" spans="1:2" x14ac:dyDescent="0.25">
      <c r="A275" s="13">
        <v>44530</v>
      </c>
      <c r="B275" t="s">
        <v>218</v>
      </c>
    </row>
    <row r="276" spans="1:2" x14ac:dyDescent="0.25">
      <c r="A276" s="13">
        <v>44531</v>
      </c>
      <c r="B276" t="s">
        <v>219</v>
      </c>
    </row>
    <row r="277" spans="1:2" x14ac:dyDescent="0.25">
      <c r="A277" s="13">
        <v>44532</v>
      </c>
      <c r="B277" t="s">
        <v>220</v>
      </c>
    </row>
    <row r="278" spans="1:2" x14ac:dyDescent="0.25">
      <c r="A278" s="13">
        <v>44533</v>
      </c>
      <c r="B278" t="s">
        <v>221</v>
      </c>
    </row>
    <row r="279" spans="1:2" x14ac:dyDescent="0.25">
      <c r="A279" s="13">
        <v>44534</v>
      </c>
      <c r="B279" t="s">
        <v>215</v>
      </c>
    </row>
    <row r="280" spans="1:2" x14ac:dyDescent="0.25">
      <c r="A280" s="13">
        <v>44535</v>
      </c>
      <c r="B280" t="s">
        <v>216</v>
      </c>
    </row>
    <row r="281" spans="1:2" x14ac:dyDescent="0.25">
      <c r="A281" s="13">
        <v>44536</v>
      </c>
      <c r="B281" t="s">
        <v>217</v>
      </c>
    </row>
    <row r="282" spans="1:2" x14ac:dyDescent="0.25">
      <c r="A282" s="13">
        <v>44537</v>
      </c>
      <c r="B282" t="s">
        <v>218</v>
      </c>
    </row>
    <row r="283" spans="1:2" x14ac:dyDescent="0.25">
      <c r="A283" s="13">
        <v>44538</v>
      </c>
      <c r="B283" t="s">
        <v>219</v>
      </c>
    </row>
    <row r="284" spans="1:2" x14ac:dyDescent="0.25">
      <c r="A284" s="13">
        <v>44539</v>
      </c>
      <c r="B284" t="s">
        <v>220</v>
      </c>
    </row>
    <row r="285" spans="1:2" x14ac:dyDescent="0.25">
      <c r="A285" s="13">
        <v>44540</v>
      </c>
      <c r="B285" t="s">
        <v>221</v>
      </c>
    </row>
    <row r="286" spans="1:2" x14ac:dyDescent="0.25">
      <c r="A286" s="13">
        <v>44541</v>
      </c>
      <c r="B286" t="s">
        <v>215</v>
      </c>
    </row>
    <row r="287" spans="1:2" x14ac:dyDescent="0.25">
      <c r="A287" s="13">
        <v>44542</v>
      </c>
      <c r="B287" t="s">
        <v>216</v>
      </c>
    </row>
    <row r="288" spans="1:2" x14ac:dyDescent="0.25">
      <c r="A288" s="13">
        <v>44543</v>
      </c>
      <c r="B288" t="s">
        <v>217</v>
      </c>
    </row>
    <row r="289" spans="1:2" x14ac:dyDescent="0.25">
      <c r="A289" s="13">
        <v>44544</v>
      </c>
      <c r="B289" t="s">
        <v>218</v>
      </c>
    </row>
    <row r="290" spans="1:2" x14ac:dyDescent="0.25">
      <c r="A290" s="13">
        <v>44545</v>
      </c>
      <c r="B290" t="s">
        <v>219</v>
      </c>
    </row>
    <row r="291" spans="1:2" x14ac:dyDescent="0.25">
      <c r="A291" s="13">
        <v>44546</v>
      </c>
      <c r="B291" t="s">
        <v>220</v>
      </c>
    </row>
    <row r="292" spans="1:2" x14ac:dyDescent="0.25">
      <c r="A292" s="13">
        <v>44547</v>
      </c>
      <c r="B292" t="s">
        <v>221</v>
      </c>
    </row>
    <row r="293" spans="1:2" x14ac:dyDescent="0.25">
      <c r="A293" s="13">
        <v>44548</v>
      </c>
      <c r="B293" t="s">
        <v>215</v>
      </c>
    </row>
    <row r="294" spans="1:2" x14ac:dyDescent="0.25">
      <c r="A294" s="13">
        <v>44549</v>
      </c>
      <c r="B294" t="s">
        <v>216</v>
      </c>
    </row>
    <row r="295" spans="1:2" x14ac:dyDescent="0.25">
      <c r="A295" s="13">
        <v>44550</v>
      </c>
      <c r="B295" t="s">
        <v>217</v>
      </c>
    </row>
    <row r="296" spans="1:2" x14ac:dyDescent="0.25">
      <c r="A296" s="13">
        <v>44551</v>
      </c>
      <c r="B296" t="s">
        <v>218</v>
      </c>
    </row>
    <row r="297" spans="1:2" x14ac:dyDescent="0.25">
      <c r="A297" s="13">
        <v>44552</v>
      </c>
      <c r="B297" t="s">
        <v>219</v>
      </c>
    </row>
    <row r="298" spans="1:2" x14ac:dyDescent="0.25">
      <c r="A298" s="13">
        <v>44553</v>
      </c>
      <c r="B298" t="s">
        <v>220</v>
      </c>
    </row>
    <row r="299" spans="1:2" x14ac:dyDescent="0.25">
      <c r="A299" s="13">
        <v>44554</v>
      </c>
      <c r="B299" t="s">
        <v>221</v>
      </c>
    </row>
    <row r="300" spans="1:2" x14ac:dyDescent="0.25">
      <c r="A300" s="13">
        <v>44555</v>
      </c>
      <c r="B300" t="s">
        <v>215</v>
      </c>
    </row>
    <row r="301" spans="1:2" x14ac:dyDescent="0.25">
      <c r="A301" s="13">
        <v>44556</v>
      </c>
      <c r="B301" t="s">
        <v>216</v>
      </c>
    </row>
    <row r="302" spans="1:2" x14ac:dyDescent="0.25">
      <c r="A302" s="13">
        <v>44557</v>
      </c>
      <c r="B302" t="s">
        <v>217</v>
      </c>
    </row>
    <row r="303" spans="1:2" x14ac:dyDescent="0.25">
      <c r="A303" s="13">
        <v>44558</v>
      </c>
      <c r="B303" t="s">
        <v>218</v>
      </c>
    </row>
    <row r="304" spans="1:2" x14ac:dyDescent="0.25">
      <c r="A304" s="13">
        <v>44559</v>
      </c>
      <c r="B304" t="s">
        <v>219</v>
      </c>
    </row>
    <row r="305" spans="1:2" x14ac:dyDescent="0.25">
      <c r="A305" s="13">
        <v>44560</v>
      </c>
      <c r="B305" t="s">
        <v>220</v>
      </c>
    </row>
    <row r="306" spans="1:2" x14ac:dyDescent="0.25">
      <c r="A306" s="13">
        <v>44561</v>
      </c>
      <c r="B306" t="s">
        <v>221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Manual_Certificados</vt:lpstr>
      <vt:lpstr>Plantilla_Certificados</vt:lpstr>
      <vt:lpstr>MARGEN</vt:lpstr>
      <vt:lpstr>Calendario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hbaro</dc:creator>
  <cp:lastModifiedBy>Nicolas Santiago Murillo Roa</cp:lastModifiedBy>
  <dcterms:created xsi:type="dcterms:W3CDTF">2018-09-27T03:27:25Z</dcterms:created>
  <dcterms:modified xsi:type="dcterms:W3CDTF">2021-11-07T22:51:40Z</dcterms:modified>
</cp:coreProperties>
</file>